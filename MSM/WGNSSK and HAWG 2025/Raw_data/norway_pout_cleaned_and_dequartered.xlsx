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GitHub\Age-structured-marine-fish-database\MSM\WGNSSK and HAWG 2025\Raw_data\"/>
    </mc:Choice>
  </mc:AlternateContent>
  <xr:revisionPtr revIDLastSave="0" documentId="13_ncr:1_{DC2174B4-A8E3-4FCC-A237-6FED6065B490}" xr6:coauthVersionLast="47" xr6:coauthVersionMax="47" xr10:uidLastSave="{00000000-0000-0000-0000-000000000000}"/>
  <bookViews>
    <workbookView xWindow="28680" yWindow="-16110" windowWidth="29040" windowHeight="15720" xr2:uid="{E39FE445-15FF-4EEB-AEB3-75FB5B747230}"/>
  </bookViews>
  <sheets>
    <sheet name="Table 10.3.3 Num" sheetId="1" r:id="rId1"/>
    <sheet name="Table 10.3.4 FM" sheetId="2" r:id="rId2"/>
    <sheet name="Table 10.2.6 - maturity" sheetId="3" r:id="rId3"/>
    <sheet name="Table 10.2.6 WA" sheetId="4" r:id="rId4"/>
    <sheet name="Table 10.2.6 nat mort" sheetId="5" r:id="rId5"/>
  </sheets>
  <definedNames>
    <definedName name="_xlnm._FilterDatabase" localSheetId="0" hidden="1">'Table 10.3.3 Num'!$A$1:$E$1</definedName>
    <definedName name="_xlnm._FilterDatabase" localSheetId="1" hidden="1">'Table 10.3.4 FM'!$A$1:$G$1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C3" i="5"/>
  <c r="D3" i="5"/>
  <c r="E3" i="5"/>
  <c r="C4" i="5"/>
  <c r="D4" i="5"/>
  <c r="E4" i="5"/>
  <c r="C5" i="5"/>
  <c r="D5" i="5"/>
  <c r="E5" i="5"/>
  <c r="C6" i="5"/>
  <c r="D6" i="5"/>
  <c r="E6" i="5"/>
  <c r="C7" i="5"/>
  <c r="D7" i="5"/>
  <c r="E7" i="5"/>
  <c r="C8" i="5"/>
  <c r="D8" i="5"/>
  <c r="E8" i="5"/>
  <c r="C9" i="5"/>
  <c r="D9" i="5"/>
  <c r="E9" i="5"/>
  <c r="C10" i="5"/>
  <c r="D10" i="5"/>
  <c r="E10" i="5"/>
  <c r="C11" i="5"/>
  <c r="D11" i="5"/>
  <c r="E11" i="5"/>
  <c r="C12" i="5"/>
  <c r="D12" i="5"/>
  <c r="E12" i="5"/>
  <c r="C13" i="5"/>
  <c r="D13" i="5"/>
  <c r="E13" i="5"/>
  <c r="C14" i="5"/>
  <c r="D14" i="5"/>
  <c r="E14" i="5"/>
  <c r="C15" i="5"/>
  <c r="D15" i="5"/>
  <c r="E15" i="5"/>
  <c r="C16" i="5"/>
  <c r="D16" i="5"/>
  <c r="E16" i="5"/>
  <c r="C17" i="5"/>
  <c r="D17" i="5"/>
  <c r="E17" i="5"/>
  <c r="C18" i="5"/>
  <c r="D18" i="5"/>
  <c r="E18" i="5"/>
  <c r="C19" i="5"/>
  <c r="D19" i="5"/>
  <c r="E19" i="5"/>
  <c r="C20" i="5"/>
  <c r="D20" i="5"/>
  <c r="E20" i="5"/>
  <c r="C21" i="5"/>
  <c r="D21" i="5"/>
  <c r="E21" i="5"/>
  <c r="C22" i="5"/>
  <c r="D22" i="5"/>
  <c r="E22" i="5"/>
  <c r="C23" i="5"/>
  <c r="D23" i="5"/>
  <c r="E23" i="5"/>
  <c r="C24" i="5"/>
  <c r="D24" i="5"/>
  <c r="E24" i="5"/>
  <c r="C25" i="5"/>
  <c r="D25" i="5"/>
  <c r="E25" i="5"/>
  <c r="C26" i="5"/>
  <c r="D26" i="5"/>
  <c r="E26" i="5"/>
  <c r="C27" i="5"/>
  <c r="D27" i="5"/>
  <c r="E27" i="5"/>
  <c r="C28" i="5"/>
  <c r="D28" i="5"/>
  <c r="E28" i="5"/>
  <c r="C29" i="5"/>
  <c r="D29" i="5"/>
  <c r="E29" i="5"/>
  <c r="C30" i="5"/>
  <c r="D30" i="5"/>
  <c r="E30" i="5"/>
  <c r="C31" i="5"/>
  <c r="D31" i="5"/>
  <c r="E31" i="5"/>
  <c r="C32" i="5"/>
  <c r="D32" i="5"/>
  <c r="E32" i="5"/>
  <c r="C33" i="5"/>
  <c r="D33" i="5"/>
  <c r="E33" i="5"/>
  <c r="C34" i="5"/>
  <c r="D34" i="5"/>
  <c r="E34" i="5"/>
  <c r="C35" i="5"/>
  <c r="D35" i="5"/>
  <c r="E35" i="5"/>
  <c r="C36" i="5"/>
  <c r="D36" i="5"/>
  <c r="E36" i="5"/>
  <c r="C37" i="5"/>
  <c r="D37" i="5"/>
  <c r="E37" i="5"/>
  <c r="C38" i="5"/>
  <c r="D38" i="5"/>
  <c r="E38" i="5"/>
  <c r="C39" i="5"/>
  <c r="D39" i="5"/>
  <c r="E39" i="5"/>
  <c r="C40" i="5"/>
  <c r="D40" i="5"/>
  <c r="E40" i="5"/>
  <c r="C41" i="5"/>
  <c r="D41" i="5"/>
  <c r="E41" i="5"/>
  <c r="C42" i="5"/>
  <c r="D42" i="5"/>
  <c r="E42" i="5"/>
  <c r="C43" i="5"/>
  <c r="D43" i="5"/>
  <c r="E43" i="5"/>
  <c r="E2" i="5"/>
  <c r="D2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3" i="4"/>
  <c r="C3" i="4"/>
  <c r="D3" i="4"/>
  <c r="E3" i="4"/>
  <c r="B4" i="4"/>
  <c r="C4" i="4"/>
  <c r="D4" i="4"/>
  <c r="E4" i="4"/>
  <c r="B5" i="4"/>
  <c r="C5" i="4"/>
  <c r="D5" i="4"/>
  <c r="E5" i="4"/>
  <c r="B6" i="4"/>
  <c r="C6" i="4"/>
  <c r="D6" i="4"/>
  <c r="E6" i="4"/>
  <c r="B7" i="4"/>
  <c r="C7" i="4"/>
  <c r="D7" i="4"/>
  <c r="E7" i="4"/>
  <c r="B8" i="4"/>
  <c r="C8" i="4"/>
  <c r="D8" i="4"/>
  <c r="E8" i="4"/>
  <c r="B9" i="4"/>
  <c r="C9" i="4"/>
  <c r="D9" i="4"/>
  <c r="E9" i="4"/>
  <c r="B10" i="4"/>
  <c r="C10" i="4"/>
  <c r="D10" i="4"/>
  <c r="E10" i="4"/>
  <c r="B11" i="4"/>
  <c r="C11" i="4"/>
  <c r="D11" i="4"/>
  <c r="E11" i="4"/>
  <c r="B12" i="4"/>
  <c r="C12" i="4"/>
  <c r="D12" i="4"/>
  <c r="E12" i="4"/>
  <c r="B13" i="4"/>
  <c r="C13" i="4"/>
  <c r="D13" i="4"/>
  <c r="E13" i="4"/>
  <c r="B14" i="4"/>
  <c r="C14" i="4"/>
  <c r="D14" i="4"/>
  <c r="E14" i="4"/>
  <c r="B15" i="4"/>
  <c r="C15" i="4"/>
  <c r="D15" i="4"/>
  <c r="E15" i="4"/>
  <c r="B16" i="4"/>
  <c r="C16" i="4"/>
  <c r="D16" i="4"/>
  <c r="E16" i="4"/>
  <c r="B17" i="4"/>
  <c r="C17" i="4"/>
  <c r="D17" i="4"/>
  <c r="E17" i="4"/>
  <c r="B18" i="4"/>
  <c r="C18" i="4"/>
  <c r="D18" i="4"/>
  <c r="E18" i="4"/>
  <c r="B19" i="4"/>
  <c r="C19" i="4"/>
  <c r="D19" i="4"/>
  <c r="E19" i="4"/>
  <c r="B20" i="4"/>
  <c r="C20" i="4"/>
  <c r="D20" i="4"/>
  <c r="E20" i="4"/>
  <c r="B21" i="4"/>
  <c r="C21" i="4"/>
  <c r="D21" i="4"/>
  <c r="E21" i="4"/>
  <c r="B22" i="4"/>
  <c r="C22" i="4"/>
  <c r="D22" i="4"/>
  <c r="E22" i="4"/>
  <c r="B23" i="4"/>
  <c r="C23" i="4"/>
  <c r="D23" i="4"/>
  <c r="E23" i="4"/>
  <c r="B24" i="4"/>
  <c r="C24" i="4"/>
  <c r="D24" i="4"/>
  <c r="E24" i="4"/>
  <c r="B25" i="4"/>
  <c r="C25" i="4"/>
  <c r="D25" i="4"/>
  <c r="E25" i="4"/>
  <c r="B26" i="4"/>
  <c r="C26" i="4"/>
  <c r="D26" i="4"/>
  <c r="E26" i="4"/>
  <c r="B27" i="4"/>
  <c r="C27" i="4"/>
  <c r="D27" i="4"/>
  <c r="E27" i="4"/>
  <c r="B28" i="4"/>
  <c r="C28" i="4"/>
  <c r="D28" i="4"/>
  <c r="E28" i="4"/>
  <c r="B29" i="4"/>
  <c r="C29" i="4"/>
  <c r="D29" i="4"/>
  <c r="E29" i="4"/>
  <c r="B30" i="4"/>
  <c r="C30" i="4"/>
  <c r="D30" i="4"/>
  <c r="E30" i="4"/>
  <c r="B31" i="4"/>
  <c r="C31" i="4"/>
  <c r="D31" i="4"/>
  <c r="E31" i="4"/>
  <c r="B32" i="4"/>
  <c r="C32" i="4"/>
  <c r="D32" i="4"/>
  <c r="E32" i="4"/>
  <c r="B33" i="4"/>
  <c r="C33" i="4"/>
  <c r="D33" i="4"/>
  <c r="E33" i="4"/>
  <c r="B34" i="4"/>
  <c r="C34" i="4"/>
  <c r="D34" i="4"/>
  <c r="E34" i="4"/>
  <c r="B35" i="4"/>
  <c r="C35" i="4"/>
  <c r="D35" i="4"/>
  <c r="E35" i="4"/>
  <c r="B36" i="4"/>
  <c r="C36" i="4"/>
  <c r="D36" i="4"/>
  <c r="E36" i="4"/>
  <c r="B37" i="4"/>
  <c r="C37" i="4"/>
  <c r="D37" i="4"/>
  <c r="E37" i="4"/>
  <c r="B38" i="4"/>
  <c r="C38" i="4"/>
  <c r="D38" i="4"/>
  <c r="E38" i="4"/>
  <c r="B39" i="4"/>
  <c r="C39" i="4"/>
  <c r="D39" i="4"/>
  <c r="E39" i="4"/>
  <c r="B40" i="4"/>
  <c r="C40" i="4"/>
  <c r="D40" i="4"/>
  <c r="E40" i="4"/>
  <c r="B41" i="4"/>
  <c r="C41" i="4"/>
  <c r="D41" i="4"/>
  <c r="E41" i="4"/>
  <c r="B42" i="4"/>
  <c r="C42" i="4"/>
  <c r="D42" i="4"/>
  <c r="E42" i="4"/>
  <c r="B43" i="4"/>
  <c r="C43" i="4"/>
  <c r="D43" i="4"/>
  <c r="E43" i="4"/>
  <c r="E2" i="4"/>
  <c r="D2" i="4"/>
  <c r="C2" i="4"/>
  <c r="B2" i="4"/>
</calcChain>
</file>

<file path=xl/sharedStrings.xml><?xml version="1.0" encoding="utf-8"?>
<sst xmlns="http://schemas.openxmlformats.org/spreadsheetml/2006/main" count="2" uniqueCount="1">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</sst>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9"/>
      <color indexed="8"/>
      <name val="Arial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" fontId="1" fillId="0" borderId="1" xfId="0" applyNumberFormat="1" applyFont="1" applyBorder="1" applyAlignment="1">
      <alignment horizontal="left" vertical="top" shrinkToFit="1"/>
    </xf>
    <xf numFmtId="2" fontId="1" fillId="0" borderId="2" xfId="0" applyNumberFormat="1" applyFont="1" applyBorder="1" applyAlignment="1">
      <alignment horizontal="left" vertical="top" shrinkToFit="1"/>
    </xf>
    <xf numFmtId="164" fontId="1" fillId="0" borderId="2" xfId="0" applyNumberFormat="1" applyFont="1" applyBorder="1" applyAlignment="1">
      <alignment horizontal="left" vertical="top" shrinkToFit="1"/>
    </xf>
    <xf numFmtId="1" fontId="1" fillId="0" borderId="2" xfId="0" applyNumberFormat="1" applyFont="1" applyBorder="1" applyAlignment="1">
      <alignment horizontal="left" vertical="top" shrinkToFit="1"/>
    </xf>
    <xf numFmtId="2" fontId="1" fillId="0" borderId="3" xfId="0" applyNumberFormat="1" applyFont="1" applyBorder="1" applyAlignment="1">
      <alignment horizontal="left" vertical="top" shrinkToFit="1"/>
    </xf>
    <xf numFmtId="164" fontId="1" fillId="0" borderId="1" xfId="0" applyNumberFormat="1" applyFont="1" applyBorder="1" applyAlignment="1">
      <alignment horizontal="left" vertical="top" shrinkToFit="1"/>
    </xf>
    <xf numFmtId="164" fontId="1" fillId="0" borderId="3" xfId="0" applyNumberFormat="1" applyFont="1" applyBorder="1" applyAlignment="1">
      <alignment horizontal="left" vertical="top" shrinkToFit="1"/>
    </xf>
    <xf numFmtId="2" fontId="1" fillId="0" borderId="1" xfId="0" applyNumberFormat="1" applyFont="1" applyBorder="1" applyAlignment="1">
      <alignment horizontal="left" vertical="top" shrinkToFit="1"/>
    </xf>
    <xf numFmtId="1" fontId="1" fillId="0" borderId="3" xfId="0" applyNumberFormat="1" applyFont="1" applyBorder="1" applyAlignment="1">
      <alignment horizontal="left" vertical="top" shrinkToFit="1"/>
    </xf>
    <xf numFmtId="165" fontId="1" fillId="0" borderId="1" xfId="0" applyNumberFormat="1" applyFont="1" applyBorder="1" applyAlignment="1">
      <alignment horizontal="right" vertical="top" indent="3" shrinkToFit="1"/>
    </xf>
    <xf numFmtId="165" fontId="1" fillId="0" borderId="1" xfId="0" applyNumberFormat="1" applyFont="1" applyBorder="1" applyAlignment="1">
      <alignment horizontal="center" vertical="top" shrinkToFit="1"/>
    </xf>
    <xf numFmtId="165" fontId="1" fillId="0" borderId="1" xfId="0" applyNumberFormat="1" applyFont="1" applyBorder="1" applyAlignment="1">
      <alignment horizontal="right" vertical="top" indent="1" shrinkToFit="1"/>
    </xf>
    <xf numFmtId="165" fontId="1" fillId="0" borderId="2" xfId="0" applyNumberFormat="1" applyFont="1" applyBorder="1" applyAlignment="1">
      <alignment horizontal="right" vertical="top" indent="3" shrinkToFit="1"/>
    </xf>
    <xf numFmtId="165" fontId="1" fillId="0" borderId="2" xfId="0" applyNumberFormat="1" applyFont="1" applyBorder="1" applyAlignment="1">
      <alignment horizontal="center" vertical="top" shrinkToFit="1"/>
    </xf>
    <xf numFmtId="165" fontId="1" fillId="0" borderId="2" xfId="0" applyNumberFormat="1" applyFont="1" applyBorder="1" applyAlignment="1">
      <alignment horizontal="right" vertical="top" indent="1" shrinkToFit="1"/>
    </xf>
    <xf numFmtId="165" fontId="1" fillId="0" borderId="3" xfId="0" applyNumberFormat="1" applyFont="1" applyBorder="1" applyAlignment="1">
      <alignment horizontal="right" vertical="top" indent="3" shrinkToFit="1"/>
    </xf>
    <xf numFmtId="165" fontId="1" fillId="0" borderId="3" xfId="0" applyNumberFormat="1" applyFont="1" applyBorder="1" applyAlignment="1">
      <alignment horizontal="center" vertical="top" shrinkToFit="1"/>
    </xf>
    <xf numFmtId="165" fontId="1" fillId="0" borderId="3" xfId="0" applyNumberFormat="1" applyFont="1" applyBorder="1" applyAlignment="1">
      <alignment horizontal="right" vertical="top" indent="1" shrinkToFi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435B-E7EE-467F-8940-7B1AA4334FAE}">
  <sheetPr codeName="Sheet1"/>
  <dimension ref="A1:M43"/>
  <sheetViews>
    <sheetView tabSelected="1" workbookViewId="0">
      <selection activeCell="G9" sqref="G9"/>
    </sheetView>
  </sheetViews>
  <sheetFormatPr defaultRowHeight="15.75" x14ac:dyDescent="0.25"/>
  <cols>
    <col min="1" max="5" width="9.140625" style="19"/>
    <col min="6" max="6" width="10.140625" style="19" bestFit="1" customWidth="1"/>
    <col min="12" max="16384" width="9.140625" style="19"/>
  </cols>
  <sheetData>
    <row r="1" spans="1:13" x14ac:dyDescent="0.25">
      <c r="A1" s="19" t="s">
        <v>0</v>
      </c>
      <c r="B1" s="19">
        <v>0</v>
      </c>
      <c r="C1" s="19">
        <v>1</v>
      </c>
      <c r="D1" s="19">
        <v>2</v>
      </c>
      <c r="E1" s="19">
        <v>3</v>
      </c>
      <c r="G1" s="19"/>
      <c r="H1" s="19"/>
      <c r="I1" s="19"/>
      <c r="J1" s="19"/>
      <c r="K1" s="19"/>
    </row>
    <row r="2" spans="1:13" x14ac:dyDescent="0.25">
      <c r="A2" s="19">
        <v>1984</v>
      </c>
      <c r="B2" s="19">
        <v>43360000</v>
      </c>
      <c r="C2" s="19">
        <v>23292000</v>
      </c>
      <c r="D2" s="19">
        <v>3709000</v>
      </c>
      <c r="E2" s="19">
        <v>275000</v>
      </c>
      <c r="F2"/>
      <c r="L2"/>
      <c r="M2"/>
    </row>
    <row r="3" spans="1:13" x14ac:dyDescent="0.25">
      <c r="A3" s="19">
        <v>1985</v>
      </c>
      <c r="B3" s="19">
        <v>31869000</v>
      </c>
      <c r="C3" s="19">
        <v>11536000</v>
      </c>
      <c r="D3" s="19">
        <v>1874000</v>
      </c>
      <c r="E3" s="19">
        <v>268000</v>
      </c>
      <c r="F3"/>
      <c r="L3"/>
      <c r="M3"/>
    </row>
    <row r="4" spans="1:13" x14ac:dyDescent="0.25">
      <c r="A4" s="19">
        <v>1986</v>
      </c>
      <c r="B4" s="19">
        <v>54438000</v>
      </c>
      <c r="C4" s="19">
        <v>8624000</v>
      </c>
      <c r="D4" s="19">
        <v>1184000</v>
      </c>
      <c r="E4" s="19">
        <v>148000</v>
      </c>
      <c r="F4"/>
      <c r="L4"/>
      <c r="M4"/>
    </row>
    <row r="5" spans="1:13" x14ac:dyDescent="0.25">
      <c r="A5" s="19">
        <v>1987</v>
      </c>
      <c r="B5" s="19">
        <v>11511000</v>
      </c>
      <c r="C5" s="19">
        <v>17561000</v>
      </c>
      <c r="D5" s="19">
        <v>1079000</v>
      </c>
      <c r="E5" s="19">
        <v>135000</v>
      </c>
      <c r="F5"/>
      <c r="L5"/>
      <c r="M5"/>
    </row>
    <row r="6" spans="1:13" x14ac:dyDescent="0.25">
      <c r="A6" s="19">
        <v>1988</v>
      </c>
      <c r="B6" s="19">
        <v>52192000</v>
      </c>
      <c r="C6" s="19">
        <v>3624000</v>
      </c>
      <c r="D6" s="19">
        <v>2925000</v>
      </c>
      <c r="E6" s="19">
        <v>105000</v>
      </c>
      <c r="F6"/>
      <c r="L6"/>
      <c r="M6"/>
    </row>
    <row r="7" spans="1:13" x14ac:dyDescent="0.25">
      <c r="A7" s="19">
        <v>1989</v>
      </c>
      <c r="B7" s="19">
        <v>53853000</v>
      </c>
      <c r="C7" s="19">
        <v>15524000</v>
      </c>
      <c r="D7" s="19">
        <v>832000</v>
      </c>
      <c r="E7" s="19">
        <v>453000</v>
      </c>
      <c r="F7"/>
      <c r="L7"/>
      <c r="M7"/>
    </row>
    <row r="8" spans="1:13" x14ac:dyDescent="0.25">
      <c r="A8" s="19">
        <v>1990</v>
      </c>
      <c r="B8" s="19">
        <v>65695000</v>
      </c>
      <c r="C8" s="19">
        <v>15593000</v>
      </c>
      <c r="D8" s="19">
        <v>2313000</v>
      </c>
      <c r="E8" s="19">
        <v>184000</v>
      </c>
      <c r="F8"/>
      <c r="L8"/>
      <c r="M8"/>
    </row>
    <row r="9" spans="1:13" x14ac:dyDescent="0.25">
      <c r="A9" s="19">
        <v>1991</v>
      </c>
      <c r="B9" s="19">
        <v>118615000</v>
      </c>
      <c r="C9" s="19">
        <v>19692000</v>
      </c>
      <c r="D9" s="19">
        <v>2770000</v>
      </c>
      <c r="E9" s="19">
        <v>310000</v>
      </c>
      <c r="F9"/>
      <c r="L9"/>
      <c r="M9"/>
    </row>
    <row r="10" spans="1:13" x14ac:dyDescent="0.25">
      <c r="A10" s="19">
        <v>1992</v>
      </c>
      <c r="B10" s="19">
        <v>63393000</v>
      </c>
      <c r="C10" s="19">
        <v>35503000</v>
      </c>
      <c r="D10" s="19">
        <v>4319000</v>
      </c>
      <c r="E10" s="19">
        <v>506000</v>
      </c>
      <c r="F10"/>
      <c r="L10"/>
      <c r="M10"/>
    </row>
    <row r="11" spans="1:13" x14ac:dyDescent="0.25">
      <c r="A11" s="19">
        <v>1993</v>
      </c>
      <c r="B11" s="19">
        <v>55142000</v>
      </c>
      <c r="C11" s="19">
        <v>16696000</v>
      </c>
      <c r="D11" s="19">
        <v>5438000</v>
      </c>
      <c r="E11" s="19">
        <v>798000</v>
      </c>
      <c r="F11"/>
      <c r="L11"/>
      <c r="M11"/>
    </row>
    <row r="12" spans="1:13" x14ac:dyDescent="0.25">
      <c r="A12" s="19">
        <v>1994</v>
      </c>
      <c r="B12" s="19">
        <v>158931000</v>
      </c>
      <c r="C12" s="19">
        <v>14523000</v>
      </c>
      <c r="D12" s="19">
        <v>2567000</v>
      </c>
      <c r="E12" s="19">
        <v>646000</v>
      </c>
      <c r="F12"/>
      <c r="L12"/>
      <c r="M12"/>
    </row>
    <row r="13" spans="1:13" x14ac:dyDescent="0.25">
      <c r="A13" s="19">
        <v>1995</v>
      </c>
      <c r="B13" s="19">
        <v>63422000</v>
      </c>
      <c r="C13" s="19">
        <v>49143000</v>
      </c>
      <c r="D13" s="19">
        <v>2912000</v>
      </c>
      <c r="E13" s="19">
        <v>612000</v>
      </c>
      <c r="F13"/>
      <c r="L13"/>
      <c r="M13"/>
    </row>
    <row r="14" spans="1:13" x14ac:dyDescent="0.25">
      <c r="A14" s="19">
        <v>1996</v>
      </c>
      <c r="B14" s="19">
        <v>132726000</v>
      </c>
      <c r="C14" s="19">
        <v>18044000</v>
      </c>
      <c r="D14" s="19">
        <v>9576000</v>
      </c>
      <c r="E14" s="19">
        <v>627000</v>
      </c>
      <c r="F14"/>
      <c r="L14"/>
      <c r="M14"/>
    </row>
    <row r="15" spans="1:13" x14ac:dyDescent="0.25">
      <c r="A15" s="19">
        <v>1997</v>
      </c>
      <c r="B15" s="19">
        <v>27199000</v>
      </c>
      <c r="C15" s="19">
        <v>43331000</v>
      </c>
      <c r="D15" s="19">
        <v>4120000</v>
      </c>
      <c r="E15" s="19">
        <v>1797000</v>
      </c>
      <c r="F15"/>
      <c r="L15"/>
      <c r="M15"/>
    </row>
    <row r="16" spans="1:13" x14ac:dyDescent="0.25">
      <c r="A16" s="19">
        <v>1998</v>
      </c>
      <c r="B16" s="19">
        <v>48968000</v>
      </c>
      <c r="C16" s="19">
        <v>8502000</v>
      </c>
      <c r="D16" s="19">
        <v>9188000</v>
      </c>
      <c r="E16" s="19">
        <v>878000</v>
      </c>
      <c r="F16"/>
      <c r="L16"/>
      <c r="M16"/>
    </row>
    <row r="17" spans="1:13" x14ac:dyDescent="0.25">
      <c r="A17" s="19">
        <v>1999</v>
      </c>
      <c r="B17" s="19">
        <v>114193000</v>
      </c>
      <c r="C17" s="19">
        <v>16904000</v>
      </c>
      <c r="D17" s="19">
        <v>2181000</v>
      </c>
      <c r="E17" s="19">
        <v>1719000</v>
      </c>
      <c r="F17"/>
      <c r="L17"/>
      <c r="M17"/>
    </row>
    <row r="18" spans="1:13" x14ac:dyDescent="0.25">
      <c r="A18" s="19">
        <v>2000</v>
      </c>
      <c r="B18" s="19">
        <v>31461000</v>
      </c>
      <c r="C18" s="19">
        <v>40660000</v>
      </c>
      <c r="D18" s="19">
        <v>4544000</v>
      </c>
      <c r="E18" s="19">
        <v>564000</v>
      </c>
      <c r="F18"/>
      <c r="L18"/>
      <c r="M18"/>
    </row>
    <row r="19" spans="1:13" x14ac:dyDescent="0.25">
      <c r="A19" s="19">
        <v>2001</v>
      </c>
      <c r="B19" s="19">
        <v>32532000</v>
      </c>
      <c r="C19" s="19">
        <v>8892000</v>
      </c>
      <c r="D19" s="19">
        <v>7941000</v>
      </c>
      <c r="E19" s="19">
        <v>877000</v>
      </c>
      <c r="F19"/>
      <c r="L19"/>
      <c r="M19"/>
    </row>
    <row r="20" spans="1:13" x14ac:dyDescent="0.25">
      <c r="A20" s="19">
        <v>2002</v>
      </c>
      <c r="B20" s="19">
        <v>24775000</v>
      </c>
      <c r="C20" s="19">
        <v>10089000</v>
      </c>
      <c r="D20" s="19">
        <v>1892000</v>
      </c>
      <c r="E20" s="19">
        <v>1500000</v>
      </c>
      <c r="F20"/>
      <c r="L20"/>
      <c r="M20"/>
    </row>
    <row r="21" spans="1:13" x14ac:dyDescent="0.25">
      <c r="A21" s="19">
        <v>2003</v>
      </c>
      <c r="B21" s="19">
        <v>9561000</v>
      </c>
      <c r="C21" s="19">
        <v>6199000</v>
      </c>
      <c r="D21" s="19">
        <v>1856000</v>
      </c>
      <c r="E21" s="19">
        <v>470000</v>
      </c>
      <c r="F21"/>
      <c r="L21"/>
      <c r="M21"/>
    </row>
    <row r="22" spans="1:13" x14ac:dyDescent="0.25">
      <c r="A22" s="19">
        <v>2004</v>
      </c>
      <c r="B22" s="19">
        <v>9506000</v>
      </c>
      <c r="C22" s="19">
        <v>2924000</v>
      </c>
      <c r="D22" s="19">
        <v>1387000</v>
      </c>
      <c r="E22" s="19">
        <v>334000</v>
      </c>
      <c r="F22"/>
      <c r="L22"/>
      <c r="M22"/>
    </row>
    <row r="23" spans="1:13" x14ac:dyDescent="0.25">
      <c r="A23" s="19">
        <v>2005</v>
      </c>
      <c r="B23" s="19">
        <v>36824000</v>
      </c>
      <c r="C23" s="19">
        <v>2962000</v>
      </c>
      <c r="D23" s="19">
        <v>717000</v>
      </c>
      <c r="E23" s="19">
        <v>304000</v>
      </c>
      <c r="F23"/>
      <c r="L23"/>
      <c r="M23"/>
    </row>
    <row r="24" spans="1:13" x14ac:dyDescent="0.25">
      <c r="A24" s="19">
        <v>2006</v>
      </c>
      <c r="B24" s="19">
        <v>27626000</v>
      </c>
      <c r="C24" s="19">
        <v>11757000</v>
      </c>
      <c r="D24" s="19">
        <v>942000</v>
      </c>
      <c r="E24" s="19">
        <v>202000</v>
      </c>
      <c r="F24"/>
      <c r="L24"/>
      <c r="M24"/>
    </row>
    <row r="25" spans="1:13" x14ac:dyDescent="0.25">
      <c r="A25" s="19">
        <v>2007</v>
      </c>
      <c r="B25" s="19">
        <v>38699000</v>
      </c>
      <c r="C25" s="19">
        <v>8582000</v>
      </c>
      <c r="D25" s="19">
        <v>2742000</v>
      </c>
      <c r="E25" s="19">
        <v>226000</v>
      </c>
      <c r="F25"/>
      <c r="L25"/>
      <c r="M25"/>
    </row>
    <row r="26" spans="1:13" x14ac:dyDescent="0.25">
      <c r="A26" s="19">
        <v>2008</v>
      </c>
      <c r="B26" s="19">
        <v>60884000</v>
      </c>
      <c r="C26" s="19">
        <v>13618000</v>
      </c>
      <c r="D26" s="19">
        <v>2437000</v>
      </c>
      <c r="E26" s="19">
        <v>581000</v>
      </c>
      <c r="F26"/>
      <c r="L26"/>
      <c r="M26"/>
    </row>
    <row r="27" spans="1:13" x14ac:dyDescent="0.25">
      <c r="A27" s="19">
        <v>2009</v>
      </c>
      <c r="B27" s="19">
        <v>87467000</v>
      </c>
      <c r="C27" s="19">
        <v>23357000</v>
      </c>
      <c r="D27" s="19">
        <v>3707000</v>
      </c>
      <c r="E27" s="19">
        <v>503000</v>
      </c>
      <c r="F27"/>
      <c r="L27"/>
      <c r="M27"/>
    </row>
    <row r="28" spans="1:13" x14ac:dyDescent="0.25">
      <c r="A28" s="19">
        <v>2010</v>
      </c>
      <c r="B28" s="19">
        <v>7810000</v>
      </c>
      <c r="C28" s="19">
        <v>32044000</v>
      </c>
      <c r="D28" s="19">
        <v>7764000</v>
      </c>
      <c r="E28" s="19">
        <v>702000</v>
      </c>
      <c r="F28"/>
      <c r="L28"/>
      <c r="M28"/>
    </row>
    <row r="29" spans="1:13" x14ac:dyDescent="0.25">
      <c r="A29" s="19">
        <v>2011</v>
      </c>
      <c r="B29" s="19">
        <v>13185000</v>
      </c>
      <c r="C29" s="19">
        <v>2853000</v>
      </c>
      <c r="D29" s="19">
        <v>7258000</v>
      </c>
      <c r="E29" s="19">
        <v>1441000</v>
      </c>
      <c r="F29"/>
      <c r="L29"/>
      <c r="M29"/>
    </row>
    <row r="30" spans="1:13" x14ac:dyDescent="0.25">
      <c r="A30" s="19">
        <v>2012</v>
      </c>
      <c r="B30" s="19">
        <v>64940000</v>
      </c>
      <c r="C30" s="19">
        <v>4618000</v>
      </c>
      <c r="D30" s="19">
        <v>869000</v>
      </c>
      <c r="E30" s="19">
        <v>1836000</v>
      </c>
      <c r="F30"/>
      <c r="L30"/>
      <c r="M30"/>
    </row>
    <row r="31" spans="1:13" x14ac:dyDescent="0.25">
      <c r="A31" s="19">
        <v>2013</v>
      </c>
      <c r="B31" s="19">
        <v>19483000</v>
      </c>
      <c r="C31" s="19">
        <v>20991000</v>
      </c>
      <c r="D31" s="19">
        <v>1351000</v>
      </c>
      <c r="E31" s="19">
        <v>478000</v>
      </c>
      <c r="F31"/>
      <c r="L31"/>
      <c r="M31"/>
    </row>
    <row r="32" spans="1:13" x14ac:dyDescent="0.25">
      <c r="A32" s="19">
        <v>2014</v>
      </c>
      <c r="B32" s="19">
        <v>103496000</v>
      </c>
      <c r="C32" s="19">
        <v>5857000</v>
      </c>
      <c r="D32" s="19">
        <v>3580000</v>
      </c>
      <c r="E32" s="19">
        <v>264000</v>
      </c>
      <c r="F32"/>
      <c r="L32"/>
      <c r="M32"/>
    </row>
    <row r="33" spans="1:13" x14ac:dyDescent="0.25">
      <c r="A33" s="19">
        <v>2015</v>
      </c>
      <c r="B33" s="19">
        <v>39759000</v>
      </c>
      <c r="C33" s="19">
        <v>28070000</v>
      </c>
      <c r="D33" s="19">
        <v>1285000</v>
      </c>
      <c r="E33" s="19">
        <v>588000</v>
      </c>
      <c r="F33"/>
      <c r="L33"/>
      <c r="M33"/>
    </row>
    <row r="34" spans="1:13" x14ac:dyDescent="0.25">
      <c r="A34" s="19">
        <v>2016</v>
      </c>
      <c r="B34" s="19">
        <v>70563000</v>
      </c>
      <c r="C34" s="19">
        <v>10125000</v>
      </c>
      <c r="D34" s="19">
        <v>4592000</v>
      </c>
      <c r="E34" s="19">
        <v>261000</v>
      </c>
      <c r="F34"/>
      <c r="L34"/>
      <c r="M34"/>
    </row>
    <row r="35" spans="1:13" x14ac:dyDescent="0.25">
      <c r="A35" s="19">
        <v>2017</v>
      </c>
      <c r="B35" s="19">
        <v>22784000</v>
      </c>
      <c r="C35" s="19">
        <v>17995000</v>
      </c>
      <c r="D35" s="19">
        <v>1653000</v>
      </c>
      <c r="E35" s="19">
        <v>694000</v>
      </c>
      <c r="F35"/>
      <c r="L35"/>
      <c r="M35"/>
    </row>
    <row r="36" spans="1:13" x14ac:dyDescent="0.25">
      <c r="A36" s="19">
        <v>2018</v>
      </c>
      <c r="B36" s="19">
        <v>81343000</v>
      </c>
      <c r="C36" s="19">
        <v>6022000</v>
      </c>
      <c r="D36" s="19">
        <v>2801000</v>
      </c>
      <c r="E36" s="19">
        <v>315000</v>
      </c>
      <c r="F36"/>
      <c r="L36"/>
      <c r="M36"/>
    </row>
    <row r="37" spans="1:13" x14ac:dyDescent="0.25">
      <c r="A37" s="19">
        <v>2019</v>
      </c>
      <c r="B37" s="19">
        <v>107180000</v>
      </c>
      <c r="C37" s="19">
        <v>23717000</v>
      </c>
      <c r="D37" s="19">
        <v>1356000</v>
      </c>
      <c r="E37" s="19">
        <v>399000</v>
      </c>
      <c r="F37"/>
      <c r="L37"/>
      <c r="M37"/>
    </row>
    <row r="38" spans="1:13" x14ac:dyDescent="0.25">
      <c r="A38" s="19">
        <v>2020</v>
      </c>
      <c r="B38" s="19">
        <v>63647000</v>
      </c>
      <c r="C38" s="19">
        <v>32394000</v>
      </c>
      <c r="D38" s="19">
        <v>4839000</v>
      </c>
      <c r="E38" s="19">
        <v>272000</v>
      </c>
      <c r="F38"/>
      <c r="L38"/>
      <c r="M38"/>
    </row>
    <row r="39" spans="1:13" x14ac:dyDescent="0.25">
      <c r="A39" s="19">
        <v>2021</v>
      </c>
      <c r="B39" s="19">
        <v>25638000</v>
      </c>
      <c r="C39" s="19">
        <v>16952000</v>
      </c>
      <c r="D39" s="19">
        <v>5511000</v>
      </c>
      <c r="E39" s="19">
        <v>775000</v>
      </c>
      <c r="F39"/>
      <c r="L39"/>
      <c r="M39"/>
    </row>
    <row r="40" spans="1:13" x14ac:dyDescent="0.25">
      <c r="A40" s="19">
        <v>2022</v>
      </c>
      <c r="B40" s="19">
        <v>48250000</v>
      </c>
      <c r="C40" s="19">
        <v>8107000</v>
      </c>
      <c r="D40" s="19">
        <v>2731000</v>
      </c>
      <c r="E40" s="19">
        <v>872000</v>
      </c>
      <c r="F40"/>
      <c r="L40"/>
      <c r="M40"/>
    </row>
    <row r="41" spans="1:13" x14ac:dyDescent="0.25">
      <c r="A41" s="19">
        <v>2023</v>
      </c>
      <c r="B41" s="19">
        <v>9453000</v>
      </c>
      <c r="C41" s="19">
        <v>13367000</v>
      </c>
      <c r="D41" s="19">
        <v>1603000</v>
      </c>
      <c r="E41" s="19">
        <v>489000</v>
      </c>
      <c r="F41"/>
      <c r="L41"/>
      <c r="M41"/>
    </row>
    <row r="42" spans="1:13" x14ac:dyDescent="0.25">
      <c r="A42" s="19">
        <v>2024</v>
      </c>
      <c r="B42" s="19">
        <v>8851000</v>
      </c>
      <c r="C42" s="19">
        <v>2043000</v>
      </c>
      <c r="D42" s="19">
        <v>2331000</v>
      </c>
      <c r="E42" s="19">
        <v>343000</v>
      </c>
      <c r="F42"/>
      <c r="L42"/>
      <c r="M42"/>
    </row>
    <row r="43" spans="1:13" x14ac:dyDescent="0.25">
      <c r="A43" s="19">
        <v>2025</v>
      </c>
      <c r="B43" s="19">
        <v>10312000</v>
      </c>
      <c r="C43" s="19">
        <v>2576000</v>
      </c>
      <c r="D43" s="19">
        <v>486000</v>
      </c>
      <c r="E43" s="19">
        <v>445000</v>
      </c>
      <c r="F43"/>
      <c r="L43"/>
      <c r="M43"/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7336-41B9-40C1-B4CB-680D82C88DDE}">
  <sheetPr codeName="Sheet2"/>
  <dimension ref="A1:E43"/>
  <sheetViews>
    <sheetView topLeftCell="A9" workbookViewId="0">
      <selection activeCell="B2" sqref="B2:E43"/>
    </sheetView>
  </sheetViews>
  <sheetFormatPr defaultRowHeight="15" x14ac:dyDescent="0.25"/>
  <cols>
    <col min="8" max="8" width="16.7109375" customWidth="1"/>
  </cols>
  <sheetData>
    <row r="1" spans="1:5" x14ac:dyDescent="0.25">
      <c r="A1" t="s">
        <v>0</v>
      </c>
      <c r="B1">
        <v>0</v>
      </c>
      <c r="C1">
        <v>1</v>
      </c>
      <c r="D1">
        <v>2</v>
      </c>
      <c r="E1">
        <v>3</v>
      </c>
    </row>
    <row r="2" spans="1:5" x14ac:dyDescent="0.25">
      <c r="A2">
        <v>1984</v>
      </c>
      <c r="B2" s="13">
        <v>8.9999999999999993E-3</v>
      </c>
      <c r="C2" s="14">
        <v>1.0169999999999999</v>
      </c>
      <c r="D2" s="14">
        <v>1.6659999999999999</v>
      </c>
      <c r="E2" s="15">
        <v>0.28999999999999998</v>
      </c>
    </row>
    <row r="3" spans="1:5" x14ac:dyDescent="0.25">
      <c r="A3">
        <v>1985</v>
      </c>
      <c r="B3" s="13">
        <v>8.9999999999999993E-3</v>
      </c>
      <c r="C3" s="14">
        <v>0.94399999999999995</v>
      </c>
      <c r="D3" s="14">
        <v>1.5469999999999999</v>
      </c>
      <c r="E3" s="15">
        <v>0.26900000000000002</v>
      </c>
    </row>
    <row r="4" spans="1:5" x14ac:dyDescent="0.25">
      <c r="A4">
        <v>1986</v>
      </c>
      <c r="B4" s="13">
        <v>5.0000000000000001E-3</v>
      </c>
      <c r="C4" s="14">
        <v>0.55100000000000005</v>
      </c>
      <c r="D4" s="14">
        <v>0.90400000000000003</v>
      </c>
      <c r="E4" s="15">
        <v>0.157</v>
      </c>
    </row>
    <row r="5" spans="1:5" x14ac:dyDescent="0.25">
      <c r="A5">
        <v>1987</v>
      </c>
      <c r="B5" s="13">
        <v>4.0000000000000001E-3</v>
      </c>
      <c r="C5" s="14">
        <v>0.42299999999999999</v>
      </c>
      <c r="D5" s="14">
        <v>0.69399999999999995</v>
      </c>
      <c r="E5" s="15">
        <v>0.121</v>
      </c>
    </row>
    <row r="6" spans="1:5" x14ac:dyDescent="0.25">
      <c r="A6">
        <v>1988</v>
      </c>
      <c r="B6" s="13">
        <v>3.0000000000000001E-3</v>
      </c>
      <c r="C6" s="14">
        <v>0.29399999999999998</v>
      </c>
      <c r="D6" s="14">
        <v>0.48099999999999998</v>
      </c>
      <c r="E6" s="15">
        <v>8.4000000000000005E-2</v>
      </c>
    </row>
    <row r="7" spans="1:5" x14ac:dyDescent="0.25">
      <c r="A7">
        <v>1989</v>
      </c>
      <c r="B7" s="13">
        <v>4.0000000000000001E-3</v>
      </c>
      <c r="C7" s="14">
        <v>0.42899999999999999</v>
      </c>
      <c r="D7" s="14">
        <v>0.70299999999999996</v>
      </c>
      <c r="E7" s="15">
        <v>0.122</v>
      </c>
    </row>
    <row r="8" spans="1:5" x14ac:dyDescent="0.25">
      <c r="A8">
        <v>1990</v>
      </c>
      <c r="B8" s="13">
        <v>3.0000000000000001E-3</v>
      </c>
      <c r="C8" s="14">
        <v>0.32300000000000001</v>
      </c>
      <c r="D8" s="14">
        <v>0.52900000000000003</v>
      </c>
      <c r="E8" s="15">
        <v>9.1999999999999998E-2</v>
      </c>
    </row>
    <row r="9" spans="1:5" x14ac:dyDescent="0.25">
      <c r="A9">
        <v>1991</v>
      </c>
      <c r="B9" s="13">
        <v>3.0000000000000001E-3</v>
      </c>
      <c r="C9" s="14">
        <v>0.33700000000000002</v>
      </c>
      <c r="D9" s="14">
        <v>0.55200000000000005</v>
      </c>
      <c r="E9" s="15">
        <v>9.6000000000000002E-2</v>
      </c>
    </row>
    <row r="10" spans="1:5" x14ac:dyDescent="0.25">
      <c r="A10">
        <v>1992</v>
      </c>
      <c r="B10" s="13">
        <v>3.0000000000000001E-3</v>
      </c>
      <c r="C10" s="14">
        <v>0.34799999999999998</v>
      </c>
      <c r="D10" s="14">
        <v>0.56999999999999995</v>
      </c>
      <c r="E10" s="15">
        <v>9.9000000000000005E-2</v>
      </c>
    </row>
    <row r="11" spans="1:5" x14ac:dyDescent="0.25">
      <c r="A11">
        <v>1993</v>
      </c>
      <c r="B11" s="13">
        <v>4.0000000000000001E-3</v>
      </c>
      <c r="C11" s="14">
        <v>0.41799999999999998</v>
      </c>
      <c r="D11" s="14">
        <v>0.68500000000000005</v>
      </c>
      <c r="E11" s="15">
        <v>0.11899999999999999</v>
      </c>
    </row>
    <row r="12" spans="1:5" x14ac:dyDescent="0.25">
      <c r="A12">
        <v>1994</v>
      </c>
      <c r="B12" s="10">
        <v>3.0000000000000001E-3</v>
      </c>
      <c r="C12" s="11">
        <v>0.36799999999999999</v>
      </c>
      <c r="D12" s="11">
        <v>0.60399999999999998</v>
      </c>
      <c r="E12" s="12">
        <v>0.105</v>
      </c>
    </row>
    <row r="13" spans="1:5" x14ac:dyDescent="0.25">
      <c r="A13">
        <v>1995</v>
      </c>
      <c r="B13" s="13">
        <v>2E-3</v>
      </c>
      <c r="C13" s="14">
        <v>0.20599999999999999</v>
      </c>
      <c r="D13" s="14">
        <v>0.33700000000000002</v>
      </c>
      <c r="E13" s="15">
        <v>5.8999999999999997E-2</v>
      </c>
    </row>
    <row r="14" spans="1:5" x14ac:dyDescent="0.25">
      <c r="A14">
        <v>1996</v>
      </c>
      <c r="B14" s="13">
        <v>3.0000000000000001E-3</v>
      </c>
      <c r="C14" s="14">
        <v>0.28299999999999997</v>
      </c>
      <c r="D14" s="14">
        <v>0.46400000000000002</v>
      </c>
      <c r="E14" s="15">
        <v>8.1000000000000003E-2</v>
      </c>
    </row>
    <row r="15" spans="1:5" x14ac:dyDescent="0.25">
      <c r="A15">
        <v>1997</v>
      </c>
      <c r="B15" s="13">
        <v>3.0000000000000001E-3</v>
      </c>
      <c r="C15" s="14">
        <v>0.28599999999999998</v>
      </c>
      <c r="D15" s="14">
        <v>0.46899999999999997</v>
      </c>
      <c r="E15" s="15">
        <v>8.1000000000000003E-2</v>
      </c>
    </row>
    <row r="16" spans="1:5" x14ac:dyDescent="0.25">
      <c r="A16">
        <v>1998</v>
      </c>
      <c r="B16" s="13">
        <v>2E-3</v>
      </c>
      <c r="C16" s="14">
        <v>0.21099999999999999</v>
      </c>
      <c r="D16" s="14">
        <v>0.34599999999999997</v>
      </c>
      <c r="E16" s="15">
        <v>0.06</v>
      </c>
    </row>
    <row r="17" spans="1:5" x14ac:dyDescent="0.25">
      <c r="A17">
        <v>1999</v>
      </c>
      <c r="B17" s="13">
        <v>2E-3</v>
      </c>
      <c r="C17" s="14">
        <v>0.26</v>
      </c>
      <c r="D17" s="14">
        <v>0.42599999999999999</v>
      </c>
      <c r="E17" s="15">
        <v>7.3999999999999996E-2</v>
      </c>
    </row>
    <row r="18" spans="1:5" x14ac:dyDescent="0.25">
      <c r="A18">
        <v>2000</v>
      </c>
      <c r="B18" s="13">
        <v>1E-3</v>
      </c>
      <c r="C18" s="14">
        <v>0.161</v>
      </c>
      <c r="D18" s="14">
        <v>0.26400000000000001</v>
      </c>
      <c r="E18" s="15">
        <v>4.5999999999999999E-2</v>
      </c>
    </row>
    <row r="19" spans="1:5" x14ac:dyDescent="0.25">
      <c r="A19">
        <v>2001</v>
      </c>
      <c r="B19" s="16">
        <v>1E-3</v>
      </c>
      <c r="C19" s="17">
        <v>7.8E-2</v>
      </c>
      <c r="D19" s="17">
        <v>0.128</v>
      </c>
      <c r="E19" s="18">
        <v>2.1999999999999999E-2</v>
      </c>
    </row>
    <row r="20" spans="1:5" x14ac:dyDescent="0.25">
      <c r="A20">
        <v>2002</v>
      </c>
      <c r="B20" s="13">
        <v>2E-3</v>
      </c>
      <c r="C20" s="14">
        <v>0.217</v>
      </c>
      <c r="D20" s="14">
        <v>0.35599999999999998</v>
      </c>
      <c r="E20" s="15">
        <v>6.2E-2</v>
      </c>
    </row>
    <row r="21" spans="1:5" x14ac:dyDescent="0.25">
      <c r="A21">
        <v>2003</v>
      </c>
      <c r="B21" s="13">
        <v>2E-3</v>
      </c>
      <c r="C21" s="14">
        <v>0.183</v>
      </c>
      <c r="D21" s="14">
        <v>0.3</v>
      </c>
      <c r="E21" s="15">
        <v>5.1999999999999998E-2</v>
      </c>
    </row>
    <row r="22" spans="1:5" x14ac:dyDescent="0.25">
      <c r="A22">
        <v>2004</v>
      </c>
      <c r="B22" s="13">
        <v>1E-3</v>
      </c>
      <c r="C22" s="14">
        <v>0.13200000000000001</v>
      </c>
      <c r="D22" s="14">
        <v>0.217</v>
      </c>
      <c r="E22" s="15">
        <v>3.7999999999999999E-2</v>
      </c>
    </row>
    <row r="23" spans="1:5" x14ac:dyDescent="0.25">
      <c r="A23">
        <v>2005</v>
      </c>
      <c r="B23" s="13">
        <v>0</v>
      </c>
      <c r="C23" s="14">
        <v>0</v>
      </c>
      <c r="D23" s="14">
        <v>1E-3</v>
      </c>
      <c r="E23" s="15">
        <v>0</v>
      </c>
    </row>
    <row r="24" spans="1:5" x14ac:dyDescent="0.25">
      <c r="A24">
        <v>2006</v>
      </c>
      <c r="B24" s="13">
        <v>1E-3</v>
      </c>
      <c r="C24" s="14">
        <v>0.10100000000000001</v>
      </c>
      <c r="D24" s="14">
        <v>0.20499999999999999</v>
      </c>
      <c r="E24" s="15">
        <v>3.9E-2</v>
      </c>
    </row>
    <row r="25" spans="1:5" x14ac:dyDescent="0.25">
      <c r="A25">
        <v>2007</v>
      </c>
      <c r="B25" s="13">
        <v>0</v>
      </c>
      <c r="C25" s="14">
        <v>2.3E-2</v>
      </c>
      <c r="D25" s="14">
        <v>4.7E-2</v>
      </c>
      <c r="E25" s="15">
        <v>8.9999999999999993E-3</v>
      </c>
    </row>
    <row r="26" spans="1:5" x14ac:dyDescent="0.25">
      <c r="A26">
        <v>2008</v>
      </c>
      <c r="B26" s="13">
        <v>0</v>
      </c>
      <c r="C26" s="14">
        <v>4.7E-2</v>
      </c>
      <c r="D26" s="14">
        <v>9.6000000000000002E-2</v>
      </c>
      <c r="E26" s="15">
        <v>1.7999999999999999E-2</v>
      </c>
    </row>
    <row r="27" spans="1:5" x14ac:dyDescent="0.25">
      <c r="A27">
        <v>2009</v>
      </c>
      <c r="B27" s="13">
        <v>1E-3</v>
      </c>
      <c r="C27" s="14">
        <v>0.122</v>
      </c>
      <c r="D27" s="14">
        <v>0.249</v>
      </c>
      <c r="E27" s="15">
        <v>4.7E-2</v>
      </c>
    </row>
    <row r="28" spans="1:5" x14ac:dyDescent="0.25">
      <c r="A28">
        <v>2010</v>
      </c>
      <c r="B28" s="13">
        <v>1E-3</v>
      </c>
      <c r="C28" s="14">
        <v>9.9000000000000005E-2</v>
      </c>
      <c r="D28" s="14">
        <v>0.20200000000000001</v>
      </c>
      <c r="E28" s="15">
        <v>3.7999999999999999E-2</v>
      </c>
    </row>
    <row r="29" spans="1:5" x14ac:dyDescent="0.25">
      <c r="A29">
        <v>2011</v>
      </c>
      <c r="B29" s="13">
        <v>0</v>
      </c>
      <c r="C29" s="14">
        <v>0.04</v>
      </c>
      <c r="D29" s="14">
        <v>8.3000000000000004E-2</v>
      </c>
      <c r="E29" s="15">
        <v>1.6E-2</v>
      </c>
    </row>
    <row r="30" spans="1:5" x14ac:dyDescent="0.25">
      <c r="A30">
        <v>2012</v>
      </c>
      <c r="B30" s="13">
        <v>0</v>
      </c>
      <c r="C30" s="14">
        <v>2.5999999999999999E-2</v>
      </c>
      <c r="D30" s="14">
        <v>5.3999999999999999E-2</v>
      </c>
      <c r="E30" s="15">
        <v>0.01</v>
      </c>
    </row>
    <row r="31" spans="1:5" x14ac:dyDescent="0.25">
      <c r="A31">
        <v>2013</v>
      </c>
      <c r="B31" s="13">
        <v>1E-3</v>
      </c>
      <c r="C31" s="14">
        <v>0.114</v>
      </c>
      <c r="D31" s="14">
        <v>0.23300000000000001</v>
      </c>
      <c r="E31" s="15">
        <v>4.3999999999999997E-2</v>
      </c>
    </row>
    <row r="32" spans="1:5" x14ac:dyDescent="0.25">
      <c r="A32">
        <v>2014</v>
      </c>
      <c r="B32" s="13">
        <v>1E-3</v>
      </c>
      <c r="C32" s="14">
        <v>0.153</v>
      </c>
      <c r="D32" s="14">
        <v>0.313</v>
      </c>
      <c r="E32" s="15">
        <v>5.8999999999999997E-2</v>
      </c>
    </row>
    <row r="33" spans="1:5" x14ac:dyDescent="0.25">
      <c r="A33">
        <v>2015</v>
      </c>
      <c r="B33" s="13">
        <v>1E-3</v>
      </c>
      <c r="C33" s="14">
        <v>0.20200000000000001</v>
      </c>
      <c r="D33" s="14">
        <v>0.41199999999999998</v>
      </c>
      <c r="E33" s="15">
        <v>7.8E-2</v>
      </c>
    </row>
    <row r="34" spans="1:5" x14ac:dyDescent="0.25">
      <c r="A34">
        <v>2016</v>
      </c>
      <c r="B34" s="13">
        <v>1E-3</v>
      </c>
      <c r="C34" s="14">
        <v>0.19600000000000001</v>
      </c>
      <c r="D34" s="14">
        <v>0.40100000000000002</v>
      </c>
      <c r="E34" s="15">
        <v>7.5999999999999998E-2</v>
      </c>
    </row>
    <row r="35" spans="1:5" x14ac:dyDescent="0.25">
      <c r="A35">
        <v>2017</v>
      </c>
      <c r="B35" s="13">
        <v>1E-3</v>
      </c>
      <c r="C35" s="14">
        <v>0.161</v>
      </c>
      <c r="D35" s="14">
        <v>0.32900000000000001</v>
      </c>
      <c r="E35" s="15">
        <v>6.2E-2</v>
      </c>
    </row>
    <row r="36" spans="1:5" x14ac:dyDescent="0.25">
      <c r="A36">
        <v>2018</v>
      </c>
      <c r="B36" s="13">
        <v>1E-3</v>
      </c>
      <c r="C36" s="14">
        <v>0.152</v>
      </c>
      <c r="D36" s="14">
        <v>0.311</v>
      </c>
      <c r="E36" s="15">
        <v>5.8999999999999997E-2</v>
      </c>
    </row>
    <row r="37" spans="1:5" x14ac:dyDescent="0.25">
      <c r="A37">
        <v>2019</v>
      </c>
      <c r="B37" s="13">
        <v>1E-3</v>
      </c>
      <c r="C37" s="14">
        <v>0.20100000000000001</v>
      </c>
      <c r="D37" s="14">
        <v>0.41099999999999998</v>
      </c>
      <c r="E37" s="15">
        <v>7.8E-2</v>
      </c>
    </row>
    <row r="38" spans="1:5" x14ac:dyDescent="0.25">
      <c r="A38">
        <v>2020</v>
      </c>
      <c r="B38" s="13">
        <v>1E-3</v>
      </c>
      <c r="C38" s="14">
        <v>0.184</v>
      </c>
      <c r="D38" s="14">
        <v>0.376</v>
      </c>
      <c r="E38" s="15">
        <v>7.0999999999999994E-2</v>
      </c>
    </row>
    <row r="39" spans="1:5" x14ac:dyDescent="0.25">
      <c r="A39">
        <v>2021</v>
      </c>
      <c r="B39" s="13">
        <v>1E-3</v>
      </c>
      <c r="C39" s="14">
        <v>0.14499999999999999</v>
      </c>
      <c r="D39" s="14">
        <v>0.29599999999999999</v>
      </c>
      <c r="E39" s="15">
        <v>5.6000000000000001E-2</v>
      </c>
    </row>
    <row r="40" spans="1:5" x14ac:dyDescent="0.25">
      <c r="A40">
        <v>2022</v>
      </c>
      <c r="B40" s="13">
        <v>1E-3</v>
      </c>
      <c r="C40" s="14">
        <v>0.122</v>
      </c>
      <c r="D40" s="14">
        <v>0.249</v>
      </c>
      <c r="E40" s="15">
        <v>4.7E-2</v>
      </c>
    </row>
    <row r="41" spans="1:5" x14ac:dyDescent="0.25">
      <c r="A41">
        <v>2023</v>
      </c>
      <c r="B41" s="10">
        <v>1E-3</v>
      </c>
      <c r="C41" s="11">
        <v>0.104</v>
      </c>
      <c r="D41" s="11">
        <v>0.21299999999999999</v>
      </c>
      <c r="E41" s="12">
        <v>0.04</v>
      </c>
    </row>
    <row r="42" spans="1:5" x14ac:dyDescent="0.25">
      <c r="A42">
        <v>2024</v>
      </c>
      <c r="B42" s="13">
        <v>0</v>
      </c>
      <c r="C42" s="14">
        <v>4.3999999999999997E-2</v>
      </c>
      <c r="D42" s="14">
        <v>0.09</v>
      </c>
      <c r="E42" s="15">
        <v>1.7000000000000001E-2</v>
      </c>
    </row>
    <row r="43" spans="1:5" x14ac:dyDescent="0.25">
      <c r="A43">
        <v>2025</v>
      </c>
      <c r="B43" s="13">
        <v>0</v>
      </c>
      <c r="C43" s="14">
        <v>2.1999999999999999E-2</v>
      </c>
      <c r="D43" s="14">
        <v>4.3999999999999997E-2</v>
      </c>
      <c r="E43" s="15">
        <v>8.0000000000000002E-3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41347-8993-4A75-8D1F-C0F3553E0849}">
  <sheetPr codeName="Sheet3"/>
  <dimension ref="A1:E169"/>
  <sheetViews>
    <sheetView topLeftCell="A9" workbookViewId="0">
      <selection activeCell="B2" sqref="B2:E43"/>
    </sheetView>
  </sheetViews>
  <sheetFormatPr defaultRowHeight="15" x14ac:dyDescent="0.25"/>
  <sheetData>
    <row r="1" spans="1:5" x14ac:dyDescent="0.25">
      <c r="B1">
        <v>0</v>
      </c>
      <c r="C1">
        <v>1</v>
      </c>
      <c r="D1">
        <v>2</v>
      </c>
      <c r="E1">
        <v>3</v>
      </c>
    </row>
    <row r="2" spans="1:5" x14ac:dyDescent="0.25">
      <c r="A2" s="1">
        <v>1984</v>
      </c>
      <c r="B2">
        <v>0</v>
      </c>
      <c r="C2">
        <v>0.2</v>
      </c>
      <c r="D2">
        <v>1</v>
      </c>
      <c r="E2">
        <v>1</v>
      </c>
    </row>
    <row r="3" spans="1:5" x14ac:dyDescent="0.25">
      <c r="A3" s="2">
        <v>1985</v>
      </c>
      <c r="B3">
        <v>0</v>
      </c>
      <c r="C3">
        <v>0.2</v>
      </c>
      <c r="D3">
        <v>1</v>
      </c>
      <c r="E3">
        <v>1</v>
      </c>
    </row>
    <row r="4" spans="1:5" x14ac:dyDescent="0.25">
      <c r="A4" s="1">
        <v>1986</v>
      </c>
      <c r="B4">
        <v>0</v>
      </c>
      <c r="C4">
        <v>0.2</v>
      </c>
      <c r="D4">
        <v>1</v>
      </c>
      <c r="E4">
        <v>1</v>
      </c>
    </row>
    <row r="5" spans="1:5" x14ac:dyDescent="0.25">
      <c r="A5" s="2">
        <v>1987</v>
      </c>
      <c r="B5">
        <v>0</v>
      </c>
      <c r="C5">
        <v>0.2</v>
      </c>
      <c r="D5">
        <v>1</v>
      </c>
      <c r="E5">
        <v>1</v>
      </c>
    </row>
    <row r="6" spans="1:5" x14ac:dyDescent="0.25">
      <c r="A6" s="1">
        <v>1988</v>
      </c>
      <c r="B6">
        <v>0</v>
      </c>
      <c r="C6">
        <v>0.2</v>
      </c>
      <c r="D6">
        <v>1</v>
      </c>
      <c r="E6">
        <v>1</v>
      </c>
    </row>
    <row r="7" spans="1:5" x14ac:dyDescent="0.25">
      <c r="A7" s="2">
        <v>1989</v>
      </c>
      <c r="B7">
        <v>0</v>
      </c>
      <c r="C7">
        <v>0.2</v>
      </c>
      <c r="D7">
        <v>1</v>
      </c>
      <c r="E7">
        <v>1</v>
      </c>
    </row>
    <row r="8" spans="1:5" x14ac:dyDescent="0.25">
      <c r="A8" s="1">
        <v>1990</v>
      </c>
      <c r="B8">
        <v>0</v>
      </c>
      <c r="C8">
        <v>0.2</v>
      </c>
      <c r="D8">
        <v>1</v>
      </c>
      <c r="E8">
        <v>1</v>
      </c>
    </row>
    <row r="9" spans="1:5" x14ac:dyDescent="0.25">
      <c r="A9" s="2">
        <v>1991</v>
      </c>
      <c r="B9">
        <v>0</v>
      </c>
      <c r="C9">
        <v>0.2</v>
      </c>
      <c r="D9">
        <v>1</v>
      </c>
      <c r="E9">
        <v>1</v>
      </c>
    </row>
    <row r="10" spans="1:5" x14ac:dyDescent="0.25">
      <c r="A10" s="1">
        <v>1992</v>
      </c>
      <c r="B10">
        <v>0</v>
      </c>
      <c r="C10">
        <v>0.2</v>
      </c>
      <c r="D10">
        <v>1</v>
      </c>
      <c r="E10">
        <v>1</v>
      </c>
    </row>
    <row r="11" spans="1:5" x14ac:dyDescent="0.25">
      <c r="A11" s="2">
        <v>1993</v>
      </c>
      <c r="B11">
        <v>0</v>
      </c>
      <c r="C11">
        <v>0.2</v>
      </c>
      <c r="D11">
        <v>1</v>
      </c>
      <c r="E11">
        <v>1</v>
      </c>
    </row>
    <row r="12" spans="1:5" x14ac:dyDescent="0.25">
      <c r="A12" s="1">
        <v>1994</v>
      </c>
      <c r="B12">
        <v>0</v>
      </c>
      <c r="C12">
        <v>0.2</v>
      </c>
      <c r="D12">
        <v>1</v>
      </c>
      <c r="E12">
        <v>1</v>
      </c>
    </row>
    <row r="13" spans="1:5" x14ac:dyDescent="0.25">
      <c r="A13" s="2">
        <v>1995</v>
      </c>
      <c r="B13">
        <v>0</v>
      </c>
      <c r="C13">
        <v>0.2</v>
      </c>
      <c r="D13">
        <v>1</v>
      </c>
      <c r="E13">
        <v>1</v>
      </c>
    </row>
    <row r="14" spans="1:5" x14ac:dyDescent="0.25">
      <c r="A14" s="1">
        <v>1996</v>
      </c>
      <c r="B14">
        <v>0</v>
      </c>
      <c r="C14">
        <v>0.2</v>
      </c>
      <c r="D14">
        <v>1</v>
      </c>
      <c r="E14">
        <v>1</v>
      </c>
    </row>
    <row r="15" spans="1:5" x14ac:dyDescent="0.25">
      <c r="A15" s="2">
        <v>1997</v>
      </c>
      <c r="B15">
        <v>0</v>
      </c>
      <c r="C15">
        <v>0.2</v>
      </c>
      <c r="D15">
        <v>1</v>
      </c>
      <c r="E15">
        <v>1</v>
      </c>
    </row>
    <row r="16" spans="1:5" x14ac:dyDescent="0.25">
      <c r="A16" s="1">
        <v>1998</v>
      </c>
      <c r="B16">
        <v>0</v>
      </c>
      <c r="C16">
        <v>0.2</v>
      </c>
      <c r="D16">
        <v>1</v>
      </c>
      <c r="E16">
        <v>1</v>
      </c>
    </row>
    <row r="17" spans="1:5" x14ac:dyDescent="0.25">
      <c r="A17" s="2">
        <v>1999</v>
      </c>
      <c r="B17">
        <v>0</v>
      </c>
      <c r="C17">
        <v>0.2</v>
      </c>
      <c r="D17">
        <v>1</v>
      </c>
      <c r="E17">
        <v>1</v>
      </c>
    </row>
    <row r="18" spans="1:5" x14ac:dyDescent="0.25">
      <c r="A18" s="1">
        <v>2000</v>
      </c>
      <c r="B18">
        <v>0</v>
      </c>
      <c r="C18">
        <v>0.2</v>
      </c>
      <c r="D18">
        <v>1</v>
      </c>
      <c r="E18">
        <v>1</v>
      </c>
    </row>
    <row r="19" spans="1:5" x14ac:dyDescent="0.25">
      <c r="A19" s="2">
        <v>2001</v>
      </c>
      <c r="B19">
        <v>0</v>
      </c>
      <c r="C19">
        <v>0.2</v>
      </c>
      <c r="D19">
        <v>1</v>
      </c>
      <c r="E19">
        <v>1</v>
      </c>
    </row>
    <row r="20" spans="1:5" x14ac:dyDescent="0.25">
      <c r="A20" s="1">
        <v>2002</v>
      </c>
      <c r="B20">
        <v>0</v>
      </c>
      <c r="C20">
        <v>0.2</v>
      </c>
      <c r="D20">
        <v>1</v>
      </c>
      <c r="E20">
        <v>1</v>
      </c>
    </row>
    <row r="21" spans="1:5" x14ac:dyDescent="0.25">
      <c r="A21" s="2">
        <v>2003</v>
      </c>
      <c r="B21">
        <v>0</v>
      </c>
      <c r="C21">
        <v>0.2</v>
      </c>
      <c r="D21">
        <v>1</v>
      </c>
      <c r="E21">
        <v>1</v>
      </c>
    </row>
    <row r="22" spans="1:5" x14ac:dyDescent="0.25">
      <c r="A22" s="1">
        <v>2004</v>
      </c>
      <c r="B22">
        <v>0</v>
      </c>
      <c r="C22">
        <v>0.2</v>
      </c>
      <c r="D22">
        <v>1</v>
      </c>
      <c r="E22">
        <v>1</v>
      </c>
    </row>
    <row r="23" spans="1:5" x14ac:dyDescent="0.25">
      <c r="A23" s="2">
        <v>2005</v>
      </c>
      <c r="B23">
        <v>0</v>
      </c>
      <c r="C23">
        <v>0.2</v>
      </c>
      <c r="D23">
        <v>1</v>
      </c>
      <c r="E23">
        <v>1</v>
      </c>
    </row>
    <row r="24" spans="1:5" x14ac:dyDescent="0.25">
      <c r="A24" s="1">
        <v>2006</v>
      </c>
      <c r="B24">
        <v>0</v>
      </c>
      <c r="C24">
        <v>0.2</v>
      </c>
      <c r="D24">
        <v>1</v>
      </c>
      <c r="E24">
        <v>1</v>
      </c>
    </row>
    <row r="25" spans="1:5" x14ac:dyDescent="0.25">
      <c r="A25" s="2">
        <v>2007</v>
      </c>
      <c r="B25">
        <v>0</v>
      </c>
      <c r="C25">
        <v>0.2</v>
      </c>
      <c r="D25">
        <v>1</v>
      </c>
      <c r="E25">
        <v>1</v>
      </c>
    </row>
    <row r="26" spans="1:5" x14ac:dyDescent="0.25">
      <c r="A26" s="1">
        <v>2008</v>
      </c>
      <c r="B26">
        <v>0</v>
      </c>
      <c r="C26">
        <v>0.2</v>
      </c>
      <c r="D26">
        <v>1</v>
      </c>
      <c r="E26">
        <v>1</v>
      </c>
    </row>
    <row r="27" spans="1:5" x14ac:dyDescent="0.25">
      <c r="A27" s="2">
        <v>2009</v>
      </c>
      <c r="B27">
        <v>0</v>
      </c>
      <c r="C27">
        <v>0.2</v>
      </c>
      <c r="D27">
        <v>1</v>
      </c>
      <c r="E27">
        <v>1</v>
      </c>
    </row>
    <row r="28" spans="1:5" x14ac:dyDescent="0.25">
      <c r="A28" s="1">
        <v>2010</v>
      </c>
      <c r="B28">
        <v>0</v>
      </c>
      <c r="C28">
        <v>0.2</v>
      </c>
      <c r="D28">
        <v>1</v>
      </c>
      <c r="E28">
        <v>1</v>
      </c>
    </row>
    <row r="29" spans="1:5" x14ac:dyDescent="0.25">
      <c r="A29" s="2">
        <v>2011</v>
      </c>
      <c r="B29">
        <v>0</v>
      </c>
      <c r="C29">
        <v>0.2</v>
      </c>
      <c r="D29">
        <v>1</v>
      </c>
      <c r="E29">
        <v>1</v>
      </c>
    </row>
    <row r="30" spans="1:5" x14ac:dyDescent="0.25">
      <c r="A30" s="1">
        <v>2012</v>
      </c>
      <c r="B30">
        <v>0</v>
      </c>
      <c r="C30">
        <v>0.2</v>
      </c>
      <c r="D30">
        <v>1</v>
      </c>
      <c r="E30">
        <v>1</v>
      </c>
    </row>
    <row r="31" spans="1:5" x14ac:dyDescent="0.25">
      <c r="A31" s="2">
        <v>2013</v>
      </c>
      <c r="B31">
        <v>0</v>
      </c>
      <c r="C31">
        <v>0.2</v>
      </c>
      <c r="D31">
        <v>1</v>
      </c>
      <c r="E31">
        <v>1</v>
      </c>
    </row>
    <row r="32" spans="1:5" x14ac:dyDescent="0.25">
      <c r="A32" s="1">
        <v>2014</v>
      </c>
      <c r="B32">
        <v>0</v>
      </c>
      <c r="C32">
        <v>0.2</v>
      </c>
      <c r="D32">
        <v>1</v>
      </c>
      <c r="E32">
        <v>1</v>
      </c>
    </row>
    <row r="33" spans="1:5" x14ac:dyDescent="0.25">
      <c r="A33" s="2">
        <v>2015</v>
      </c>
      <c r="B33">
        <v>0</v>
      </c>
      <c r="C33">
        <v>0.2</v>
      </c>
      <c r="D33">
        <v>1</v>
      </c>
      <c r="E33">
        <v>1</v>
      </c>
    </row>
    <row r="34" spans="1:5" x14ac:dyDescent="0.25">
      <c r="A34" s="1">
        <v>2016</v>
      </c>
      <c r="B34">
        <v>0</v>
      </c>
      <c r="C34">
        <v>0.2</v>
      </c>
      <c r="D34">
        <v>1</v>
      </c>
      <c r="E34">
        <v>1</v>
      </c>
    </row>
    <row r="35" spans="1:5" x14ac:dyDescent="0.25">
      <c r="A35" s="2">
        <v>2017</v>
      </c>
      <c r="B35">
        <v>0</v>
      </c>
      <c r="C35">
        <v>0.2</v>
      </c>
      <c r="D35">
        <v>1</v>
      </c>
      <c r="E35">
        <v>1</v>
      </c>
    </row>
    <row r="36" spans="1:5" x14ac:dyDescent="0.25">
      <c r="A36" s="1">
        <v>2018</v>
      </c>
      <c r="B36">
        <v>0</v>
      </c>
      <c r="C36">
        <v>0.2</v>
      </c>
      <c r="D36">
        <v>1</v>
      </c>
      <c r="E36">
        <v>1</v>
      </c>
    </row>
    <row r="37" spans="1:5" x14ac:dyDescent="0.25">
      <c r="A37" s="2">
        <v>2019</v>
      </c>
      <c r="B37">
        <v>0</v>
      </c>
      <c r="C37">
        <v>0.2</v>
      </c>
      <c r="D37">
        <v>1</v>
      </c>
      <c r="E37">
        <v>1</v>
      </c>
    </row>
    <row r="38" spans="1:5" x14ac:dyDescent="0.25">
      <c r="A38" s="1">
        <v>2020</v>
      </c>
      <c r="B38">
        <v>0</v>
      </c>
      <c r="C38">
        <v>0.2</v>
      </c>
      <c r="D38">
        <v>1</v>
      </c>
      <c r="E38">
        <v>1</v>
      </c>
    </row>
    <row r="39" spans="1:5" x14ac:dyDescent="0.25">
      <c r="A39" s="2">
        <v>2021</v>
      </c>
      <c r="B39">
        <v>0</v>
      </c>
      <c r="C39">
        <v>0.2</v>
      </c>
      <c r="D39">
        <v>1</v>
      </c>
      <c r="E39">
        <v>1</v>
      </c>
    </row>
    <row r="40" spans="1:5" x14ac:dyDescent="0.25">
      <c r="A40" s="1">
        <v>2022</v>
      </c>
      <c r="B40">
        <v>0</v>
      </c>
      <c r="C40">
        <v>0.2</v>
      </c>
      <c r="D40">
        <v>1</v>
      </c>
      <c r="E40">
        <v>1</v>
      </c>
    </row>
    <row r="41" spans="1:5" x14ac:dyDescent="0.25">
      <c r="A41" s="2">
        <v>2023</v>
      </c>
      <c r="B41">
        <v>0</v>
      </c>
      <c r="C41">
        <v>0.2</v>
      </c>
      <c r="D41">
        <v>1</v>
      </c>
      <c r="E41">
        <v>1</v>
      </c>
    </row>
    <row r="42" spans="1:5" x14ac:dyDescent="0.25">
      <c r="A42" s="1">
        <v>2024</v>
      </c>
      <c r="B42">
        <v>0</v>
      </c>
      <c r="C42">
        <v>0.2</v>
      </c>
      <c r="D42">
        <v>1</v>
      </c>
      <c r="E42">
        <v>1</v>
      </c>
    </row>
    <row r="43" spans="1:5" x14ac:dyDescent="0.25">
      <c r="A43" s="2">
        <v>2025</v>
      </c>
      <c r="B43">
        <v>0</v>
      </c>
      <c r="C43">
        <v>0.2</v>
      </c>
      <c r="D43">
        <v>1</v>
      </c>
      <c r="E43">
        <v>1</v>
      </c>
    </row>
    <row r="44" spans="1:5" x14ac:dyDescent="0.25">
      <c r="A44" s="1"/>
    </row>
    <row r="45" spans="1:5" x14ac:dyDescent="0.25">
      <c r="A45" s="2"/>
    </row>
    <row r="46" spans="1:5" x14ac:dyDescent="0.25">
      <c r="A46" s="4"/>
    </row>
    <row r="47" spans="1:5" x14ac:dyDescent="0.25">
      <c r="A47" s="2"/>
    </row>
    <row r="48" spans="1:5" x14ac:dyDescent="0.25">
      <c r="A48" s="3"/>
    </row>
    <row r="49" spans="1:1" x14ac:dyDescent="0.25">
      <c r="A49" s="2"/>
    </row>
    <row r="50" spans="1:1" x14ac:dyDescent="0.25">
      <c r="A50" s="4"/>
    </row>
    <row r="51" spans="1:1" x14ac:dyDescent="0.25">
      <c r="A51" s="2"/>
    </row>
    <row r="52" spans="1:1" x14ac:dyDescent="0.25">
      <c r="A52" s="3"/>
    </row>
    <row r="53" spans="1:1" x14ac:dyDescent="0.25">
      <c r="A53" s="2"/>
    </row>
    <row r="54" spans="1:1" x14ac:dyDescent="0.25">
      <c r="A54" s="4"/>
    </row>
    <row r="55" spans="1:1" x14ac:dyDescent="0.25">
      <c r="A55" s="2"/>
    </row>
    <row r="56" spans="1:1" x14ac:dyDescent="0.25">
      <c r="A56" s="3"/>
    </row>
    <row r="57" spans="1:1" x14ac:dyDescent="0.25">
      <c r="A57" s="2"/>
    </row>
    <row r="58" spans="1:1" x14ac:dyDescent="0.25">
      <c r="A58" s="4"/>
    </row>
    <row r="59" spans="1:1" x14ac:dyDescent="0.25">
      <c r="A59" s="2"/>
    </row>
    <row r="60" spans="1:1" x14ac:dyDescent="0.25">
      <c r="A60" s="3"/>
    </row>
    <row r="61" spans="1:1" x14ac:dyDescent="0.25">
      <c r="A61" s="2"/>
    </row>
    <row r="62" spans="1:1" x14ac:dyDescent="0.25">
      <c r="A62" s="4"/>
    </row>
    <row r="63" spans="1:1" x14ac:dyDescent="0.25">
      <c r="A63" s="2"/>
    </row>
    <row r="64" spans="1:1" x14ac:dyDescent="0.25">
      <c r="A64" s="3"/>
    </row>
    <row r="65" spans="1:1" x14ac:dyDescent="0.25">
      <c r="A65" s="2"/>
    </row>
    <row r="66" spans="1:1" x14ac:dyDescent="0.25">
      <c r="A66" s="4"/>
    </row>
    <row r="67" spans="1:1" x14ac:dyDescent="0.25">
      <c r="A67" s="2"/>
    </row>
    <row r="68" spans="1:1" x14ac:dyDescent="0.25">
      <c r="A68" s="3"/>
    </row>
    <row r="69" spans="1:1" x14ac:dyDescent="0.25">
      <c r="A69" s="2"/>
    </row>
    <row r="70" spans="1:1" x14ac:dyDescent="0.25">
      <c r="A70" s="4"/>
    </row>
    <row r="71" spans="1:1" x14ac:dyDescent="0.25">
      <c r="A71" s="2"/>
    </row>
    <row r="72" spans="1:1" x14ac:dyDescent="0.25">
      <c r="A72" s="7"/>
    </row>
    <row r="73" spans="1:1" x14ac:dyDescent="0.25">
      <c r="A73" s="8"/>
    </row>
    <row r="74" spans="1:1" x14ac:dyDescent="0.25">
      <c r="A74" s="4"/>
    </row>
    <row r="75" spans="1:1" x14ac:dyDescent="0.25">
      <c r="A75" s="2"/>
    </row>
    <row r="76" spans="1:1" x14ac:dyDescent="0.25">
      <c r="A76" s="3"/>
    </row>
    <row r="77" spans="1:1" x14ac:dyDescent="0.25">
      <c r="A77" s="2"/>
    </row>
    <row r="78" spans="1:1" x14ac:dyDescent="0.25">
      <c r="A78" s="4"/>
    </row>
    <row r="79" spans="1:1" x14ac:dyDescent="0.25">
      <c r="A79" s="2"/>
    </row>
    <row r="80" spans="1:1" x14ac:dyDescent="0.25">
      <c r="A80" s="3"/>
    </row>
    <row r="81" spans="1:1" x14ac:dyDescent="0.25">
      <c r="A81" s="2"/>
    </row>
    <row r="82" spans="1:1" x14ac:dyDescent="0.25">
      <c r="A82" s="4"/>
    </row>
    <row r="83" spans="1:1" x14ac:dyDescent="0.25">
      <c r="A83" s="2"/>
    </row>
    <row r="84" spans="1:1" x14ac:dyDescent="0.25">
      <c r="A84" s="3"/>
    </row>
    <row r="85" spans="1:1" x14ac:dyDescent="0.25">
      <c r="A85" s="2"/>
    </row>
    <row r="86" spans="1:1" x14ac:dyDescent="0.25">
      <c r="A86" s="4"/>
    </row>
    <row r="87" spans="1:1" x14ac:dyDescent="0.25">
      <c r="A87" s="2"/>
    </row>
    <row r="88" spans="1:1" x14ac:dyDescent="0.25">
      <c r="A88" s="3"/>
    </row>
    <row r="89" spans="1:1" x14ac:dyDescent="0.25">
      <c r="A89" s="2"/>
    </row>
    <row r="90" spans="1:1" x14ac:dyDescent="0.25">
      <c r="A90" s="4"/>
    </row>
    <row r="91" spans="1:1" x14ac:dyDescent="0.25">
      <c r="A91" s="2"/>
    </row>
    <row r="92" spans="1:1" x14ac:dyDescent="0.25">
      <c r="A92" s="3"/>
    </row>
    <row r="93" spans="1:1" x14ac:dyDescent="0.25">
      <c r="A93" s="2"/>
    </row>
    <row r="94" spans="1:1" x14ac:dyDescent="0.25">
      <c r="A94" s="4"/>
    </row>
    <row r="95" spans="1:1" x14ac:dyDescent="0.25">
      <c r="A95" s="2"/>
    </row>
    <row r="96" spans="1:1" x14ac:dyDescent="0.25">
      <c r="A96" s="3"/>
    </row>
    <row r="97" spans="1:1" x14ac:dyDescent="0.25">
      <c r="A97" s="2"/>
    </row>
    <row r="98" spans="1:1" x14ac:dyDescent="0.25">
      <c r="A98" s="4"/>
    </row>
    <row r="99" spans="1:1" x14ac:dyDescent="0.25">
      <c r="A99" s="2"/>
    </row>
    <row r="100" spans="1:1" x14ac:dyDescent="0.25">
      <c r="A100" s="3"/>
    </row>
    <row r="101" spans="1:1" x14ac:dyDescent="0.25">
      <c r="A101" s="5"/>
    </row>
    <row r="102" spans="1:1" x14ac:dyDescent="0.25">
      <c r="A102" s="1"/>
    </row>
    <row r="103" spans="1:1" x14ac:dyDescent="0.25">
      <c r="A103" s="2"/>
    </row>
    <row r="104" spans="1:1" x14ac:dyDescent="0.25">
      <c r="A104" s="3"/>
    </row>
    <row r="105" spans="1:1" x14ac:dyDescent="0.25">
      <c r="A105" s="2"/>
    </row>
    <row r="106" spans="1:1" x14ac:dyDescent="0.25">
      <c r="A106" s="4"/>
    </row>
    <row r="107" spans="1:1" x14ac:dyDescent="0.25">
      <c r="A107" s="2"/>
    </row>
    <row r="108" spans="1:1" x14ac:dyDescent="0.25">
      <c r="A108" s="3"/>
    </row>
    <row r="109" spans="1:1" x14ac:dyDescent="0.25">
      <c r="A109" s="2"/>
    </row>
    <row r="110" spans="1:1" x14ac:dyDescent="0.25">
      <c r="A110" s="4"/>
    </row>
    <row r="111" spans="1:1" x14ac:dyDescent="0.25">
      <c r="A111" s="2"/>
    </row>
    <row r="112" spans="1:1" x14ac:dyDescent="0.25">
      <c r="A112" s="3"/>
    </row>
    <row r="113" spans="1:1" x14ac:dyDescent="0.25">
      <c r="A113" s="2"/>
    </row>
    <row r="114" spans="1:1" x14ac:dyDescent="0.25">
      <c r="A114" s="4"/>
    </row>
    <row r="115" spans="1:1" x14ac:dyDescent="0.25">
      <c r="A115" s="2"/>
    </row>
    <row r="116" spans="1:1" x14ac:dyDescent="0.25">
      <c r="A116" s="3"/>
    </row>
    <row r="117" spans="1:1" x14ac:dyDescent="0.25">
      <c r="A117" s="2"/>
    </row>
    <row r="118" spans="1:1" x14ac:dyDescent="0.25">
      <c r="A118" s="4"/>
    </row>
    <row r="119" spans="1:1" x14ac:dyDescent="0.25">
      <c r="A119" s="2"/>
    </row>
    <row r="120" spans="1:1" x14ac:dyDescent="0.25">
      <c r="A120" s="3"/>
    </row>
    <row r="121" spans="1:1" x14ac:dyDescent="0.25">
      <c r="A121" s="2"/>
    </row>
    <row r="122" spans="1:1" x14ac:dyDescent="0.25">
      <c r="A122" s="4"/>
    </row>
    <row r="123" spans="1:1" x14ac:dyDescent="0.25">
      <c r="A123" s="2"/>
    </row>
    <row r="124" spans="1:1" x14ac:dyDescent="0.25">
      <c r="A124" s="3"/>
    </row>
    <row r="125" spans="1:1" x14ac:dyDescent="0.25">
      <c r="A125" s="2"/>
    </row>
    <row r="126" spans="1:1" x14ac:dyDescent="0.25">
      <c r="A126" s="4"/>
    </row>
    <row r="127" spans="1:1" x14ac:dyDescent="0.25">
      <c r="A127" s="2"/>
    </row>
    <row r="128" spans="1:1" x14ac:dyDescent="0.25">
      <c r="A128" s="3"/>
    </row>
    <row r="129" spans="1:1" x14ac:dyDescent="0.25">
      <c r="A129" s="2"/>
    </row>
    <row r="130" spans="1:1" x14ac:dyDescent="0.25">
      <c r="A130" s="9"/>
    </row>
    <row r="131" spans="1:1" x14ac:dyDescent="0.25">
      <c r="A131" s="8"/>
    </row>
    <row r="132" spans="1:1" x14ac:dyDescent="0.25">
      <c r="A132" s="3"/>
    </row>
    <row r="133" spans="1:1" x14ac:dyDescent="0.25">
      <c r="A133" s="2"/>
    </row>
    <row r="134" spans="1:1" x14ac:dyDescent="0.25">
      <c r="A134" s="4"/>
    </row>
    <row r="135" spans="1:1" x14ac:dyDescent="0.25">
      <c r="A135" s="2"/>
    </row>
    <row r="136" spans="1:1" x14ac:dyDescent="0.25">
      <c r="A136" s="3"/>
    </row>
    <row r="137" spans="1:1" x14ac:dyDescent="0.25">
      <c r="A137" s="2"/>
    </row>
    <row r="138" spans="1:1" x14ac:dyDescent="0.25">
      <c r="A138" s="4"/>
    </row>
    <row r="139" spans="1:1" x14ac:dyDescent="0.25">
      <c r="A139" s="2"/>
    </row>
    <row r="140" spans="1:1" x14ac:dyDescent="0.25">
      <c r="A140" s="3"/>
    </row>
    <row r="141" spans="1:1" x14ac:dyDescent="0.25">
      <c r="A141" s="2"/>
    </row>
    <row r="142" spans="1:1" x14ac:dyDescent="0.25">
      <c r="A142" s="4"/>
    </row>
    <row r="143" spans="1:1" x14ac:dyDescent="0.25">
      <c r="A143" s="2"/>
    </row>
    <row r="144" spans="1:1" x14ac:dyDescent="0.25">
      <c r="A144" s="3"/>
    </row>
    <row r="145" spans="1:1" x14ac:dyDescent="0.25">
      <c r="A145" s="2"/>
    </row>
    <row r="146" spans="1:1" x14ac:dyDescent="0.25">
      <c r="A146" s="4"/>
    </row>
    <row r="147" spans="1:1" x14ac:dyDescent="0.25">
      <c r="A147" s="2"/>
    </row>
    <row r="148" spans="1:1" x14ac:dyDescent="0.25">
      <c r="A148" s="3"/>
    </row>
    <row r="149" spans="1:1" x14ac:dyDescent="0.25">
      <c r="A149" s="2"/>
    </row>
    <row r="150" spans="1:1" x14ac:dyDescent="0.25">
      <c r="A150" s="4"/>
    </row>
    <row r="151" spans="1:1" x14ac:dyDescent="0.25">
      <c r="A151" s="2"/>
    </row>
    <row r="152" spans="1:1" x14ac:dyDescent="0.25">
      <c r="A152" s="3"/>
    </row>
    <row r="153" spans="1:1" x14ac:dyDescent="0.25">
      <c r="A153" s="2"/>
    </row>
    <row r="154" spans="1:1" x14ac:dyDescent="0.25">
      <c r="A154" s="4"/>
    </row>
    <row r="155" spans="1:1" x14ac:dyDescent="0.25">
      <c r="A155" s="2"/>
    </row>
    <row r="156" spans="1:1" x14ac:dyDescent="0.25">
      <c r="A156" s="3"/>
    </row>
    <row r="157" spans="1:1" x14ac:dyDescent="0.25">
      <c r="A157" s="2"/>
    </row>
    <row r="158" spans="1:1" x14ac:dyDescent="0.25">
      <c r="A158" s="4"/>
    </row>
    <row r="159" spans="1:1" x14ac:dyDescent="0.25">
      <c r="A159" s="5"/>
    </row>
    <row r="160" spans="1:1" x14ac:dyDescent="0.25">
      <c r="A160" s="6"/>
    </row>
    <row r="161" spans="1:1" x14ac:dyDescent="0.25">
      <c r="A161" s="2"/>
    </row>
    <row r="162" spans="1:1" x14ac:dyDescent="0.25">
      <c r="A162" s="4"/>
    </row>
    <row r="163" spans="1:1" x14ac:dyDescent="0.25">
      <c r="A163" s="2"/>
    </row>
    <row r="164" spans="1:1" x14ac:dyDescent="0.25">
      <c r="A164" s="3"/>
    </row>
    <row r="165" spans="1:1" x14ac:dyDescent="0.25">
      <c r="A165" s="2"/>
    </row>
    <row r="166" spans="1:1" x14ac:dyDescent="0.25">
      <c r="A166" s="4"/>
    </row>
    <row r="167" spans="1:1" x14ac:dyDescent="0.25">
      <c r="A167" s="2"/>
    </row>
    <row r="168" spans="1:1" x14ac:dyDescent="0.25">
      <c r="A168" s="3"/>
    </row>
    <row r="169" spans="1:1" x14ac:dyDescent="0.25">
      <c r="A16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E923-B71D-4B93-BD53-CCBBBE8C058B}">
  <sheetPr codeName="Sheet4"/>
  <dimension ref="A1:E169"/>
  <sheetViews>
    <sheetView workbookViewId="0">
      <selection activeCell="B2" sqref="B2:E2"/>
    </sheetView>
  </sheetViews>
  <sheetFormatPr defaultRowHeight="15" x14ac:dyDescent="0.25"/>
  <sheetData>
    <row r="1" spans="1:5" x14ac:dyDescent="0.25">
      <c r="B1">
        <v>0</v>
      </c>
      <c r="C1">
        <v>1</v>
      </c>
      <c r="D1">
        <v>2</v>
      </c>
      <c r="E1">
        <v>3</v>
      </c>
    </row>
    <row r="2" spans="1:5" x14ac:dyDescent="0.25">
      <c r="A2" s="1">
        <v>1984</v>
      </c>
      <c r="B2">
        <f>4/1000</f>
        <v>4.0000000000000001E-3</v>
      </c>
      <c r="C2">
        <f>25/1000</f>
        <v>2.5000000000000001E-2</v>
      </c>
      <c r="D2">
        <f>40/1000</f>
        <v>0.04</v>
      </c>
      <c r="E2">
        <f>60/1000</f>
        <v>0.06</v>
      </c>
    </row>
    <row r="3" spans="1:5" x14ac:dyDescent="0.25">
      <c r="A3" s="2">
        <v>1985</v>
      </c>
      <c r="B3">
        <f t="shared" ref="B3:B43" si="0">4/1000</f>
        <v>4.0000000000000001E-3</v>
      </c>
      <c r="C3">
        <f t="shared" ref="C3:C43" si="1">25/1000</f>
        <v>2.5000000000000001E-2</v>
      </c>
      <c r="D3">
        <f t="shared" ref="D3:D43" si="2">40/1000</f>
        <v>0.04</v>
      </c>
      <c r="E3">
        <f t="shared" ref="E3:E43" si="3">60/1000</f>
        <v>0.06</v>
      </c>
    </row>
    <row r="4" spans="1:5" x14ac:dyDescent="0.25">
      <c r="A4" s="1">
        <v>1986</v>
      </c>
      <c r="B4">
        <f t="shared" si="0"/>
        <v>4.0000000000000001E-3</v>
      </c>
      <c r="C4">
        <f t="shared" si="1"/>
        <v>2.5000000000000001E-2</v>
      </c>
      <c r="D4">
        <f t="shared" si="2"/>
        <v>0.04</v>
      </c>
      <c r="E4">
        <f t="shared" si="3"/>
        <v>0.06</v>
      </c>
    </row>
    <row r="5" spans="1:5" x14ac:dyDescent="0.25">
      <c r="A5" s="2">
        <v>1987</v>
      </c>
      <c r="B5">
        <f t="shared" si="0"/>
        <v>4.0000000000000001E-3</v>
      </c>
      <c r="C5">
        <f t="shared" si="1"/>
        <v>2.5000000000000001E-2</v>
      </c>
      <c r="D5">
        <f t="shared" si="2"/>
        <v>0.04</v>
      </c>
      <c r="E5">
        <f t="shared" si="3"/>
        <v>0.06</v>
      </c>
    </row>
    <row r="6" spans="1:5" x14ac:dyDescent="0.25">
      <c r="A6" s="1">
        <v>1988</v>
      </c>
      <c r="B6">
        <f t="shared" si="0"/>
        <v>4.0000000000000001E-3</v>
      </c>
      <c r="C6">
        <f t="shared" si="1"/>
        <v>2.5000000000000001E-2</v>
      </c>
      <c r="D6">
        <f t="shared" si="2"/>
        <v>0.04</v>
      </c>
      <c r="E6">
        <f t="shared" si="3"/>
        <v>0.06</v>
      </c>
    </row>
    <row r="7" spans="1:5" x14ac:dyDescent="0.25">
      <c r="A7" s="2">
        <v>1989</v>
      </c>
      <c r="B7">
        <f t="shared" si="0"/>
        <v>4.0000000000000001E-3</v>
      </c>
      <c r="C7">
        <f t="shared" si="1"/>
        <v>2.5000000000000001E-2</v>
      </c>
      <c r="D7">
        <f t="shared" si="2"/>
        <v>0.04</v>
      </c>
      <c r="E7">
        <f t="shared" si="3"/>
        <v>0.06</v>
      </c>
    </row>
    <row r="8" spans="1:5" x14ac:dyDescent="0.25">
      <c r="A8" s="1">
        <v>1990</v>
      </c>
      <c r="B8">
        <f t="shared" si="0"/>
        <v>4.0000000000000001E-3</v>
      </c>
      <c r="C8">
        <f t="shared" si="1"/>
        <v>2.5000000000000001E-2</v>
      </c>
      <c r="D8">
        <f t="shared" si="2"/>
        <v>0.04</v>
      </c>
      <c r="E8">
        <f t="shared" si="3"/>
        <v>0.06</v>
      </c>
    </row>
    <row r="9" spans="1:5" x14ac:dyDescent="0.25">
      <c r="A9" s="2">
        <v>1991</v>
      </c>
      <c r="B9">
        <f t="shared" si="0"/>
        <v>4.0000000000000001E-3</v>
      </c>
      <c r="C9">
        <f t="shared" si="1"/>
        <v>2.5000000000000001E-2</v>
      </c>
      <c r="D9">
        <f t="shared" si="2"/>
        <v>0.04</v>
      </c>
      <c r="E9">
        <f t="shared" si="3"/>
        <v>0.06</v>
      </c>
    </row>
    <row r="10" spans="1:5" x14ac:dyDescent="0.25">
      <c r="A10" s="1">
        <v>1992</v>
      </c>
      <c r="B10">
        <f t="shared" si="0"/>
        <v>4.0000000000000001E-3</v>
      </c>
      <c r="C10">
        <f t="shared" si="1"/>
        <v>2.5000000000000001E-2</v>
      </c>
      <c r="D10">
        <f t="shared" si="2"/>
        <v>0.04</v>
      </c>
      <c r="E10">
        <f t="shared" si="3"/>
        <v>0.06</v>
      </c>
    </row>
    <row r="11" spans="1:5" x14ac:dyDescent="0.25">
      <c r="A11" s="2">
        <v>1993</v>
      </c>
      <c r="B11">
        <f t="shared" si="0"/>
        <v>4.0000000000000001E-3</v>
      </c>
      <c r="C11">
        <f t="shared" si="1"/>
        <v>2.5000000000000001E-2</v>
      </c>
      <c r="D11">
        <f t="shared" si="2"/>
        <v>0.04</v>
      </c>
      <c r="E11">
        <f t="shared" si="3"/>
        <v>0.06</v>
      </c>
    </row>
    <row r="12" spans="1:5" x14ac:dyDescent="0.25">
      <c r="A12" s="1">
        <v>1994</v>
      </c>
      <c r="B12">
        <f t="shared" si="0"/>
        <v>4.0000000000000001E-3</v>
      </c>
      <c r="C12">
        <f t="shared" si="1"/>
        <v>2.5000000000000001E-2</v>
      </c>
      <c r="D12">
        <f t="shared" si="2"/>
        <v>0.04</v>
      </c>
      <c r="E12">
        <f t="shared" si="3"/>
        <v>0.06</v>
      </c>
    </row>
    <row r="13" spans="1:5" x14ac:dyDescent="0.25">
      <c r="A13" s="2">
        <v>1995</v>
      </c>
      <c r="B13">
        <f t="shared" si="0"/>
        <v>4.0000000000000001E-3</v>
      </c>
      <c r="C13">
        <f t="shared" si="1"/>
        <v>2.5000000000000001E-2</v>
      </c>
      <c r="D13">
        <f t="shared" si="2"/>
        <v>0.04</v>
      </c>
      <c r="E13">
        <f t="shared" si="3"/>
        <v>0.06</v>
      </c>
    </row>
    <row r="14" spans="1:5" x14ac:dyDescent="0.25">
      <c r="A14" s="1">
        <v>1996</v>
      </c>
      <c r="B14">
        <f t="shared" si="0"/>
        <v>4.0000000000000001E-3</v>
      </c>
      <c r="C14">
        <f t="shared" si="1"/>
        <v>2.5000000000000001E-2</v>
      </c>
      <c r="D14">
        <f t="shared" si="2"/>
        <v>0.04</v>
      </c>
      <c r="E14">
        <f t="shared" si="3"/>
        <v>0.06</v>
      </c>
    </row>
    <row r="15" spans="1:5" x14ac:dyDescent="0.25">
      <c r="A15" s="2">
        <v>1997</v>
      </c>
      <c r="B15">
        <f t="shared" si="0"/>
        <v>4.0000000000000001E-3</v>
      </c>
      <c r="C15">
        <f t="shared" si="1"/>
        <v>2.5000000000000001E-2</v>
      </c>
      <c r="D15">
        <f t="shared" si="2"/>
        <v>0.04</v>
      </c>
      <c r="E15">
        <f t="shared" si="3"/>
        <v>0.06</v>
      </c>
    </row>
    <row r="16" spans="1:5" x14ac:dyDescent="0.25">
      <c r="A16" s="1">
        <v>1998</v>
      </c>
      <c r="B16">
        <f t="shared" si="0"/>
        <v>4.0000000000000001E-3</v>
      </c>
      <c r="C16">
        <f t="shared" si="1"/>
        <v>2.5000000000000001E-2</v>
      </c>
      <c r="D16">
        <f t="shared" si="2"/>
        <v>0.04</v>
      </c>
      <c r="E16">
        <f t="shared" si="3"/>
        <v>0.06</v>
      </c>
    </row>
    <row r="17" spans="1:5" x14ac:dyDescent="0.25">
      <c r="A17" s="2">
        <v>1999</v>
      </c>
      <c r="B17">
        <f t="shared" si="0"/>
        <v>4.0000000000000001E-3</v>
      </c>
      <c r="C17">
        <f t="shared" si="1"/>
        <v>2.5000000000000001E-2</v>
      </c>
      <c r="D17">
        <f t="shared" si="2"/>
        <v>0.04</v>
      </c>
      <c r="E17">
        <f t="shared" si="3"/>
        <v>0.06</v>
      </c>
    </row>
    <row r="18" spans="1:5" x14ac:dyDescent="0.25">
      <c r="A18" s="1">
        <v>2000</v>
      </c>
      <c r="B18">
        <f t="shared" si="0"/>
        <v>4.0000000000000001E-3</v>
      </c>
      <c r="C18">
        <f t="shared" si="1"/>
        <v>2.5000000000000001E-2</v>
      </c>
      <c r="D18">
        <f t="shared" si="2"/>
        <v>0.04</v>
      </c>
      <c r="E18">
        <f t="shared" si="3"/>
        <v>0.06</v>
      </c>
    </row>
    <row r="19" spans="1:5" x14ac:dyDescent="0.25">
      <c r="A19" s="2">
        <v>2001</v>
      </c>
      <c r="B19">
        <f t="shared" si="0"/>
        <v>4.0000000000000001E-3</v>
      </c>
      <c r="C19">
        <f t="shared" si="1"/>
        <v>2.5000000000000001E-2</v>
      </c>
      <c r="D19">
        <f t="shared" si="2"/>
        <v>0.04</v>
      </c>
      <c r="E19">
        <f t="shared" si="3"/>
        <v>0.06</v>
      </c>
    </row>
    <row r="20" spans="1:5" x14ac:dyDescent="0.25">
      <c r="A20" s="1">
        <v>2002</v>
      </c>
      <c r="B20">
        <f t="shared" si="0"/>
        <v>4.0000000000000001E-3</v>
      </c>
      <c r="C20">
        <f t="shared" si="1"/>
        <v>2.5000000000000001E-2</v>
      </c>
      <c r="D20">
        <f t="shared" si="2"/>
        <v>0.04</v>
      </c>
      <c r="E20">
        <f t="shared" si="3"/>
        <v>0.06</v>
      </c>
    </row>
    <row r="21" spans="1:5" x14ac:dyDescent="0.25">
      <c r="A21" s="2">
        <v>2003</v>
      </c>
      <c r="B21">
        <f t="shared" si="0"/>
        <v>4.0000000000000001E-3</v>
      </c>
      <c r="C21">
        <f t="shared" si="1"/>
        <v>2.5000000000000001E-2</v>
      </c>
      <c r="D21">
        <f t="shared" si="2"/>
        <v>0.04</v>
      </c>
      <c r="E21">
        <f t="shared" si="3"/>
        <v>0.06</v>
      </c>
    </row>
    <row r="22" spans="1:5" x14ac:dyDescent="0.25">
      <c r="A22" s="1">
        <v>2004</v>
      </c>
      <c r="B22">
        <f t="shared" si="0"/>
        <v>4.0000000000000001E-3</v>
      </c>
      <c r="C22">
        <f t="shared" si="1"/>
        <v>2.5000000000000001E-2</v>
      </c>
      <c r="D22">
        <f t="shared" si="2"/>
        <v>0.04</v>
      </c>
      <c r="E22">
        <f t="shared" si="3"/>
        <v>0.06</v>
      </c>
    </row>
    <row r="23" spans="1:5" x14ac:dyDescent="0.25">
      <c r="A23" s="2">
        <v>2005</v>
      </c>
      <c r="B23">
        <f t="shared" si="0"/>
        <v>4.0000000000000001E-3</v>
      </c>
      <c r="C23">
        <f t="shared" si="1"/>
        <v>2.5000000000000001E-2</v>
      </c>
      <c r="D23">
        <f t="shared" si="2"/>
        <v>0.04</v>
      </c>
      <c r="E23">
        <f t="shared" si="3"/>
        <v>0.06</v>
      </c>
    </row>
    <row r="24" spans="1:5" x14ac:dyDescent="0.25">
      <c r="A24" s="1">
        <v>2006</v>
      </c>
      <c r="B24">
        <f t="shared" si="0"/>
        <v>4.0000000000000001E-3</v>
      </c>
      <c r="C24">
        <f t="shared" si="1"/>
        <v>2.5000000000000001E-2</v>
      </c>
      <c r="D24">
        <f t="shared" si="2"/>
        <v>0.04</v>
      </c>
      <c r="E24">
        <f t="shared" si="3"/>
        <v>0.06</v>
      </c>
    </row>
    <row r="25" spans="1:5" x14ac:dyDescent="0.25">
      <c r="A25" s="2">
        <v>2007</v>
      </c>
      <c r="B25">
        <f t="shared" si="0"/>
        <v>4.0000000000000001E-3</v>
      </c>
      <c r="C25">
        <f t="shared" si="1"/>
        <v>2.5000000000000001E-2</v>
      </c>
      <c r="D25">
        <f t="shared" si="2"/>
        <v>0.04</v>
      </c>
      <c r="E25">
        <f t="shared" si="3"/>
        <v>0.06</v>
      </c>
    </row>
    <row r="26" spans="1:5" x14ac:dyDescent="0.25">
      <c r="A26" s="1">
        <v>2008</v>
      </c>
      <c r="B26">
        <f t="shared" si="0"/>
        <v>4.0000000000000001E-3</v>
      </c>
      <c r="C26">
        <f t="shared" si="1"/>
        <v>2.5000000000000001E-2</v>
      </c>
      <c r="D26">
        <f t="shared" si="2"/>
        <v>0.04</v>
      </c>
      <c r="E26">
        <f t="shared" si="3"/>
        <v>0.06</v>
      </c>
    </row>
    <row r="27" spans="1:5" x14ac:dyDescent="0.25">
      <c r="A27" s="2">
        <v>2009</v>
      </c>
      <c r="B27">
        <f t="shared" si="0"/>
        <v>4.0000000000000001E-3</v>
      </c>
      <c r="C27">
        <f t="shared" si="1"/>
        <v>2.5000000000000001E-2</v>
      </c>
      <c r="D27">
        <f t="shared" si="2"/>
        <v>0.04</v>
      </c>
      <c r="E27">
        <f t="shared" si="3"/>
        <v>0.06</v>
      </c>
    </row>
    <row r="28" spans="1:5" x14ac:dyDescent="0.25">
      <c r="A28" s="1">
        <v>2010</v>
      </c>
      <c r="B28">
        <f t="shared" si="0"/>
        <v>4.0000000000000001E-3</v>
      </c>
      <c r="C28">
        <f t="shared" si="1"/>
        <v>2.5000000000000001E-2</v>
      </c>
      <c r="D28">
        <f t="shared" si="2"/>
        <v>0.04</v>
      </c>
      <c r="E28">
        <f t="shared" si="3"/>
        <v>0.06</v>
      </c>
    </row>
    <row r="29" spans="1:5" x14ac:dyDescent="0.25">
      <c r="A29" s="2">
        <v>2011</v>
      </c>
      <c r="B29">
        <f t="shared" si="0"/>
        <v>4.0000000000000001E-3</v>
      </c>
      <c r="C29">
        <f t="shared" si="1"/>
        <v>2.5000000000000001E-2</v>
      </c>
      <c r="D29">
        <f t="shared" si="2"/>
        <v>0.04</v>
      </c>
      <c r="E29">
        <f t="shared" si="3"/>
        <v>0.06</v>
      </c>
    </row>
    <row r="30" spans="1:5" x14ac:dyDescent="0.25">
      <c r="A30" s="1">
        <v>2012</v>
      </c>
      <c r="B30">
        <f t="shared" si="0"/>
        <v>4.0000000000000001E-3</v>
      </c>
      <c r="C30">
        <f t="shared" si="1"/>
        <v>2.5000000000000001E-2</v>
      </c>
      <c r="D30">
        <f t="shared" si="2"/>
        <v>0.04</v>
      </c>
      <c r="E30">
        <f t="shared" si="3"/>
        <v>0.06</v>
      </c>
    </row>
    <row r="31" spans="1:5" x14ac:dyDescent="0.25">
      <c r="A31" s="2">
        <v>2013</v>
      </c>
      <c r="B31">
        <f t="shared" si="0"/>
        <v>4.0000000000000001E-3</v>
      </c>
      <c r="C31">
        <f t="shared" si="1"/>
        <v>2.5000000000000001E-2</v>
      </c>
      <c r="D31">
        <f t="shared" si="2"/>
        <v>0.04</v>
      </c>
      <c r="E31">
        <f t="shared" si="3"/>
        <v>0.06</v>
      </c>
    </row>
    <row r="32" spans="1:5" x14ac:dyDescent="0.25">
      <c r="A32" s="1">
        <v>2014</v>
      </c>
      <c r="B32">
        <f t="shared" si="0"/>
        <v>4.0000000000000001E-3</v>
      </c>
      <c r="C32">
        <f t="shared" si="1"/>
        <v>2.5000000000000001E-2</v>
      </c>
      <c r="D32">
        <f t="shared" si="2"/>
        <v>0.04</v>
      </c>
      <c r="E32">
        <f t="shared" si="3"/>
        <v>0.06</v>
      </c>
    </row>
    <row r="33" spans="1:5" x14ac:dyDescent="0.25">
      <c r="A33" s="2">
        <v>2015</v>
      </c>
      <c r="B33">
        <f t="shared" si="0"/>
        <v>4.0000000000000001E-3</v>
      </c>
      <c r="C33">
        <f t="shared" si="1"/>
        <v>2.5000000000000001E-2</v>
      </c>
      <c r="D33">
        <f t="shared" si="2"/>
        <v>0.04</v>
      </c>
      <c r="E33">
        <f t="shared" si="3"/>
        <v>0.06</v>
      </c>
    </row>
    <row r="34" spans="1:5" x14ac:dyDescent="0.25">
      <c r="A34" s="1">
        <v>2016</v>
      </c>
      <c r="B34">
        <f t="shared" si="0"/>
        <v>4.0000000000000001E-3</v>
      </c>
      <c r="C34">
        <f t="shared" si="1"/>
        <v>2.5000000000000001E-2</v>
      </c>
      <c r="D34">
        <f t="shared" si="2"/>
        <v>0.04</v>
      </c>
      <c r="E34">
        <f t="shared" si="3"/>
        <v>0.06</v>
      </c>
    </row>
    <row r="35" spans="1:5" x14ac:dyDescent="0.25">
      <c r="A35" s="2">
        <v>2017</v>
      </c>
      <c r="B35">
        <f t="shared" si="0"/>
        <v>4.0000000000000001E-3</v>
      </c>
      <c r="C35">
        <f t="shared" si="1"/>
        <v>2.5000000000000001E-2</v>
      </c>
      <c r="D35">
        <f t="shared" si="2"/>
        <v>0.04</v>
      </c>
      <c r="E35">
        <f t="shared" si="3"/>
        <v>0.06</v>
      </c>
    </row>
    <row r="36" spans="1:5" x14ac:dyDescent="0.25">
      <c r="A36" s="1">
        <v>2018</v>
      </c>
      <c r="B36">
        <f t="shared" si="0"/>
        <v>4.0000000000000001E-3</v>
      </c>
      <c r="C36">
        <f t="shared" si="1"/>
        <v>2.5000000000000001E-2</v>
      </c>
      <c r="D36">
        <f t="shared" si="2"/>
        <v>0.04</v>
      </c>
      <c r="E36">
        <f t="shared" si="3"/>
        <v>0.06</v>
      </c>
    </row>
    <row r="37" spans="1:5" x14ac:dyDescent="0.25">
      <c r="A37" s="2">
        <v>2019</v>
      </c>
      <c r="B37">
        <f t="shared" si="0"/>
        <v>4.0000000000000001E-3</v>
      </c>
      <c r="C37">
        <f t="shared" si="1"/>
        <v>2.5000000000000001E-2</v>
      </c>
      <c r="D37">
        <f t="shared" si="2"/>
        <v>0.04</v>
      </c>
      <c r="E37">
        <f t="shared" si="3"/>
        <v>0.06</v>
      </c>
    </row>
    <row r="38" spans="1:5" x14ac:dyDescent="0.25">
      <c r="A38" s="1">
        <v>2020</v>
      </c>
      <c r="B38">
        <f t="shared" si="0"/>
        <v>4.0000000000000001E-3</v>
      </c>
      <c r="C38">
        <f t="shared" si="1"/>
        <v>2.5000000000000001E-2</v>
      </c>
      <c r="D38">
        <f t="shared" si="2"/>
        <v>0.04</v>
      </c>
      <c r="E38">
        <f t="shared" si="3"/>
        <v>0.06</v>
      </c>
    </row>
    <row r="39" spans="1:5" x14ac:dyDescent="0.25">
      <c r="A39" s="2">
        <v>2021</v>
      </c>
      <c r="B39">
        <f t="shared" si="0"/>
        <v>4.0000000000000001E-3</v>
      </c>
      <c r="C39">
        <f t="shared" si="1"/>
        <v>2.5000000000000001E-2</v>
      </c>
      <c r="D39">
        <f t="shared" si="2"/>
        <v>0.04</v>
      </c>
      <c r="E39">
        <f t="shared" si="3"/>
        <v>0.06</v>
      </c>
    </row>
    <row r="40" spans="1:5" x14ac:dyDescent="0.25">
      <c r="A40" s="1">
        <v>2022</v>
      </c>
      <c r="B40">
        <f t="shared" si="0"/>
        <v>4.0000000000000001E-3</v>
      </c>
      <c r="C40">
        <f t="shared" si="1"/>
        <v>2.5000000000000001E-2</v>
      </c>
      <c r="D40">
        <f t="shared" si="2"/>
        <v>0.04</v>
      </c>
      <c r="E40">
        <f t="shared" si="3"/>
        <v>0.06</v>
      </c>
    </row>
    <row r="41" spans="1:5" x14ac:dyDescent="0.25">
      <c r="A41" s="2">
        <v>2023</v>
      </c>
      <c r="B41">
        <f t="shared" si="0"/>
        <v>4.0000000000000001E-3</v>
      </c>
      <c r="C41">
        <f t="shared" si="1"/>
        <v>2.5000000000000001E-2</v>
      </c>
      <c r="D41">
        <f t="shared" si="2"/>
        <v>0.04</v>
      </c>
      <c r="E41">
        <f t="shared" si="3"/>
        <v>0.06</v>
      </c>
    </row>
    <row r="42" spans="1:5" x14ac:dyDescent="0.25">
      <c r="A42" s="1">
        <v>2024</v>
      </c>
      <c r="B42">
        <f t="shared" si="0"/>
        <v>4.0000000000000001E-3</v>
      </c>
      <c r="C42">
        <f t="shared" si="1"/>
        <v>2.5000000000000001E-2</v>
      </c>
      <c r="D42">
        <f t="shared" si="2"/>
        <v>0.04</v>
      </c>
      <c r="E42">
        <f t="shared" si="3"/>
        <v>0.06</v>
      </c>
    </row>
    <row r="43" spans="1:5" x14ac:dyDescent="0.25">
      <c r="A43" s="2">
        <v>2025</v>
      </c>
      <c r="B43">
        <f t="shared" si="0"/>
        <v>4.0000000000000001E-3</v>
      </c>
      <c r="C43">
        <f t="shared" si="1"/>
        <v>2.5000000000000001E-2</v>
      </c>
      <c r="D43">
        <f t="shared" si="2"/>
        <v>0.04</v>
      </c>
      <c r="E43">
        <f t="shared" si="3"/>
        <v>0.06</v>
      </c>
    </row>
    <row r="44" spans="1:5" x14ac:dyDescent="0.25">
      <c r="A44" s="1"/>
    </row>
    <row r="45" spans="1:5" x14ac:dyDescent="0.25">
      <c r="A45" s="2"/>
    </row>
    <row r="46" spans="1:5" x14ac:dyDescent="0.25">
      <c r="A46" s="4"/>
    </row>
    <row r="47" spans="1:5" x14ac:dyDescent="0.25">
      <c r="A47" s="2"/>
    </row>
    <row r="48" spans="1:5" x14ac:dyDescent="0.25">
      <c r="A48" s="3"/>
    </row>
    <row r="49" spans="1:1" x14ac:dyDescent="0.25">
      <c r="A49" s="2"/>
    </row>
    <row r="50" spans="1:1" x14ac:dyDescent="0.25">
      <c r="A50" s="4"/>
    </row>
    <row r="51" spans="1:1" x14ac:dyDescent="0.25">
      <c r="A51" s="2"/>
    </row>
    <row r="52" spans="1:1" x14ac:dyDescent="0.25">
      <c r="A52" s="3"/>
    </row>
    <row r="53" spans="1:1" x14ac:dyDescent="0.25">
      <c r="A53" s="2"/>
    </row>
    <row r="54" spans="1:1" x14ac:dyDescent="0.25">
      <c r="A54" s="4"/>
    </row>
    <row r="55" spans="1:1" x14ac:dyDescent="0.25">
      <c r="A55" s="2"/>
    </row>
    <row r="56" spans="1:1" x14ac:dyDescent="0.25">
      <c r="A56" s="3"/>
    </row>
    <row r="57" spans="1:1" x14ac:dyDescent="0.25">
      <c r="A57" s="2"/>
    </row>
    <row r="58" spans="1:1" x14ac:dyDescent="0.25">
      <c r="A58" s="4"/>
    </row>
    <row r="59" spans="1:1" x14ac:dyDescent="0.25">
      <c r="A59" s="2"/>
    </row>
    <row r="60" spans="1:1" x14ac:dyDescent="0.25">
      <c r="A60" s="3"/>
    </row>
    <row r="61" spans="1:1" x14ac:dyDescent="0.25">
      <c r="A61" s="2"/>
    </row>
    <row r="62" spans="1:1" x14ac:dyDescent="0.25">
      <c r="A62" s="4"/>
    </row>
    <row r="63" spans="1:1" x14ac:dyDescent="0.25">
      <c r="A63" s="2"/>
    </row>
    <row r="64" spans="1:1" x14ac:dyDescent="0.25">
      <c r="A64" s="3"/>
    </row>
    <row r="65" spans="1:1" x14ac:dyDescent="0.25">
      <c r="A65" s="2"/>
    </row>
    <row r="66" spans="1:1" x14ac:dyDescent="0.25">
      <c r="A66" s="4"/>
    </row>
    <row r="67" spans="1:1" x14ac:dyDescent="0.25">
      <c r="A67" s="2"/>
    </row>
    <row r="68" spans="1:1" x14ac:dyDescent="0.25">
      <c r="A68" s="3"/>
    </row>
    <row r="69" spans="1:1" x14ac:dyDescent="0.25">
      <c r="A69" s="2"/>
    </row>
    <row r="70" spans="1:1" x14ac:dyDescent="0.25">
      <c r="A70" s="4"/>
    </row>
    <row r="71" spans="1:1" x14ac:dyDescent="0.25">
      <c r="A71" s="2"/>
    </row>
    <row r="72" spans="1:1" x14ac:dyDescent="0.25">
      <c r="A72" s="7"/>
    </row>
    <row r="73" spans="1:1" x14ac:dyDescent="0.25">
      <c r="A73" s="8"/>
    </row>
    <row r="74" spans="1:1" x14ac:dyDescent="0.25">
      <c r="A74" s="4"/>
    </row>
    <row r="75" spans="1:1" x14ac:dyDescent="0.25">
      <c r="A75" s="2"/>
    </row>
    <row r="76" spans="1:1" x14ac:dyDescent="0.25">
      <c r="A76" s="3"/>
    </row>
    <row r="77" spans="1:1" x14ac:dyDescent="0.25">
      <c r="A77" s="2"/>
    </row>
    <row r="78" spans="1:1" x14ac:dyDescent="0.25">
      <c r="A78" s="4"/>
    </row>
    <row r="79" spans="1:1" x14ac:dyDescent="0.25">
      <c r="A79" s="2"/>
    </row>
    <row r="80" spans="1:1" x14ac:dyDescent="0.25">
      <c r="A80" s="3"/>
    </row>
    <row r="81" spans="1:1" x14ac:dyDescent="0.25">
      <c r="A81" s="2"/>
    </row>
    <row r="82" spans="1:1" x14ac:dyDescent="0.25">
      <c r="A82" s="4"/>
    </row>
    <row r="83" spans="1:1" x14ac:dyDescent="0.25">
      <c r="A83" s="2"/>
    </row>
    <row r="84" spans="1:1" x14ac:dyDescent="0.25">
      <c r="A84" s="3"/>
    </row>
    <row r="85" spans="1:1" x14ac:dyDescent="0.25">
      <c r="A85" s="2"/>
    </row>
    <row r="86" spans="1:1" x14ac:dyDescent="0.25">
      <c r="A86" s="4"/>
    </row>
    <row r="87" spans="1:1" x14ac:dyDescent="0.25">
      <c r="A87" s="2"/>
    </row>
    <row r="88" spans="1:1" x14ac:dyDescent="0.25">
      <c r="A88" s="3"/>
    </row>
    <row r="89" spans="1:1" x14ac:dyDescent="0.25">
      <c r="A89" s="2"/>
    </row>
    <row r="90" spans="1:1" x14ac:dyDescent="0.25">
      <c r="A90" s="4"/>
    </row>
    <row r="91" spans="1:1" x14ac:dyDescent="0.25">
      <c r="A91" s="2"/>
    </row>
    <row r="92" spans="1:1" x14ac:dyDescent="0.25">
      <c r="A92" s="3"/>
    </row>
    <row r="93" spans="1:1" x14ac:dyDescent="0.25">
      <c r="A93" s="2"/>
    </row>
    <row r="94" spans="1:1" x14ac:dyDescent="0.25">
      <c r="A94" s="4"/>
    </row>
    <row r="95" spans="1:1" x14ac:dyDescent="0.25">
      <c r="A95" s="2"/>
    </row>
    <row r="96" spans="1:1" x14ac:dyDescent="0.25">
      <c r="A96" s="3"/>
    </row>
    <row r="97" spans="1:1" x14ac:dyDescent="0.25">
      <c r="A97" s="2"/>
    </row>
    <row r="98" spans="1:1" x14ac:dyDescent="0.25">
      <c r="A98" s="4"/>
    </row>
    <row r="99" spans="1:1" x14ac:dyDescent="0.25">
      <c r="A99" s="2"/>
    </row>
    <row r="100" spans="1:1" x14ac:dyDescent="0.25">
      <c r="A100" s="3"/>
    </row>
    <row r="101" spans="1:1" x14ac:dyDescent="0.25">
      <c r="A101" s="5"/>
    </row>
    <row r="102" spans="1:1" x14ac:dyDescent="0.25">
      <c r="A102" s="1"/>
    </row>
    <row r="103" spans="1:1" x14ac:dyDescent="0.25">
      <c r="A103" s="2"/>
    </row>
    <row r="104" spans="1:1" x14ac:dyDescent="0.25">
      <c r="A104" s="3"/>
    </row>
    <row r="105" spans="1:1" x14ac:dyDescent="0.25">
      <c r="A105" s="2"/>
    </row>
    <row r="106" spans="1:1" x14ac:dyDescent="0.25">
      <c r="A106" s="4"/>
    </row>
    <row r="107" spans="1:1" x14ac:dyDescent="0.25">
      <c r="A107" s="2"/>
    </row>
    <row r="108" spans="1:1" x14ac:dyDescent="0.25">
      <c r="A108" s="3"/>
    </row>
    <row r="109" spans="1:1" x14ac:dyDescent="0.25">
      <c r="A109" s="2"/>
    </row>
    <row r="110" spans="1:1" x14ac:dyDescent="0.25">
      <c r="A110" s="4"/>
    </row>
    <row r="111" spans="1:1" x14ac:dyDescent="0.25">
      <c r="A111" s="2"/>
    </row>
    <row r="112" spans="1:1" x14ac:dyDescent="0.25">
      <c r="A112" s="3"/>
    </row>
    <row r="113" spans="1:1" x14ac:dyDescent="0.25">
      <c r="A113" s="2"/>
    </row>
    <row r="114" spans="1:1" x14ac:dyDescent="0.25">
      <c r="A114" s="4"/>
    </row>
    <row r="115" spans="1:1" x14ac:dyDescent="0.25">
      <c r="A115" s="2"/>
    </row>
    <row r="116" spans="1:1" x14ac:dyDescent="0.25">
      <c r="A116" s="3"/>
    </row>
    <row r="117" spans="1:1" x14ac:dyDescent="0.25">
      <c r="A117" s="2"/>
    </row>
    <row r="118" spans="1:1" x14ac:dyDescent="0.25">
      <c r="A118" s="4"/>
    </row>
    <row r="119" spans="1:1" x14ac:dyDescent="0.25">
      <c r="A119" s="2"/>
    </row>
    <row r="120" spans="1:1" x14ac:dyDescent="0.25">
      <c r="A120" s="3"/>
    </row>
    <row r="121" spans="1:1" x14ac:dyDescent="0.25">
      <c r="A121" s="2"/>
    </row>
    <row r="122" spans="1:1" x14ac:dyDescent="0.25">
      <c r="A122" s="4"/>
    </row>
    <row r="123" spans="1:1" x14ac:dyDescent="0.25">
      <c r="A123" s="2"/>
    </row>
    <row r="124" spans="1:1" x14ac:dyDescent="0.25">
      <c r="A124" s="3"/>
    </row>
    <row r="125" spans="1:1" x14ac:dyDescent="0.25">
      <c r="A125" s="2"/>
    </row>
    <row r="126" spans="1:1" x14ac:dyDescent="0.25">
      <c r="A126" s="4"/>
    </row>
    <row r="127" spans="1:1" x14ac:dyDescent="0.25">
      <c r="A127" s="2"/>
    </row>
    <row r="128" spans="1:1" x14ac:dyDescent="0.25">
      <c r="A128" s="3"/>
    </row>
    <row r="129" spans="1:1" x14ac:dyDescent="0.25">
      <c r="A129" s="2"/>
    </row>
    <row r="130" spans="1:1" x14ac:dyDescent="0.25">
      <c r="A130" s="9"/>
    </row>
    <row r="131" spans="1:1" x14ac:dyDescent="0.25">
      <c r="A131" s="8"/>
    </row>
    <row r="132" spans="1:1" x14ac:dyDescent="0.25">
      <c r="A132" s="3"/>
    </row>
    <row r="133" spans="1:1" x14ac:dyDescent="0.25">
      <c r="A133" s="2"/>
    </row>
    <row r="134" spans="1:1" x14ac:dyDescent="0.25">
      <c r="A134" s="4"/>
    </row>
    <row r="135" spans="1:1" x14ac:dyDescent="0.25">
      <c r="A135" s="2"/>
    </row>
    <row r="136" spans="1:1" x14ac:dyDescent="0.25">
      <c r="A136" s="3"/>
    </row>
    <row r="137" spans="1:1" x14ac:dyDescent="0.25">
      <c r="A137" s="2"/>
    </row>
    <row r="138" spans="1:1" x14ac:dyDescent="0.25">
      <c r="A138" s="4"/>
    </row>
    <row r="139" spans="1:1" x14ac:dyDescent="0.25">
      <c r="A139" s="2"/>
    </row>
    <row r="140" spans="1:1" x14ac:dyDescent="0.25">
      <c r="A140" s="3"/>
    </row>
    <row r="141" spans="1:1" x14ac:dyDescent="0.25">
      <c r="A141" s="2"/>
    </row>
    <row r="142" spans="1:1" x14ac:dyDescent="0.25">
      <c r="A142" s="4"/>
    </row>
    <row r="143" spans="1:1" x14ac:dyDescent="0.25">
      <c r="A143" s="2"/>
    </row>
    <row r="144" spans="1:1" x14ac:dyDescent="0.25">
      <c r="A144" s="3"/>
    </row>
    <row r="145" spans="1:1" x14ac:dyDescent="0.25">
      <c r="A145" s="2"/>
    </row>
    <row r="146" spans="1:1" x14ac:dyDescent="0.25">
      <c r="A146" s="4"/>
    </row>
    <row r="147" spans="1:1" x14ac:dyDescent="0.25">
      <c r="A147" s="2"/>
    </row>
    <row r="148" spans="1:1" x14ac:dyDescent="0.25">
      <c r="A148" s="3"/>
    </row>
    <row r="149" spans="1:1" x14ac:dyDescent="0.25">
      <c r="A149" s="2"/>
    </row>
    <row r="150" spans="1:1" x14ac:dyDescent="0.25">
      <c r="A150" s="4"/>
    </row>
    <row r="151" spans="1:1" x14ac:dyDescent="0.25">
      <c r="A151" s="2"/>
    </row>
    <row r="152" spans="1:1" x14ac:dyDescent="0.25">
      <c r="A152" s="3"/>
    </row>
    <row r="153" spans="1:1" x14ac:dyDescent="0.25">
      <c r="A153" s="2"/>
    </row>
    <row r="154" spans="1:1" x14ac:dyDescent="0.25">
      <c r="A154" s="4"/>
    </row>
    <row r="155" spans="1:1" x14ac:dyDescent="0.25">
      <c r="A155" s="2"/>
    </row>
    <row r="156" spans="1:1" x14ac:dyDescent="0.25">
      <c r="A156" s="3"/>
    </row>
    <row r="157" spans="1:1" x14ac:dyDescent="0.25">
      <c r="A157" s="2"/>
    </row>
    <row r="158" spans="1:1" x14ac:dyDescent="0.25">
      <c r="A158" s="4"/>
    </row>
    <row r="159" spans="1:1" x14ac:dyDescent="0.25">
      <c r="A159" s="5"/>
    </row>
    <row r="160" spans="1:1" x14ac:dyDescent="0.25">
      <c r="A160" s="6"/>
    </row>
    <row r="161" spans="1:1" x14ac:dyDescent="0.25">
      <c r="A161" s="2"/>
    </row>
    <row r="162" spans="1:1" x14ac:dyDescent="0.25">
      <c r="A162" s="4"/>
    </row>
    <row r="163" spans="1:1" x14ac:dyDescent="0.25">
      <c r="A163" s="2"/>
    </row>
    <row r="164" spans="1:1" x14ac:dyDescent="0.25">
      <c r="A164" s="3"/>
    </row>
    <row r="165" spans="1:1" x14ac:dyDescent="0.25">
      <c r="A165" s="2"/>
    </row>
    <row r="166" spans="1:1" x14ac:dyDescent="0.25">
      <c r="A166" s="4"/>
    </row>
    <row r="167" spans="1:1" x14ac:dyDescent="0.25">
      <c r="A167" s="2"/>
    </row>
    <row r="168" spans="1:1" x14ac:dyDescent="0.25">
      <c r="A168" s="3"/>
    </row>
    <row r="169" spans="1:1" x14ac:dyDescent="0.25">
      <c r="A16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4EDD-C579-4F29-AD71-4EDF0D2F723F}">
  <sheetPr codeName="Sheet5"/>
  <dimension ref="A1:E169"/>
  <sheetViews>
    <sheetView topLeftCell="A36" workbookViewId="0">
      <selection activeCell="B2" sqref="B2:E43"/>
    </sheetView>
  </sheetViews>
  <sheetFormatPr defaultRowHeight="15" x14ac:dyDescent="0.25"/>
  <sheetData>
    <row r="1" spans="1:5" x14ac:dyDescent="0.25">
      <c r="B1">
        <v>0</v>
      </c>
      <c r="C1">
        <v>1</v>
      </c>
      <c r="D1">
        <v>2</v>
      </c>
      <c r="E1">
        <v>3</v>
      </c>
    </row>
    <row r="2" spans="1:5" x14ac:dyDescent="0.25">
      <c r="A2" s="1">
        <v>1984</v>
      </c>
      <c r="B2">
        <f>0.29*4</f>
        <v>1.1599999999999999</v>
      </c>
      <c r="C2">
        <f>0.29*4</f>
        <v>1.1599999999999999</v>
      </c>
      <c r="D2">
        <f>4*0.39</f>
        <v>1.56</v>
      </c>
      <c r="E2">
        <f>0.44*4</f>
        <v>1.76</v>
      </c>
    </row>
    <row r="3" spans="1:5" x14ac:dyDescent="0.25">
      <c r="A3" s="2">
        <v>1985</v>
      </c>
      <c r="B3">
        <f t="shared" ref="B3:C43" si="0">0.29*4</f>
        <v>1.1599999999999999</v>
      </c>
      <c r="C3">
        <f t="shared" si="0"/>
        <v>1.1599999999999999</v>
      </c>
      <c r="D3">
        <f t="shared" ref="D3:D43" si="1">4*0.39</f>
        <v>1.56</v>
      </c>
      <c r="E3">
        <f t="shared" ref="E3:E43" si="2">0.44*4</f>
        <v>1.76</v>
      </c>
    </row>
    <row r="4" spans="1:5" x14ac:dyDescent="0.25">
      <c r="A4" s="1">
        <v>1986</v>
      </c>
      <c r="B4">
        <f t="shared" si="0"/>
        <v>1.1599999999999999</v>
      </c>
      <c r="C4">
        <f t="shared" si="0"/>
        <v>1.1599999999999999</v>
      </c>
      <c r="D4">
        <f t="shared" si="1"/>
        <v>1.56</v>
      </c>
      <c r="E4">
        <f t="shared" si="2"/>
        <v>1.76</v>
      </c>
    </row>
    <row r="5" spans="1:5" x14ac:dyDescent="0.25">
      <c r="A5" s="2">
        <v>1987</v>
      </c>
      <c r="B5">
        <f t="shared" si="0"/>
        <v>1.1599999999999999</v>
      </c>
      <c r="C5">
        <f t="shared" si="0"/>
        <v>1.1599999999999999</v>
      </c>
      <c r="D5">
        <f t="shared" si="1"/>
        <v>1.56</v>
      </c>
      <c r="E5">
        <f t="shared" si="2"/>
        <v>1.76</v>
      </c>
    </row>
    <row r="6" spans="1:5" x14ac:dyDescent="0.25">
      <c r="A6" s="1">
        <v>1988</v>
      </c>
      <c r="B6">
        <f t="shared" si="0"/>
        <v>1.1599999999999999</v>
      </c>
      <c r="C6">
        <f t="shared" si="0"/>
        <v>1.1599999999999999</v>
      </c>
      <c r="D6">
        <f t="shared" si="1"/>
        <v>1.56</v>
      </c>
      <c r="E6">
        <f t="shared" si="2"/>
        <v>1.76</v>
      </c>
    </row>
    <row r="7" spans="1:5" x14ac:dyDescent="0.25">
      <c r="A7" s="2">
        <v>1989</v>
      </c>
      <c r="B7">
        <f t="shared" si="0"/>
        <v>1.1599999999999999</v>
      </c>
      <c r="C7">
        <f t="shared" si="0"/>
        <v>1.1599999999999999</v>
      </c>
      <c r="D7">
        <f t="shared" si="1"/>
        <v>1.56</v>
      </c>
      <c r="E7">
        <f t="shared" si="2"/>
        <v>1.76</v>
      </c>
    </row>
    <row r="8" spans="1:5" x14ac:dyDescent="0.25">
      <c r="A8" s="1">
        <v>1990</v>
      </c>
      <c r="B8">
        <f t="shared" si="0"/>
        <v>1.1599999999999999</v>
      </c>
      <c r="C8">
        <f t="shared" si="0"/>
        <v>1.1599999999999999</v>
      </c>
      <c r="D8">
        <f t="shared" si="1"/>
        <v>1.56</v>
      </c>
      <c r="E8">
        <f t="shared" si="2"/>
        <v>1.76</v>
      </c>
    </row>
    <row r="9" spans="1:5" x14ac:dyDescent="0.25">
      <c r="A9" s="2">
        <v>1991</v>
      </c>
      <c r="B9">
        <f t="shared" si="0"/>
        <v>1.1599999999999999</v>
      </c>
      <c r="C9">
        <f t="shared" si="0"/>
        <v>1.1599999999999999</v>
      </c>
      <c r="D9">
        <f t="shared" si="1"/>
        <v>1.56</v>
      </c>
      <c r="E9">
        <f t="shared" si="2"/>
        <v>1.76</v>
      </c>
    </row>
    <row r="10" spans="1:5" x14ac:dyDescent="0.25">
      <c r="A10" s="1">
        <v>1992</v>
      </c>
      <c r="B10">
        <f t="shared" si="0"/>
        <v>1.1599999999999999</v>
      </c>
      <c r="C10">
        <f t="shared" si="0"/>
        <v>1.1599999999999999</v>
      </c>
      <c r="D10">
        <f t="shared" si="1"/>
        <v>1.56</v>
      </c>
      <c r="E10">
        <f t="shared" si="2"/>
        <v>1.76</v>
      </c>
    </row>
    <row r="11" spans="1:5" x14ac:dyDescent="0.25">
      <c r="A11" s="2">
        <v>1993</v>
      </c>
      <c r="B11">
        <f t="shared" si="0"/>
        <v>1.1599999999999999</v>
      </c>
      <c r="C11">
        <f t="shared" si="0"/>
        <v>1.1599999999999999</v>
      </c>
      <c r="D11">
        <f t="shared" si="1"/>
        <v>1.56</v>
      </c>
      <c r="E11">
        <f t="shared" si="2"/>
        <v>1.76</v>
      </c>
    </row>
    <row r="12" spans="1:5" x14ac:dyDescent="0.25">
      <c r="A12" s="1">
        <v>1994</v>
      </c>
      <c r="B12">
        <f t="shared" si="0"/>
        <v>1.1599999999999999</v>
      </c>
      <c r="C12">
        <f t="shared" si="0"/>
        <v>1.1599999999999999</v>
      </c>
      <c r="D12">
        <f t="shared" si="1"/>
        <v>1.56</v>
      </c>
      <c r="E12">
        <f t="shared" si="2"/>
        <v>1.76</v>
      </c>
    </row>
    <row r="13" spans="1:5" x14ac:dyDescent="0.25">
      <c r="A13" s="2">
        <v>1995</v>
      </c>
      <c r="B13">
        <f t="shared" si="0"/>
        <v>1.1599999999999999</v>
      </c>
      <c r="C13">
        <f t="shared" si="0"/>
        <v>1.1599999999999999</v>
      </c>
      <c r="D13">
        <f t="shared" si="1"/>
        <v>1.56</v>
      </c>
      <c r="E13">
        <f t="shared" si="2"/>
        <v>1.76</v>
      </c>
    </row>
    <row r="14" spans="1:5" x14ac:dyDescent="0.25">
      <c r="A14" s="1">
        <v>1996</v>
      </c>
      <c r="B14">
        <f t="shared" si="0"/>
        <v>1.1599999999999999</v>
      </c>
      <c r="C14">
        <f t="shared" si="0"/>
        <v>1.1599999999999999</v>
      </c>
      <c r="D14">
        <f t="shared" si="1"/>
        <v>1.56</v>
      </c>
      <c r="E14">
        <f t="shared" si="2"/>
        <v>1.76</v>
      </c>
    </row>
    <row r="15" spans="1:5" x14ac:dyDescent="0.25">
      <c r="A15" s="2">
        <v>1997</v>
      </c>
      <c r="B15">
        <f t="shared" si="0"/>
        <v>1.1599999999999999</v>
      </c>
      <c r="C15">
        <f t="shared" si="0"/>
        <v>1.1599999999999999</v>
      </c>
      <c r="D15">
        <f t="shared" si="1"/>
        <v>1.56</v>
      </c>
      <c r="E15">
        <f t="shared" si="2"/>
        <v>1.76</v>
      </c>
    </row>
    <row r="16" spans="1:5" x14ac:dyDescent="0.25">
      <c r="A16" s="1">
        <v>1998</v>
      </c>
      <c r="B16">
        <f t="shared" si="0"/>
        <v>1.1599999999999999</v>
      </c>
      <c r="C16">
        <f t="shared" si="0"/>
        <v>1.1599999999999999</v>
      </c>
      <c r="D16">
        <f t="shared" si="1"/>
        <v>1.56</v>
      </c>
      <c r="E16">
        <f t="shared" si="2"/>
        <v>1.76</v>
      </c>
    </row>
    <row r="17" spans="1:5" x14ac:dyDescent="0.25">
      <c r="A17" s="2">
        <v>1999</v>
      </c>
      <c r="B17">
        <f t="shared" si="0"/>
        <v>1.1599999999999999</v>
      </c>
      <c r="C17">
        <f t="shared" si="0"/>
        <v>1.1599999999999999</v>
      </c>
      <c r="D17">
        <f t="shared" si="1"/>
        <v>1.56</v>
      </c>
      <c r="E17">
        <f t="shared" si="2"/>
        <v>1.76</v>
      </c>
    </row>
    <row r="18" spans="1:5" x14ac:dyDescent="0.25">
      <c r="A18" s="1">
        <v>2000</v>
      </c>
      <c r="B18">
        <f t="shared" si="0"/>
        <v>1.1599999999999999</v>
      </c>
      <c r="C18">
        <f t="shared" si="0"/>
        <v>1.1599999999999999</v>
      </c>
      <c r="D18">
        <f t="shared" si="1"/>
        <v>1.56</v>
      </c>
      <c r="E18">
        <f t="shared" si="2"/>
        <v>1.76</v>
      </c>
    </row>
    <row r="19" spans="1:5" x14ac:dyDescent="0.25">
      <c r="A19" s="2">
        <v>2001</v>
      </c>
      <c r="B19">
        <f t="shared" si="0"/>
        <v>1.1599999999999999</v>
      </c>
      <c r="C19">
        <f t="shared" si="0"/>
        <v>1.1599999999999999</v>
      </c>
      <c r="D19">
        <f t="shared" si="1"/>
        <v>1.56</v>
      </c>
      <c r="E19">
        <f t="shared" si="2"/>
        <v>1.76</v>
      </c>
    </row>
    <row r="20" spans="1:5" x14ac:dyDescent="0.25">
      <c r="A20" s="1">
        <v>2002</v>
      </c>
      <c r="B20">
        <f t="shared" si="0"/>
        <v>1.1599999999999999</v>
      </c>
      <c r="C20">
        <f t="shared" si="0"/>
        <v>1.1599999999999999</v>
      </c>
      <c r="D20">
        <f t="shared" si="1"/>
        <v>1.56</v>
      </c>
      <c r="E20">
        <f t="shared" si="2"/>
        <v>1.76</v>
      </c>
    </row>
    <row r="21" spans="1:5" x14ac:dyDescent="0.25">
      <c r="A21" s="2">
        <v>2003</v>
      </c>
      <c r="B21">
        <f t="shared" si="0"/>
        <v>1.1599999999999999</v>
      </c>
      <c r="C21">
        <f t="shared" si="0"/>
        <v>1.1599999999999999</v>
      </c>
      <c r="D21">
        <f t="shared" si="1"/>
        <v>1.56</v>
      </c>
      <c r="E21">
        <f t="shared" si="2"/>
        <v>1.76</v>
      </c>
    </row>
    <row r="22" spans="1:5" x14ac:dyDescent="0.25">
      <c r="A22" s="1">
        <v>2004</v>
      </c>
      <c r="B22">
        <f t="shared" si="0"/>
        <v>1.1599999999999999</v>
      </c>
      <c r="C22">
        <f t="shared" si="0"/>
        <v>1.1599999999999999</v>
      </c>
      <c r="D22">
        <f t="shared" si="1"/>
        <v>1.56</v>
      </c>
      <c r="E22">
        <f t="shared" si="2"/>
        <v>1.76</v>
      </c>
    </row>
    <row r="23" spans="1:5" x14ac:dyDescent="0.25">
      <c r="A23" s="2">
        <v>2005</v>
      </c>
      <c r="B23">
        <f t="shared" si="0"/>
        <v>1.1599999999999999</v>
      </c>
      <c r="C23">
        <f t="shared" si="0"/>
        <v>1.1599999999999999</v>
      </c>
      <c r="D23">
        <f t="shared" si="1"/>
        <v>1.56</v>
      </c>
      <c r="E23">
        <f t="shared" si="2"/>
        <v>1.76</v>
      </c>
    </row>
    <row r="24" spans="1:5" x14ac:dyDescent="0.25">
      <c r="A24" s="1">
        <v>2006</v>
      </c>
      <c r="B24">
        <f t="shared" si="0"/>
        <v>1.1599999999999999</v>
      </c>
      <c r="C24">
        <f t="shared" si="0"/>
        <v>1.1599999999999999</v>
      </c>
      <c r="D24">
        <f t="shared" si="1"/>
        <v>1.56</v>
      </c>
      <c r="E24">
        <f t="shared" si="2"/>
        <v>1.76</v>
      </c>
    </row>
    <row r="25" spans="1:5" x14ac:dyDescent="0.25">
      <c r="A25" s="2">
        <v>2007</v>
      </c>
      <c r="B25">
        <f t="shared" si="0"/>
        <v>1.1599999999999999</v>
      </c>
      <c r="C25">
        <f t="shared" si="0"/>
        <v>1.1599999999999999</v>
      </c>
      <c r="D25">
        <f t="shared" si="1"/>
        <v>1.56</v>
      </c>
      <c r="E25">
        <f t="shared" si="2"/>
        <v>1.76</v>
      </c>
    </row>
    <row r="26" spans="1:5" x14ac:dyDescent="0.25">
      <c r="A26" s="1">
        <v>2008</v>
      </c>
      <c r="B26">
        <f t="shared" si="0"/>
        <v>1.1599999999999999</v>
      </c>
      <c r="C26">
        <f t="shared" si="0"/>
        <v>1.1599999999999999</v>
      </c>
      <c r="D26">
        <f t="shared" si="1"/>
        <v>1.56</v>
      </c>
      <c r="E26">
        <f t="shared" si="2"/>
        <v>1.76</v>
      </c>
    </row>
    <row r="27" spans="1:5" x14ac:dyDescent="0.25">
      <c r="A27" s="2">
        <v>2009</v>
      </c>
      <c r="B27">
        <f t="shared" si="0"/>
        <v>1.1599999999999999</v>
      </c>
      <c r="C27">
        <f t="shared" si="0"/>
        <v>1.1599999999999999</v>
      </c>
      <c r="D27">
        <f t="shared" si="1"/>
        <v>1.56</v>
      </c>
      <c r="E27">
        <f t="shared" si="2"/>
        <v>1.76</v>
      </c>
    </row>
    <row r="28" spans="1:5" x14ac:dyDescent="0.25">
      <c r="A28" s="1">
        <v>2010</v>
      </c>
      <c r="B28">
        <f t="shared" si="0"/>
        <v>1.1599999999999999</v>
      </c>
      <c r="C28">
        <f t="shared" si="0"/>
        <v>1.1599999999999999</v>
      </c>
      <c r="D28">
        <f t="shared" si="1"/>
        <v>1.56</v>
      </c>
      <c r="E28">
        <f t="shared" si="2"/>
        <v>1.76</v>
      </c>
    </row>
    <row r="29" spans="1:5" x14ac:dyDescent="0.25">
      <c r="A29" s="2">
        <v>2011</v>
      </c>
      <c r="B29">
        <f t="shared" si="0"/>
        <v>1.1599999999999999</v>
      </c>
      <c r="C29">
        <f t="shared" si="0"/>
        <v>1.1599999999999999</v>
      </c>
      <c r="D29">
        <f t="shared" si="1"/>
        <v>1.56</v>
      </c>
      <c r="E29">
        <f t="shared" si="2"/>
        <v>1.76</v>
      </c>
    </row>
    <row r="30" spans="1:5" x14ac:dyDescent="0.25">
      <c r="A30" s="1">
        <v>2012</v>
      </c>
      <c r="B30">
        <f t="shared" si="0"/>
        <v>1.1599999999999999</v>
      </c>
      <c r="C30">
        <f t="shared" si="0"/>
        <v>1.1599999999999999</v>
      </c>
      <c r="D30">
        <f t="shared" si="1"/>
        <v>1.56</v>
      </c>
      <c r="E30">
        <f t="shared" si="2"/>
        <v>1.76</v>
      </c>
    </row>
    <row r="31" spans="1:5" x14ac:dyDescent="0.25">
      <c r="A31" s="2">
        <v>2013</v>
      </c>
      <c r="B31">
        <f t="shared" si="0"/>
        <v>1.1599999999999999</v>
      </c>
      <c r="C31">
        <f t="shared" si="0"/>
        <v>1.1599999999999999</v>
      </c>
      <c r="D31">
        <f t="shared" si="1"/>
        <v>1.56</v>
      </c>
      <c r="E31">
        <f t="shared" si="2"/>
        <v>1.76</v>
      </c>
    </row>
    <row r="32" spans="1:5" x14ac:dyDescent="0.25">
      <c r="A32" s="1">
        <v>2014</v>
      </c>
      <c r="B32">
        <f t="shared" si="0"/>
        <v>1.1599999999999999</v>
      </c>
      <c r="C32">
        <f t="shared" si="0"/>
        <v>1.1599999999999999</v>
      </c>
      <c r="D32">
        <f t="shared" si="1"/>
        <v>1.56</v>
      </c>
      <c r="E32">
        <f t="shared" si="2"/>
        <v>1.76</v>
      </c>
    </row>
    <row r="33" spans="1:5" x14ac:dyDescent="0.25">
      <c r="A33" s="2">
        <v>2015</v>
      </c>
      <c r="B33">
        <f t="shared" si="0"/>
        <v>1.1599999999999999</v>
      </c>
      <c r="C33">
        <f t="shared" si="0"/>
        <v>1.1599999999999999</v>
      </c>
      <c r="D33">
        <f t="shared" si="1"/>
        <v>1.56</v>
      </c>
      <c r="E33">
        <f t="shared" si="2"/>
        <v>1.76</v>
      </c>
    </row>
    <row r="34" spans="1:5" x14ac:dyDescent="0.25">
      <c r="A34" s="1">
        <v>2016</v>
      </c>
      <c r="B34">
        <f t="shared" si="0"/>
        <v>1.1599999999999999</v>
      </c>
      <c r="C34">
        <f t="shared" si="0"/>
        <v>1.1599999999999999</v>
      </c>
      <c r="D34">
        <f t="shared" si="1"/>
        <v>1.56</v>
      </c>
      <c r="E34">
        <f t="shared" si="2"/>
        <v>1.76</v>
      </c>
    </row>
    <row r="35" spans="1:5" x14ac:dyDescent="0.25">
      <c r="A35" s="2">
        <v>2017</v>
      </c>
      <c r="B35">
        <f t="shared" si="0"/>
        <v>1.1599999999999999</v>
      </c>
      <c r="C35">
        <f t="shared" si="0"/>
        <v>1.1599999999999999</v>
      </c>
      <c r="D35">
        <f t="shared" si="1"/>
        <v>1.56</v>
      </c>
      <c r="E35">
        <f t="shared" si="2"/>
        <v>1.76</v>
      </c>
    </row>
    <row r="36" spans="1:5" x14ac:dyDescent="0.25">
      <c r="A36" s="1">
        <v>2018</v>
      </c>
      <c r="B36">
        <f t="shared" si="0"/>
        <v>1.1599999999999999</v>
      </c>
      <c r="C36">
        <f t="shared" si="0"/>
        <v>1.1599999999999999</v>
      </c>
      <c r="D36">
        <f t="shared" si="1"/>
        <v>1.56</v>
      </c>
      <c r="E36">
        <f t="shared" si="2"/>
        <v>1.76</v>
      </c>
    </row>
    <row r="37" spans="1:5" x14ac:dyDescent="0.25">
      <c r="A37" s="2">
        <v>2019</v>
      </c>
      <c r="B37">
        <f t="shared" si="0"/>
        <v>1.1599999999999999</v>
      </c>
      <c r="C37">
        <f t="shared" si="0"/>
        <v>1.1599999999999999</v>
      </c>
      <c r="D37">
        <f t="shared" si="1"/>
        <v>1.56</v>
      </c>
      <c r="E37">
        <f t="shared" si="2"/>
        <v>1.76</v>
      </c>
    </row>
    <row r="38" spans="1:5" x14ac:dyDescent="0.25">
      <c r="A38" s="1">
        <v>2020</v>
      </c>
      <c r="B38">
        <f t="shared" si="0"/>
        <v>1.1599999999999999</v>
      </c>
      <c r="C38">
        <f t="shared" si="0"/>
        <v>1.1599999999999999</v>
      </c>
      <c r="D38">
        <f t="shared" si="1"/>
        <v>1.56</v>
      </c>
      <c r="E38">
        <f t="shared" si="2"/>
        <v>1.76</v>
      </c>
    </row>
    <row r="39" spans="1:5" x14ac:dyDescent="0.25">
      <c r="A39" s="2">
        <v>2021</v>
      </c>
      <c r="B39">
        <f t="shared" si="0"/>
        <v>1.1599999999999999</v>
      </c>
      <c r="C39">
        <f t="shared" si="0"/>
        <v>1.1599999999999999</v>
      </c>
      <c r="D39">
        <f t="shared" si="1"/>
        <v>1.56</v>
      </c>
      <c r="E39">
        <f t="shared" si="2"/>
        <v>1.76</v>
      </c>
    </row>
    <row r="40" spans="1:5" x14ac:dyDescent="0.25">
      <c r="A40" s="1">
        <v>2022</v>
      </c>
      <c r="B40">
        <f t="shared" si="0"/>
        <v>1.1599999999999999</v>
      </c>
      <c r="C40">
        <f t="shared" si="0"/>
        <v>1.1599999999999999</v>
      </c>
      <c r="D40">
        <f t="shared" si="1"/>
        <v>1.56</v>
      </c>
      <c r="E40">
        <f t="shared" si="2"/>
        <v>1.76</v>
      </c>
    </row>
    <row r="41" spans="1:5" x14ac:dyDescent="0.25">
      <c r="A41" s="2">
        <v>2023</v>
      </c>
      <c r="B41">
        <f t="shared" si="0"/>
        <v>1.1599999999999999</v>
      </c>
      <c r="C41">
        <f t="shared" si="0"/>
        <v>1.1599999999999999</v>
      </c>
      <c r="D41">
        <f t="shared" si="1"/>
        <v>1.56</v>
      </c>
      <c r="E41">
        <f t="shared" si="2"/>
        <v>1.76</v>
      </c>
    </row>
    <row r="42" spans="1:5" x14ac:dyDescent="0.25">
      <c r="A42" s="1">
        <v>2024</v>
      </c>
      <c r="B42">
        <f t="shared" si="0"/>
        <v>1.1599999999999999</v>
      </c>
      <c r="C42">
        <f t="shared" si="0"/>
        <v>1.1599999999999999</v>
      </c>
      <c r="D42">
        <f t="shared" si="1"/>
        <v>1.56</v>
      </c>
      <c r="E42">
        <f t="shared" si="2"/>
        <v>1.76</v>
      </c>
    </row>
    <row r="43" spans="1:5" x14ac:dyDescent="0.25">
      <c r="A43" s="2">
        <v>2025</v>
      </c>
      <c r="B43">
        <f t="shared" si="0"/>
        <v>1.1599999999999999</v>
      </c>
      <c r="C43">
        <f t="shared" si="0"/>
        <v>1.1599999999999999</v>
      </c>
      <c r="D43">
        <f t="shared" si="1"/>
        <v>1.56</v>
      </c>
      <c r="E43">
        <f t="shared" si="2"/>
        <v>1.76</v>
      </c>
    </row>
    <row r="44" spans="1:5" x14ac:dyDescent="0.25">
      <c r="A44" s="1"/>
    </row>
    <row r="45" spans="1:5" x14ac:dyDescent="0.25">
      <c r="A45" s="2"/>
    </row>
    <row r="46" spans="1:5" x14ac:dyDescent="0.25">
      <c r="A46" s="4"/>
    </row>
    <row r="47" spans="1:5" x14ac:dyDescent="0.25">
      <c r="A47" s="2"/>
    </row>
    <row r="48" spans="1:5" x14ac:dyDescent="0.25">
      <c r="A48" s="3"/>
    </row>
    <row r="49" spans="1:1" x14ac:dyDescent="0.25">
      <c r="A49" s="2"/>
    </row>
    <row r="50" spans="1:1" x14ac:dyDescent="0.25">
      <c r="A50" s="4"/>
    </row>
    <row r="51" spans="1:1" x14ac:dyDescent="0.25">
      <c r="A51" s="2"/>
    </row>
    <row r="52" spans="1:1" x14ac:dyDescent="0.25">
      <c r="A52" s="3"/>
    </row>
    <row r="53" spans="1:1" x14ac:dyDescent="0.25">
      <c r="A53" s="2"/>
    </row>
    <row r="54" spans="1:1" x14ac:dyDescent="0.25">
      <c r="A54" s="4"/>
    </row>
    <row r="55" spans="1:1" x14ac:dyDescent="0.25">
      <c r="A55" s="2"/>
    </row>
    <row r="56" spans="1:1" x14ac:dyDescent="0.25">
      <c r="A56" s="3"/>
    </row>
    <row r="57" spans="1:1" x14ac:dyDescent="0.25">
      <c r="A57" s="2"/>
    </row>
    <row r="58" spans="1:1" x14ac:dyDescent="0.25">
      <c r="A58" s="4"/>
    </row>
    <row r="59" spans="1:1" x14ac:dyDescent="0.25">
      <c r="A59" s="2"/>
    </row>
    <row r="60" spans="1:1" x14ac:dyDescent="0.25">
      <c r="A60" s="3"/>
    </row>
    <row r="61" spans="1:1" x14ac:dyDescent="0.25">
      <c r="A61" s="2"/>
    </row>
    <row r="62" spans="1:1" x14ac:dyDescent="0.25">
      <c r="A62" s="4"/>
    </row>
    <row r="63" spans="1:1" x14ac:dyDescent="0.25">
      <c r="A63" s="2"/>
    </row>
    <row r="64" spans="1:1" x14ac:dyDescent="0.25">
      <c r="A64" s="3"/>
    </row>
    <row r="65" spans="1:1" x14ac:dyDescent="0.25">
      <c r="A65" s="2"/>
    </row>
    <row r="66" spans="1:1" x14ac:dyDescent="0.25">
      <c r="A66" s="4"/>
    </row>
    <row r="67" spans="1:1" x14ac:dyDescent="0.25">
      <c r="A67" s="2"/>
    </row>
    <row r="68" spans="1:1" x14ac:dyDescent="0.25">
      <c r="A68" s="3"/>
    </row>
    <row r="69" spans="1:1" x14ac:dyDescent="0.25">
      <c r="A69" s="2"/>
    </row>
    <row r="70" spans="1:1" x14ac:dyDescent="0.25">
      <c r="A70" s="4"/>
    </row>
    <row r="71" spans="1:1" x14ac:dyDescent="0.25">
      <c r="A71" s="2"/>
    </row>
    <row r="72" spans="1:1" x14ac:dyDescent="0.25">
      <c r="A72" s="7"/>
    </row>
    <row r="73" spans="1:1" x14ac:dyDescent="0.25">
      <c r="A73" s="8"/>
    </row>
    <row r="74" spans="1:1" x14ac:dyDescent="0.25">
      <c r="A74" s="4"/>
    </row>
    <row r="75" spans="1:1" x14ac:dyDescent="0.25">
      <c r="A75" s="2"/>
    </row>
    <row r="76" spans="1:1" x14ac:dyDescent="0.25">
      <c r="A76" s="3"/>
    </row>
    <row r="77" spans="1:1" x14ac:dyDescent="0.25">
      <c r="A77" s="2"/>
    </row>
    <row r="78" spans="1:1" x14ac:dyDescent="0.25">
      <c r="A78" s="4"/>
    </row>
    <row r="79" spans="1:1" x14ac:dyDescent="0.25">
      <c r="A79" s="2"/>
    </row>
    <row r="80" spans="1:1" x14ac:dyDescent="0.25">
      <c r="A80" s="3"/>
    </row>
    <row r="81" spans="1:1" x14ac:dyDescent="0.25">
      <c r="A81" s="2"/>
    </row>
    <row r="82" spans="1:1" x14ac:dyDescent="0.25">
      <c r="A82" s="4"/>
    </row>
    <row r="83" spans="1:1" x14ac:dyDescent="0.25">
      <c r="A83" s="2"/>
    </row>
    <row r="84" spans="1:1" x14ac:dyDescent="0.25">
      <c r="A84" s="3"/>
    </row>
    <row r="85" spans="1:1" x14ac:dyDescent="0.25">
      <c r="A85" s="2"/>
    </row>
    <row r="86" spans="1:1" x14ac:dyDescent="0.25">
      <c r="A86" s="4"/>
    </row>
    <row r="87" spans="1:1" x14ac:dyDescent="0.25">
      <c r="A87" s="2"/>
    </row>
    <row r="88" spans="1:1" x14ac:dyDescent="0.25">
      <c r="A88" s="3"/>
    </row>
    <row r="89" spans="1:1" x14ac:dyDescent="0.25">
      <c r="A89" s="2"/>
    </row>
    <row r="90" spans="1:1" x14ac:dyDescent="0.25">
      <c r="A90" s="4"/>
    </row>
    <row r="91" spans="1:1" x14ac:dyDescent="0.25">
      <c r="A91" s="2"/>
    </row>
    <row r="92" spans="1:1" x14ac:dyDescent="0.25">
      <c r="A92" s="3"/>
    </row>
    <row r="93" spans="1:1" x14ac:dyDescent="0.25">
      <c r="A93" s="2"/>
    </row>
    <row r="94" spans="1:1" x14ac:dyDescent="0.25">
      <c r="A94" s="4"/>
    </row>
    <row r="95" spans="1:1" x14ac:dyDescent="0.25">
      <c r="A95" s="2"/>
    </row>
    <row r="96" spans="1:1" x14ac:dyDescent="0.25">
      <c r="A96" s="3"/>
    </row>
    <row r="97" spans="1:1" x14ac:dyDescent="0.25">
      <c r="A97" s="2"/>
    </row>
    <row r="98" spans="1:1" x14ac:dyDescent="0.25">
      <c r="A98" s="4"/>
    </row>
    <row r="99" spans="1:1" x14ac:dyDescent="0.25">
      <c r="A99" s="2"/>
    </row>
    <row r="100" spans="1:1" x14ac:dyDescent="0.25">
      <c r="A100" s="3"/>
    </row>
    <row r="101" spans="1:1" x14ac:dyDescent="0.25">
      <c r="A101" s="5"/>
    </row>
    <row r="102" spans="1:1" x14ac:dyDescent="0.25">
      <c r="A102" s="1"/>
    </row>
    <row r="103" spans="1:1" x14ac:dyDescent="0.25">
      <c r="A103" s="2"/>
    </row>
    <row r="104" spans="1:1" x14ac:dyDescent="0.25">
      <c r="A104" s="3"/>
    </row>
    <row r="105" spans="1:1" x14ac:dyDescent="0.25">
      <c r="A105" s="2"/>
    </row>
    <row r="106" spans="1:1" x14ac:dyDescent="0.25">
      <c r="A106" s="4"/>
    </row>
    <row r="107" spans="1:1" x14ac:dyDescent="0.25">
      <c r="A107" s="2"/>
    </row>
    <row r="108" spans="1:1" x14ac:dyDescent="0.25">
      <c r="A108" s="3"/>
    </row>
    <row r="109" spans="1:1" x14ac:dyDescent="0.25">
      <c r="A109" s="2"/>
    </row>
    <row r="110" spans="1:1" x14ac:dyDescent="0.25">
      <c r="A110" s="4"/>
    </row>
    <row r="111" spans="1:1" x14ac:dyDescent="0.25">
      <c r="A111" s="2"/>
    </row>
    <row r="112" spans="1:1" x14ac:dyDescent="0.25">
      <c r="A112" s="3"/>
    </row>
    <row r="113" spans="1:1" x14ac:dyDescent="0.25">
      <c r="A113" s="2"/>
    </row>
    <row r="114" spans="1:1" x14ac:dyDescent="0.25">
      <c r="A114" s="4"/>
    </row>
    <row r="115" spans="1:1" x14ac:dyDescent="0.25">
      <c r="A115" s="2"/>
    </row>
    <row r="116" spans="1:1" x14ac:dyDescent="0.25">
      <c r="A116" s="3"/>
    </row>
    <row r="117" spans="1:1" x14ac:dyDescent="0.25">
      <c r="A117" s="2"/>
    </row>
    <row r="118" spans="1:1" x14ac:dyDescent="0.25">
      <c r="A118" s="4"/>
    </row>
    <row r="119" spans="1:1" x14ac:dyDescent="0.25">
      <c r="A119" s="2"/>
    </row>
    <row r="120" spans="1:1" x14ac:dyDescent="0.25">
      <c r="A120" s="3"/>
    </row>
    <row r="121" spans="1:1" x14ac:dyDescent="0.25">
      <c r="A121" s="2"/>
    </row>
    <row r="122" spans="1:1" x14ac:dyDescent="0.25">
      <c r="A122" s="4"/>
    </row>
    <row r="123" spans="1:1" x14ac:dyDescent="0.25">
      <c r="A123" s="2"/>
    </row>
    <row r="124" spans="1:1" x14ac:dyDescent="0.25">
      <c r="A124" s="3"/>
    </row>
    <row r="125" spans="1:1" x14ac:dyDescent="0.25">
      <c r="A125" s="2"/>
    </row>
    <row r="126" spans="1:1" x14ac:dyDescent="0.25">
      <c r="A126" s="4"/>
    </row>
    <row r="127" spans="1:1" x14ac:dyDescent="0.25">
      <c r="A127" s="2"/>
    </row>
    <row r="128" spans="1:1" x14ac:dyDescent="0.25">
      <c r="A128" s="3"/>
    </row>
    <row r="129" spans="1:1" x14ac:dyDescent="0.25">
      <c r="A129" s="2"/>
    </row>
    <row r="130" spans="1:1" x14ac:dyDescent="0.25">
      <c r="A130" s="9"/>
    </row>
    <row r="131" spans="1:1" x14ac:dyDescent="0.25">
      <c r="A131" s="8"/>
    </row>
    <row r="132" spans="1:1" x14ac:dyDescent="0.25">
      <c r="A132" s="3"/>
    </row>
    <row r="133" spans="1:1" x14ac:dyDescent="0.25">
      <c r="A133" s="2"/>
    </row>
    <row r="134" spans="1:1" x14ac:dyDescent="0.25">
      <c r="A134" s="4"/>
    </row>
    <row r="135" spans="1:1" x14ac:dyDescent="0.25">
      <c r="A135" s="2"/>
    </row>
    <row r="136" spans="1:1" x14ac:dyDescent="0.25">
      <c r="A136" s="3"/>
    </row>
    <row r="137" spans="1:1" x14ac:dyDescent="0.25">
      <c r="A137" s="2"/>
    </row>
    <row r="138" spans="1:1" x14ac:dyDescent="0.25">
      <c r="A138" s="4"/>
    </row>
    <row r="139" spans="1:1" x14ac:dyDescent="0.25">
      <c r="A139" s="2"/>
    </row>
    <row r="140" spans="1:1" x14ac:dyDescent="0.25">
      <c r="A140" s="3"/>
    </row>
    <row r="141" spans="1:1" x14ac:dyDescent="0.25">
      <c r="A141" s="2"/>
    </row>
    <row r="142" spans="1:1" x14ac:dyDescent="0.25">
      <c r="A142" s="4"/>
    </row>
    <row r="143" spans="1:1" x14ac:dyDescent="0.25">
      <c r="A143" s="2"/>
    </row>
    <row r="144" spans="1:1" x14ac:dyDescent="0.25">
      <c r="A144" s="3"/>
    </row>
    <row r="145" spans="1:1" x14ac:dyDescent="0.25">
      <c r="A145" s="2"/>
    </row>
    <row r="146" spans="1:1" x14ac:dyDescent="0.25">
      <c r="A146" s="4"/>
    </row>
    <row r="147" spans="1:1" x14ac:dyDescent="0.25">
      <c r="A147" s="2"/>
    </row>
    <row r="148" spans="1:1" x14ac:dyDescent="0.25">
      <c r="A148" s="3"/>
    </row>
    <row r="149" spans="1:1" x14ac:dyDescent="0.25">
      <c r="A149" s="2"/>
    </row>
    <row r="150" spans="1:1" x14ac:dyDescent="0.25">
      <c r="A150" s="4"/>
    </row>
    <row r="151" spans="1:1" x14ac:dyDescent="0.25">
      <c r="A151" s="2"/>
    </row>
    <row r="152" spans="1:1" x14ac:dyDescent="0.25">
      <c r="A152" s="3"/>
    </row>
    <row r="153" spans="1:1" x14ac:dyDescent="0.25">
      <c r="A153" s="2"/>
    </row>
    <row r="154" spans="1:1" x14ac:dyDescent="0.25">
      <c r="A154" s="4"/>
    </row>
    <row r="155" spans="1:1" x14ac:dyDescent="0.25">
      <c r="A155" s="2"/>
    </row>
    <row r="156" spans="1:1" x14ac:dyDescent="0.25">
      <c r="A156" s="3"/>
    </row>
    <row r="157" spans="1:1" x14ac:dyDescent="0.25">
      <c r="A157" s="2"/>
    </row>
    <row r="158" spans="1:1" x14ac:dyDescent="0.25">
      <c r="A158" s="4"/>
    </row>
    <row r="159" spans="1:1" x14ac:dyDescent="0.25">
      <c r="A159" s="5"/>
    </row>
    <row r="160" spans="1:1" x14ac:dyDescent="0.25">
      <c r="A160" s="6"/>
    </row>
    <row r="161" spans="1:1" x14ac:dyDescent="0.25">
      <c r="A161" s="2"/>
    </row>
    <row r="162" spans="1:1" x14ac:dyDescent="0.25">
      <c r="A162" s="4"/>
    </row>
    <row r="163" spans="1:1" x14ac:dyDescent="0.25">
      <c r="A163" s="2"/>
    </row>
    <row r="164" spans="1:1" x14ac:dyDescent="0.25">
      <c r="A164" s="3"/>
    </row>
    <row r="165" spans="1:1" x14ac:dyDescent="0.25">
      <c r="A165" s="2"/>
    </row>
    <row r="166" spans="1:1" x14ac:dyDescent="0.25">
      <c r="A166" s="4"/>
    </row>
    <row r="167" spans="1:1" x14ac:dyDescent="0.25">
      <c r="A167" s="2"/>
    </row>
    <row r="168" spans="1:1" x14ac:dyDescent="0.25">
      <c r="A168" s="3"/>
    </row>
    <row r="169" spans="1:1" x14ac:dyDescent="0.25">
      <c r="A16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10.3.3 Num</vt:lpstr>
      <vt:lpstr>Table 10.3.4 FM</vt:lpstr>
      <vt:lpstr>Table 10.2.6 - maturity</vt:lpstr>
      <vt:lpstr>Table 10.2.6 WA</vt:lpstr>
      <vt:lpstr>Table 10.2.6 nat mort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Keith, David (DFO/MPO)</dc:creator>
  <cp:lastModifiedBy>Keith, David (DFO/MPO)</cp:lastModifiedBy>
  <dcterms:created xsi:type="dcterms:W3CDTF">2026-03-09T23:54:30Z</dcterms:created>
  <dcterms:modified xsi:type="dcterms:W3CDTF">2026-03-19T11:19:17Z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2026-03-09T23:54:47Z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504a7c1d-906c-4f07-b266-b420bdfadc2e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