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1_{3CE09CEA-90A9-4198-967C-483E3F8966F6}" xr6:coauthVersionLast="47" xr6:coauthVersionMax="47" xr10:uidLastSave="{00000000-0000-0000-0000-000000000000}"/>
  <bookViews>
    <workbookView xWindow="28680" yWindow="-16110" windowWidth="29040" windowHeight="15720" activeTab="5" xr2:uid="{00000000-000D-0000-FFFF-FFFF00000000}"/>
  </bookViews>
  <sheets>
    <sheet name="11.2.2-catch" sheetId="3" r:id="rId1"/>
    <sheet name="11.2.3-weight" sheetId="4" r:id="rId2"/>
    <sheet name="11.6.1-nat mort" sheetId="8" r:id="rId3"/>
    <sheet name="11.6.3Num" sheetId="9" r:id="rId4"/>
    <sheet name="11.9.1 -maturity" sheetId="11" r:id="rId5"/>
    <sheet name="FM Estimated" sheetId="12" r:id="rId6"/>
    <sheet name="11.6.3 Num quart long" sheetId="14" r:id="rId7"/>
    <sheet name="FM don't use" sheetId="15" r:id="rId8"/>
    <sheet name="Sheet2" sheetId="13" r:id="rId9"/>
  </sheets>
  <externalReferences>
    <externalReference r:id="rId10"/>
  </externalReferences>
  <definedNames>
    <definedName name="_xlnm._FilterDatabase" localSheetId="1" hidden="1">'11.2.3-weight'!$A$1:$F$1</definedName>
    <definedName name="_xlnm._FilterDatabase" localSheetId="2" hidden="1">'11.6.1-nat mort'!$A$1:$E$205</definedName>
    <definedName name="_xlnm._FilterDatabase" localSheetId="6" hidden="1">'11.6.3 Num quart long'!$A$1:$F$205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08" i="12" l="1"/>
  <c r="Y208" i="12"/>
  <c r="X208" i="12"/>
  <c r="W208" i="12"/>
  <c r="B11" i="12" s="1"/>
  <c r="W5" i="12"/>
  <c r="X5" i="12"/>
  <c r="Y5" i="12"/>
  <c r="Z5" i="12"/>
  <c r="W6" i="12"/>
  <c r="X6" i="12"/>
  <c r="Y6" i="12"/>
  <c r="Z6" i="12"/>
  <c r="W7" i="12"/>
  <c r="X7" i="12"/>
  <c r="Y7" i="12"/>
  <c r="Z7" i="12"/>
  <c r="W8" i="12"/>
  <c r="X8" i="12"/>
  <c r="Y8" i="12"/>
  <c r="Z8" i="12"/>
  <c r="W9" i="12"/>
  <c r="X9" i="12"/>
  <c r="Y9" i="12"/>
  <c r="Z9" i="12"/>
  <c r="W10" i="12"/>
  <c r="X10" i="12"/>
  <c r="Y10" i="12"/>
  <c r="Z10" i="12"/>
  <c r="W11" i="12"/>
  <c r="X11" i="12"/>
  <c r="Y11" i="12"/>
  <c r="Z11" i="12"/>
  <c r="W12" i="12"/>
  <c r="X12" i="12"/>
  <c r="Y12" i="12"/>
  <c r="Z12" i="12"/>
  <c r="W13" i="12"/>
  <c r="X13" i="12"/>
  <c r="Y13" i="12"/>
  <c r="Z13" i="12"/>
  <c r="W14" i="12"/>
  <c r="X14" i="12"/>
  <c r="Y14" i="12"/>
  <c r="Z14" i="12"/>
  <c r="W15" i="12"/>
  <c r="X15" i="12"/>
  <c r="Y15" i="12"/>
  <c r="Z15" i="12"/>
  <c r="W16" i="12"/>
  <c r="X16" i="12"/>
  <c r="Y16" i="12"/>
  <c r="Z16" i="12"/>
  <c r="W17" i="12"/>
  <c r="X17" i="12"/>
  <c r="Y17" i="12"/>
  <c r="Z17" i="12"/>
  <c r="W18" i="12"/>
  <c r="X18" i="12"/>
  <c r="Y18" i="12"/>
  <c r="Z18" i="12"/>
  <c r="W19" i="12"/>
  <c r="X19" i="12"/>
  <c r="Y19" i="12"/>
  <c r="Z19" i="12"/>
  <c r="W20" i="12"/>
  <c r="X20" i="12"/>
  <c r="Y20" i="12"/>
  <c r="Z20" i="12"/>
  <c r="W21" i="12"/>
  <c r="X21" i="12"/>
  <c r="Y21" i="12"/>
  <c r="Z21" i="12"/>
  <c r="W22" i="12"/>
  <c r="X22" i="12"/>
  <c r="Y22" i="12"/>
  <c r="Z22" i="12"/>
  <c r="W23" i="12"/>
  <c r="X23" i="12"/>
  <c r="Y23" i="12"/>
  <c r="Z23" i="12"/>
  <c r="W24" i="12"/>
  <c r="X24" i="12"/>
  <c r="Y24" i="12"/>
  <c r="Z24" i="12"/>
  <c r="W25" i="12"/>
  <c r="X25" i="12"/>
  <c r="Y25" i="12"/>
  <c r="Z25" i="12"/>
  <c r="W26" i="12"/>
  <c r="X26" i="12"/>
  <c r="Y26" i="12"/>
  <c r="Z26" i="12"/>
  <c r="W27" i="12"/>
  <c r="X27" i="12"/>
  <c r="Y27" i="12"/>
  <c r="Z27" i="12"/>
  <c r="W28" i="12"/>
  <c r="X28" i="12"/>
  <c r="Y28" i="12"/>
  <c r="Z28" i="12"/>
  <c r="W29" i="12"/>
  <c r="X29" i="12"/>
  <c r="Y29" i="12"/>
  <c r="Z29" i="12"/>
  <c r="W30" i="12"/>
  <c r="X30" i="12"/>
  <c r="Y30" i="12"/>
  <c r="Z30" i="12"/>
  <c r="W31" i="12"/>
  <c r="X31" i="12"/>
  <c r="Y31" i="12"/>
  <c r="Z31" i="12"/>
  <c r="W32" i="12"/>
  <c r="X32" i="12"/>
  <c r="Y32" i="12"/>
  <c r="Z32" i="12"/>
  <c r="W33" i="12"/>
  <c r="X33" i="12"/>
  <c r="Y33" i="12"/>
  <c r="Z33" i="12"/>
  <c r="W34" i="12"/>
  <c r="X34" i="12"/>
  <c r="Y34" i="12"/>
  <c r="Z34" i="12"/>
  <c r="W35" i="12"/>
  <c r="X35" i="12"/>
  <c r="Y35" i="12"/>
  <c r="Z35" i="12"/>
  <c r="W36" i="12"/>
  <c r="X36" i="12"/>
  <c r="Y36" i="12"/>
  <c r="Z36" i="12"/>
  <c r="W37" i="12"/>
  <c r="X37" i="12"/>
  <c r="Y37" i="12"/>
  <c r="Z37" i="12"/>
  <c r="W38" i="12"/>
  <c r="X38" i="12"/>
  <c r="Y38" i="12"/>
  <c r="Z38" i="12"/>
  <c r="W39" i="12"/>
  <c r="X39" i="12"/>
  <c r="Y39" i="12"/>
  <c r="Z39" i="12"/>
  <c r="W40" i="12"/>
  <c r="X40" i="12"/>
  <c r="Y40" i="12"/>
  <c r="Z40" i="12"/>
  <c r="W41" i="12"/>
  <c r="X41" i="12"/>
  <c r="Y41" i="12"/>
  <c r="Z41" i="12"/>
  <c r="W42" i="12"/>
  <c r="X42" i="12"/>
  <c r="Y42" i="12"/>
  <c r="Z42" i="12"/>
  <c r="W43" i="12"/>
  <c r="X43" i="12"/>
  <c r="Y43" i="12"/>
  <c r="Z43" i="12"/>
  <c r="W44" i="12"/>
  <c r="X44" i="12"/>
  <c r="Y44" i="12"/>
  <c r="Z44" i="12"/>
  <c r="W45" i="12"/>
  <c r="X45" i="12"/>
  <c r="Y45" i="12"/>
  <c r="Z45" i="12"/>
  <c r="W46" i="12"/>
  <c r="X46" i="12"/>
  <c r="Y46" i="12"/>
  <c r="Z46" i="12"/>
  <c r="W47" i="12"/>
  <c r="X47" i="12"/>
  <c r="Y47" i="12"/>
  <c r="Z47" i="12"/>
  <c r="W48" i="12"/>
  <c r="X48" i="12"/>
  <c r="Y48" i="12"/>
  <c r="Z48" i="12"/>
  <c r="W49" i="12"/>
  <c r="X49" i="12"/>
  <c r="Y49" i="12"/>
  <c r="Z49" i="12"/>
  <c r="W50" i="12"/>
  <c r="X50" i="12"/>
  <c r="Y50" i="12"/>
  <c r="Z50" i="12"/>
  <c r="W51" i="12"/>
  <c r="X51" i="12"/>
  <c r="Y51" i="12"/>
  <c r="Z51" i="12"/>
  <c r="W52" i="12"/>
  <c r="X52" i="12"/>
  <c r="Y52" i="12"/>
  <c r="Z52" i="12"/>
  <c r="W53" i="12"/>
  <c r="X53" i="12"/>
  <c r="Y53" i="12"/>
  <c r="Z53" i="12"/>
  <c r="W54" i="12"/>
  <c r="X54" i="12"/>
  <c r="Y54" i="12"/>
  <c r="Z54" i="12"/>
  <c r="W55" i="12"/>
  <c r="X55" i="12"/>
  <c r="Y55" i="12"/>
  <c r="Z55" i="12"/>
  <c r="W56" i="12"/>
  <c r="X56" i="12"/>
  <c r="Y56" i="12"/>
  <c r="Z56" i="12"/>
  <c r="W57" i="12"/>
  <c r="X57" i="12"/>
  <c r="Y57" i="12"/>
  <c r="Z57" i="12"/>
  <c r="W58" i="12"/>
  <c r="X58" i="12"/>
  <c r="Y58" i="12"/>
  <c r="Z58" i="12"/>
  <c r="W59" i="12"/>
  <c r="X59" i="12"/>
  <c r="Y59" i="12"/>
  <c r="Z59" i="12"/>
  <c r="W60" i="12"/>
  <c r="X60" i="12"/>
  <c r="Y60" i="12"/>
  <c r="Z60" i="12"/>
  <c r="W61" i="12"/>
  <c r="X61" i="12"/>
  <c r="Y61" i="12"/>
  <c r="Z61" i="12"/>
  <c r="W62" i="12"/>
  <c r="X62" i="12"/>
  <c r="Y62" i="12"/>
  <c r="Z62" i="12"/>
  <c r="W63" i="12"/>
  <c r="X63" i="12"/>
  <c r="Y63" i="12"/>
  <c r="Z63" i="12"/>
  <c r="W64" i="12"/>
  <c r="X64" i="12"/>
  <c r="Y64" i="12"/>
  <c r="Z64" i="12"/>
  <c r="W65" i="12"/>
  <c r="X65" i="12"/>
  <c r="Y65" i="12"/>
  <c r="Z65" i="12"/>
  <c r="W66" i="12"/>
  <c r="X66" i="12"/>
  <c r="Y66" i="12"/>
  <c r="Z66" i="12"/>
  <c r="W67" i="12"/>
  <c r="X67" i="12"/>
  <c r="Y67" i="12"/>
  <c r="Z67" i="12"/>
  <c r="W68" i="12"/>
  <c r="X68" i="12"/>
  <c r="Y68" i="12"/>
  <c r="Z68" i="12"/>
  <c r="W69" i="12"/>
  <c r="X69" i="12"/>
  <c r="Y69" i="12"/>
  <c r="Z69" i="12"/>
  <c r="W70" i="12"/>
  <c r="X70" i="12"/>
  <c r="Y70" i="12"/>
  <c r="Z70" i="12"/>
  <c r="W71" i="12"/>
  <c r="X71" i="12"/>
  <c r="Y71" i="12"/>
  <c r="Z71" i="12"/>
  <c r="W72" i="12"/>
  <c r="X72" i="12"/>
  <c r="Y72" i="12"/>
  <c r="Z72" i="12"/>
  <c r="W73" i="12"/>
  <c r="X73" i="12"/>
  <c r="Y73" i="12"/>
  <c r="Z73" i="12"/>
  <c r="W74" i="12"/>
  <c r="X74" i="12"/>
  <c r="Y74" i="12"/>
  <c r="Z74" i="12"/>
  <c r="W75" i="12"/>
  <c r="X75" i="12"/>
  <c r="Y75" i="12"/>
  <c r="Z75" i="12"/>
  <c r="W76" i="12"/>
  <c r="X76" i="12"/>
  <c r="Y76" i="12"/>
  <c r="Z76" i="12"/>
  <c r="W77" i="12"/>
  <c r="X77" i="12"/>
  <c r="Y77" i="12"/>
  <c r="Z77" i="12"/>
  <c r="W78" i="12"/>
  <c r="X78" i="12"/>
  <c r="Y78" i="12"/>
  <c r="Z78" i="12"/>
  <c r="W79" i="12"/>
  <c r="X79" i="12"/>
  <c r="Y79" i="12"/>
  <c r="Z79" i="12"/>
  <c r="W80" i="12"/>
  <c r="X80" i="12"/>
  <c r="Y80" i="12"/>
  <c r="Z80" i="12"/>
  <c r="W81" i="12"/>
  <c r="X81" i="12"/>
  <c r="Y81" i="12"/>
  <c r="Z81" i="12"/>
  <c r="W82" i="12"/>
  <c r="X82" i="12"/>
  <c r="Y82" i="12"/>
  <c r="Z82" i="12"/>
  <c r="W83" i="12"/>
  <c r="X83" i="12"/>
  <c r="Y83" i="12"/>
  <c r="Z83" i="12"/>
  <c r="W84" i="12"/>
  <c r="X84" i="12"/>
  <c r="Y84" i="12"/>
  <c r="Z84" i="12"/>
  <c r="W85" i="12"/>
  <c r="X85" i="12"/>
  <c r="Y85" i="12"/>
  <c r="Z85" i="12"/>
  <c r="W86" i="12"/>
  <c r="X86" i="12"/>
  <c r="Y86" i="12"/>
  <c r="Z86" i="12"/>
  <c r="W87" i="12"/>
  <c r="X87" i="12"/>
  <c r="Y87" i="12"/>
  <c r="Z87" i="12"/>
  <c r="W88" i="12"/>
  <c r="X88" i="12"/>
  <c r="Y88" i="12"/>
  <c r="Z88" i="12"/>
  <c r="W89" i="12"/>
  <c r="X89" i="12"/>
  <c r="Y89" i="12"/>
  <c r="Z89" i="12"/>
  <c r="W90" i="12"/>
  <c r="X90" i="12"/>
  <c r="Y90" i="12"/>
  <c r="Z90" i="12"/>
  <c r="W91" i="12"/>
  <c r="X91" i="12"/>
  <c r="Y91" i="12"/>
  <c r="Z91" i="12"/>
  <c r="W92" i="12"/>
  <c r="X92" i="12"/>
  <c r="Y92" i="12"/>
  <c r="Z92" i="12"/>
  <c r="W93" i="12"/>
  <c r="X93" i="12"/>
  <c r="Y93" i="12"/>
  <c r="Z93" i="12"/>
  <c r="W94" i="12"/>
  <c r="X94" i="12"/>
  <c r="Y94" i="12"/>
  <c r="Z94" i="12"/>
  <c r="W95" i="12"/>
  <c r="X95" i="12"/>
  <c r="Y95" i="12"/>
  <c r="Z95" i="12"/>
  <c r="W96" i="12"/>
  <c r="X96" i="12"/>
  <c r="Y96" i="12"/>
  <c r="Z96" i="12"/>
  <c r="W97" i="12"/>
  <c r="X97" i="12"/>
  <c r="Y97" i="12"/>
  <c r="Z97" i="12"/>
  <c r="W98" i="12"/>
  <c r="X98" i="12"/>
  <c r="Y98" i="12"/>
  <c r="Z98" i="12"/>
  <c r="W99" i="12"/>
  <c r="X99" i="12"/>
  <c r="Y99" i="12"/>
  <c r="Z99" i="12"/>
  <c r="W100" i="12"/>
  <c r="X100" i="12"/>
  <c r="Y100" i="12"/>
  <c r="Z100" i="12"/>
  <c r="W101" i="12"/>
  <c r="X101" i="12"/>
  <c r="Y101" i="12"/>
  <c r="Z101" i="12"/>
  <c r="W102" i="12"/>
  <c r="X102" i="12"/>
  <c r="Y102" i="12"/>
  <c r="Z102" i="12"/>
  <c r="W103" i="12"/>
  <c r="X103" i="12"/>
  <c r="Y103" i="12"/>
  <c r="Z103" i="12"/>
  <c r="W104" i="12"/>
  <c r="X104" i="12"/>
  <c r="Y104" i="12"/>
  <c r="Z104" i="12"/>
  <c r="W105" i="12"/>
  <c r="X105" i="12"/>
  <c r="Y105" i="12"/>
  <c r="Z105" i="12"/>
  <c r="W106" i="12"/>
  <c r="X106" i="12"/>
  <c r="Y106" i="12"/>
  <c r="Z106" i="12"/>
  <c r="W107" i="12"/>
  <c r="X107" i="12"/>
  <c r="Y107" i="12"/>
  <c r="Z107" i="12"/>
  <c r="W108" i="12"/>
  <c r="X108" i="12"/>
  <c r="Y108" i="12"/>
  <c r="Z108" i="12"/>
  <c r="W109" i="12"/>
  <c r="X109" i="12"/>
  <c r="Y109" i="12"/>
  <c r="Z109" i="12"/>
  <c r="W110" i="12"/>
  <c r="X110" i="12"/>
  <c r="Y110" i="12"/>
  <c r="Z110" i="12"/>
  <c r="W111" i="12"/>
  <c r="X111" i="12"/>
  <c r="Y111" i="12"/>
  <c r="Z111" i="12"/>
  <c r="W112" i="12"/>
  <c r="X112" i="12"/>
  <c r="Y112" i="12"/>
  <c r="Z112" i="12"/>
  <c r="W113" i="12"/>
  <c r="X113" i="12"/>
  <c r="Y113" i="12"/>
  <c r="Z113" i="12"/>
  <c r="W114" i="12"/>
  <c r="X114" i="12"/>
  <c r="Y114" i="12"/>
  <c r="Z114" i="12"/>
  <c r="W115" i="12"/>
  <c r="X115" i="12"/>
  <c r="Y115" i="12"/>
  <c r="Z115" i="12"/>
  <c r="W116" i="12"/>
  <c r="X116" i="12"/>
  <c r="Y116" i="12"/>
  <c r="Z116" i="12"/>
  <c r="W117" i="12"/>
  <c r="X117" i="12"/>
  <c r="Y117" i="12"/>
  <c r="Z117" i="12"/>
  <c r="W118" i="12"/>
  <c r="X118" i="12"/>
  <c r="Y118" i="12"/>
  <c r="Z118" i="12"/>
  <c r="W119" i="12"/>
  <c r="X119" i="12"/>
  <c r="Y119" i="12"/>
  <c r="Z119" i="12"/>
  <c r="W120" i="12"/>
  <c r="X120" i="12"/>
  <c r="Y120" i="12"/>
  <c r="Z120" i="12"/>
  <c r="W121" i="12"/>
  <c r="X121" i="12"/>
  <c r="Y121" i="12"/>
  <c r="Z121" i="12"/>
  <c r="W122" i="12"/>
  <c r="X122" i="12"/>
  <c r="Y122" i="12"/>
  <c r="Z122" i="12"/>
  <c r="W123" i="12"/>
  <c r="X123" i="12"/>
  <c r="Y123" i="12"/>
  <c r="Z123" i="12"/>
  <c r="W124" i="12"/>
  <c r="X124" i="12"/>
  <c r="Y124" i="12"/>
  <c r="Z124" i="12"/>
  <c r="W125" i="12"/>
  <c r="X125" i="12"/>
  <c r="Y125" i="12"/>
  <c r="Z125" i="12"/>
  <c r="W126" i="12"/>
  <c r="X126" i="12"/>
  <c r="Y126" i="12"/>
  <c r="Z126" i="12"/>
  <c r="W127" i="12"/>
  <c r="X127" i="12"/>
  <c r="Y127" i="12"/>
  <c r="Z127" i="12"/>
  <c r="W128" i="12"/>
  <c r="X128" i="12"/>
  <c r="Y128" i="12"/>
  <c r="Z128" i="12"/>
  <c r="W129" i="12"/>
  <c r="X129" i="12"/>
  <c r="Y129" i="12"/>
  <c r="Z129" i="12"/>
  <c r="W130" i="12"/>
  <c r="X130" i="12"/>
  <c r="Y130" i="12"/>
  <c r="Z130" i="12"/>
  <c r="W131" i="12"/>
  <c r="X131" i="12"/>
  <c r="Y131" i="12"/>
  <c r="Z131" i="12"/>
  <c r="W132" i="12"/>
  <c r="X132" i="12"/>
  <c r="Y132" i="12"/>
  <c r="Z132" i="12"/>
  <c r="W133" i="12"/>
  <c r="X133" i="12"/>
  <c r="Y133" i="12"/>
  <c r="Z133" i="12"/>
  <c r="W134" i="12"/>
  <c r="X134" i="12"/>
  <c r="Y134" i="12"/>
  <c r="Z134" i="12"/>
  <c r="W135" i="12"/>
  <c r="X135" i="12"/>
  <c r="Y135" i="12"/>
  <c r="Z135" i="12"/>
  <c r="W136" i="12"/>
  <c r="X136" i="12"/>
  <c r="Y136" i="12"/>
  <c r="Z136" i="12"/>
  <c r="W137" i="12"/>
  <c r="X137" i="12"/>
  <c r="Y137" i="12"/>
  <c r="Z137" i="12"/>
  <c r="W138" i="12"/>
  <c r="X138" i="12"/>
  <c r="Y138" i="12"/>
  <c r="Z138" i="12"/>
  <c r="W139" i="12"/>
  <c r="X139" i="12"/>
  <c r="Y139" i="12"/>
  <c r="Z139" i="12"/>
  <c r="W140" i="12"/>
  <c r="X140" i="12"/>
  <c r="Y140" i="12"/>
  <c r="Z140" i="12"/>
  <c r="W141" i="12"/>
  <c r="X141" i="12"/>
  <c r="Y141" i="12"/>
  <c r="Z141" i="12"/>
  <c r="W142" i="12"/>
  <c r="X142" i="12"/>
  <c r="Y142" i="12"/>
  <c r="Z142" i="12"/>
  <c r="W143" i="12"/>
  <c r="X143" i="12"/>
  <c r="Y143" i="12"/>
  <c r="Z143" i="12"/>
  <c r="W144" i="12"/>
  <c r="X144" i="12"/>
  <c r="Y144" i="12"/>
  <c r="Z144" i="12"/>
  <c r="W145" i="12"/>
  <c r="X145" i="12"/>
  <c r="Y145" i="12"/>
  <c r="Z145" i="12"/>
  <c r="W146" i="12"/>
  <c r="X146" i="12"/>
  <c r="Y146" i="12"/>
  <c r="Z146" i="12"/>
  <c r="W147" i="12"/>
  <c r="X147" i="12"/>
  <c r="Y147" i="12"/>
  <c r="Z147" i="12"/>
  <c r="W148" i="12"/>
  <c r="X148" i="12"/>
  <c r="Y148" i="12"/>
  <c r="Z148" i="12"/>
  <c r="W149" i="12"/>
  <c r="X149" i="12"/>
  <c r="Y149" i="12"/>
  <c r="Z149" i="12"/>
  <c r="W150" i="12"/>
  <c r="X150" i="12"/>
  <c r="Y150" i="12"/>
  <c r="Z150" i="12"/>
  <c r="W151" i="12"/>
  <c r="X151" i="12"/>
  <c r="Y151" i="12"/>
  <c r="Z151" i="12"/>
  <c r="W152" i="12"/>
  <c r="X152" i="12"/>
  <c r="Y152" i="12"/>
  <c r="Z152" i="12"/>
  <c r="W153" i="12"/>
  <c r="X153" i="12"/>
  <c r="Y153" i="12"/>
  <c r="Z153" i="12"/>
  <c r="W154" i="12"/>
  <c r="X154" i="12"/>
  <c r="Y154" i="12"/>
  <c r="Z154" i="12"/>
  <c r="W155" i="12"/>
  <c r="X155" i="12"/>
  <c r="Y155" i="12"/>
  <c r="Z155" i="12"/>
  <c r="W156" i="12"/>
  <c r="X156" i="12"/>
  <c r="Y156" i="12"/>
  <c r="Z156" i="12"/>
  <c r="W157" i="12"/>
  <c r="X157" i="12"/>
  <c r="Y157" i="12"/>
  <c r="Z157" i="12"/>
  <c r="W158" i="12"/>
  <c r="X158" i="12"/>
  <c r="Y158" i="12"/>
  <c r="Z158" i="12"/>
  <c r="W159" i="12"/>
  <c r="X159" i="12"/>
  <c r="Y159" i="12"/>
  <c r="Z159" i="12"/>
  <c r="W160" i="12"/>
  <c r="X160" i="12"/>
  <c r="Y160" i="12"/>
  <c r="Z160" i="12"/>
  <c r="W161" i="12"/>
  <c r="X161" i="12"/>
  <c r="Y161" i="12"/>
  <c r="Z161" i="12"/>
  <c r="W162" i="12"/>
  <c r="X162" i="12"/>
  <c r="Y162" i="12"/>
  <c r="Z162" i="12"/>
  <c r="W163" i="12"/>
  <c r="X163" i="12"/>
  <c r="Y163" i="12"/>
  <c r="Z163" i="12"/>
  <c r="W164" i="12"/>
  <c r="X164" i="12"/>
  <c r="Y164" i="12"/>
  <c r="Z164" i="12"/>
  <c r="W165" i="12"/>
  <c r="X165" i="12"/>
  <c r="Y165" i="12"/>
  <c r="Z165" i="12"/>
  <c r="W166" i="12"/>
  <c r="X166" i="12"/>
  <c r="Y166" i="12"/>
  <c r="Z166" i="12"/>
  <c r="W167" i="12"/>
  <c r="X167" i="12"/>
  <c r="Y167" i="12"/>
  <c r="Z167" i="12"/>
  <c r="W168" i="12"/>
  <c r="X168" i="12"/>
  <c r="Y168" i="12"/>
  <c r="Z168" i="12"/>
  <c r="W169" i="12"/>
  <c r="X169" i="12"/>
  <c r="Y169" i="12"/>
  <c r="Z169" i="12"/>
  <c r="W170" i="12"/>
  <c r="X170" i="12"/>
  <c r="Y170" i="12"/>
  <c r="Z170" i="12"/>
  <c r="W171" i="12"/>
  <c r="X171" i="12"/>
  <c r="Y171" i="12"/>
  <c r="Z171" i="12"/>
  <c r="W172" i="12"/>
  <c r="X172" i="12"/>
  <c r="Y172" i="12"/>
  <c r="Z172" i="12"/>
  <c r="W173" i="12"/>
  <c r="X173" i="12"/>
  <c r="Y173" i="12"/>
  <c r="Z173" i="12"/>
  <c r="W174" i="12"/>
  <c r="X174" i="12"/>
  <c r="Y174" i="12"/>
  <c r="Z174" i="12"/>
  <c r="W175" i="12"/>
  <c r="X175" i="12"/>
  <c r="Y175" i="12"/>
  <c r="Z175" i="12"/>
  <c r="W176" i="12"/>
  <c r="X176" i="12"/>
  <c r="Y176" i="12"/>
  <c r="Z176" i="12"/>
  <c r="W177" i="12"/>
  <c r="X177" i="12"/>
  <c r="Y177" i="12"/>
  <c r="Z177" i="12"/>
  <c r="W178" i="12"/>
  <c r="X178" i="12"/>
  <c r="Y178" i="12"/>
  <c r="Z178" i="12"/>
  <c r="W179" i="12"/>
  <c r="X179" i="12"/>
  <c r="Y179" i="12"/>
  <c r="Z179" i="12"/>
  <c r="W180" i="12"/>
  <c r="X180" i="12"/>
  <c r="Y180" i="12"/>
  <c r="Z180" i="12"/>
  <c r="W181" i="12"/>
  <c r="X181" i="12"/>
  <c r="Y181" i="12"/>
  <c r="Z181" i="12"/>
  <c r="W182" i="12"/>
  <c r="X182" i="12"/>
  <c r="Y182" i="12"/>
  <c r="Z182" i="12"/>
  <c r="W183" i="12"/>
  <c r="X183" i="12"/>
  <c r="Y183" i="12"/>
  <c r="Z183" i="12"/>
  <c r="W184" i="12"/>
  <c r="X184" i="12"/>
  <c r="Y184" i="12"/>
  <c r="Z184" i="12"/>
  <c r="W185" i="12"/>
  <c r="X185" i="12"/>
  <c r="Y185" i="12"/>
  <c r="Z185" i="12"/>
  <c r="W186" i="12"/>
  <c r="X186" i="12"/>
  <c r="Y186" i="12"/>
  <c r="Z186" i="12"/>
  <c r="W187" i="12"/>
  <c r="X187" i="12"/>
  <c r="Y187" i="12"/>
  <c r="Z187" i="12"/>
  <c r="W188" i="12"/>
  <c r="X188" i="12"/>
  <c r="Y188" i="12"/>
  <c r="Z188" i="12"/>
  <c r="W189" i="12"/>
  <c r="X189" i="12"/>
  <c r="Y189" i="12"/>
  <c r="Z189" i="12"/>
  <c r="W190" i="12"/>
  <c r="X190" i="12"/>
  <c r="Y190" i="12"/>
  <c r="Z190" i="12"/>
  <c r="W191" i="12"/>
  <c r="X191" i="12"/>
  <c r="Y191" i="12"/>
  <c r="Z191" i="12"/>
  <c r="W192" i="12"/>
  <c r="X192" i="12"/>
  <c r="Y192" i="12"/>
  <c r="Z192" i="12"/>
  <c r="W193" i="12"/>
  <c r="X193" i="12"/>
  <c r="Y193" i="12"/>
  <c r="Z193" i="12"/>
  <c r="W194" i="12"/>
  <c r="X194" i="12"/>
  <c r="Y194" i="12"/>
  <c r="Z194" i="12"/>
  <c r="W195" i="12"/>
  <c r="X195" i="12"/>
  <c r="Y195" i="12"/>
  <c r="Z195" i="12"/>
  <c r="W196" i="12"/>
  <c r="X196" i="12"/>
  <c r="Y196" i="12"/>
  <c r="Z196" i="12"/>
  <c r="W197" i="12"/>
  <c r="X197" i="12"/>
  <c r="Y197" i="12"/>
  <c r="Z197" i="12"/>
  <c r="W198" i="12"/>
  <c r="X198" i="12"/>
  <c r="Y198" i="12"/>
  <c r="Z198" i="12"/>
  <c r="W199" i="12"/>
  <c r="X199" i="12"/>
  <c r="Y199" i="12"/>
  <c r="Z199" i="12"/>
  <c r="W200" i="12"/>
  <c r="X200" i="12"/>
  <c r="Y200" i="12"/>
  <c r="Z200" i="12"/>
  <c r="W201" i="12"/>
  <c r="X201" i="12"/>
  <c r="Y201" i="12"/>
  <c r="Z201" i="12"/>
  <c r="W202" i="12"/>
  <c r="X202" i="12"/>
  <c r="Y202" i="12"/>
  <c r="Z202" i="12"/>
  <c r="W203" i="12"/>
  <c r="X203" i="12"/>
  <c r="Y203" i="12"/>
  <c r="Z203" i="12"/>
  <c r="W204" i="12"/>
  <c r="X204" i="12"/>
  <c r="Y204" i="12"/>
  <c r="Z204" i="12"/>
  <c r="W205" i="12"/>
  <c r="X205" i="12"/>
  <c r="Y205" i="12"/>
  <c r="Z205" i="12"/>
  <c r="W206" i="12"/>
  <c r="X206" i="12"/>
  <c r="Y206" i="12"/>
  <c r="Z206" i="12"/>
  <c r="W207" i="12"/>
  <c r="X207" i="12"/>
  <c r="Y207" i="12"/>
  <c r="Z207" i="12"/>
  <c r="B31" i="12"/>
  <c r="X4" i="12"/>
  <c r="Y4" i="12"/>
  <c r="Z4" i="12"/>
  <c r="W4" i="12"/>
  <c r="B13" i="12"/>
  <c r="E9" i="12"/>
  <c r="R181" i="12"/>
  <c r="R180" i="12"/>
  <c r="R178" i="12"/>
  <c r="Q153" i="12"/>
  <c r="R153" i="12" s="1"/>
  <c r="R149" i="12"/>
  <c r="R146" i="12"/>
  <c r="R141" i="12"/>
  <c r="R140" i="12"/>
  <c r="Q137" i="12"/>
  <c r="R137" i="12" s="1"/>
  <c r="R133" i="12"/>
  <c r="R132" i="12"/>
  <c r="R130" i="12"/>
  <c r="R121" i="12"/>
  <c r="Q121" i="12"/>
  <c r="R118" i="12"/>
  <c r="R113" i="12"/>
  <c r="Q113" i="12"/>
  <c r="Q110" i="12"/>
  <c r="R110" i="12" s="1"/>
  <c r="R106" i="12"/>
  <c r="Q106" i="12"/>
  <c r="R101" i="12"/>
  <c r="R102" i="12"/>
  <c r="Q102" i="12"/>
  <c r="R97" i="12"/>
  <c r="Q97" i="12"/>
  <c r="R93" i="12"/>
  <c r="Q93" i="12"/>
  <c r="R90" i="12"/>
  <c r="R89" i="12"/>
  <c r="P84" i="12"/>
  <c r="R82" i="12"/>
  <c r="Q80" i="12"/>
  <c r="R76" i="12"/>
  <c r="Q73" i="12"/>
  <c r="Q72" i="12"/>
  <c r="Q69" i="12"/>
  <c r="R69" i="12" s="1"/>
  <c r="R68" i="12"/>
  <c r="Q64" i="12"/>
  <c r="R53" i="12"/>
  <c r="R52" i="12"/>
  <c r="Q33" i="12"/>
  <c r="Q29" i="12"/>
  <c r="R29" i="12" s="1"/>
  <c r="Q22" i="12"/>
  <c r="R18" i="12"/>
  <c r="Q18" i="12"/>
  <c r="R10" i="12"/>
  <c r="Q10" i="12"/>
  <c r="M208" i="12"/>
  <c r="L208" i="12"/>
  <c r="K208" i="12"/>
  <c r="J208" i="12"/>
  <c r="P208" i="12"/>
  <c r="O208" i="12"/>
  <c r="E4" i="12"/>
  <c r="E5" i="12"/>
  <c r="E6" i="12"/>
  <c r="E7" i="12"/>
  <c r="E8" i="12"/>
  <c r="E30" i="12"/>
  <c r="E31" i="12"/>
  <c r="E32" i="12"/>
  <c r="E33" i="12"/>
  <c r="E34" i="12"/>
  <c r="E35" i="12"/>
  <c r="E36" i="12"/>
  <c r="B3" i="12"/>
  <c r="B4" i="12"/>
  <c r="B5" i="12"/>
  <c r="B6" i="12"/>
  <c r="B7" i="12"/>
  <c r="B8" i="12"/>
  <c r="B9" i="12"/>
  <c r="B10" i="12"/>
  <c r="B35" i="12"/>
  <c r="B37" i="12"/>
  <c r="B38" i="12"/>
  <c r="B39" i="12"/>
  <c r="H206" i="15"/>
  <c r="F206" i="15"/>
  <c r="K206" i="15" s="1"/>
  <c r="E206" i="15"/>
  <c r="J206" i="15" s="1"/>
  <c r="D206" i="15"/>
  <c r="I206" i="15" s="1"/>
  <c r="C206" i="15"/>
  <c r="F205" i="15"/>
  <c r="K205" i="15" s="1"/>
  <c r="E205" i="15"/>
  <c r="J205" i="15" s="1"/>
  <c r="S205" i="15" s="1"/>
  <c r="D205" i="15"/>
  <c r="I205" i="15" s="1"/>
  <c r="C205" i="15"/>
  <c r="H205" i="15" s="1"/>
  <c r="I204" i="15"/>
  <c r="F204" i="15"/>
  <c r="K204" i="15" s="1"/>
  <c r="E204" i="15"/>
  <c r="J204" i="15" s="1"/>
  <c r="D204" i="15"/>
  <c r="C204" i="15"/>
  <c r="H204" i="15" s="1"/>
  <c r="F203" i="15"/>
  <c r="K203" i="15" s="1"/>
  <c r="E203" i="15"/>
  <c r="J203" i="15" s="1"/>
  <c r="D203" i="15"/>
  <c r="I203" i="15" s="1"/>
  <c r="C203" i="15"/>
  <c r="H203" i="15" s="1"/>
  <c r="S202" i="15"/>
  <c r="R202" i="15"/>
  <c r="Q202" i="15"/>
  <c r="P202" i="15"/>
  <c r="F202" i="15"/>
  <c r="K202" i="15" s="1"/>
  <c r="E202" i="15"/>
  <c r="J202" i="15" s="1"/>
  <c r="D202" i="15"/>
  <c r="I202" i="15" s="1"/>
  <c r="C202" i="15"/>
  <c r="H202" i="15" s="1"/>
  <c r="K201" i="15"/>
  <c r="F201" i="15"/>
  <c r="E201" i="15"/>
  <c r="J201" i="15" s="1"/>
  <c r="D201" i="15"/>
  <c r="I201" i="15" s="1"/>
  <c r="C201" i="15"/>
  <c r="H201" i="15" s="1"/>
  <c r="K200" i="15"/>
  <c r="J200" i="15"/>
  <c r="S200" i="15" s="1"/>
  <c r="I200" i="15"/>
  <c r="H200" i="15"/>
  <c r="F200" i="15"/>
  <c r="E200" i="15"/>
  <c r="D200" i="15"/>
  <c r="C200" i="15"/>
  <c r="H199" i="15"/>
  <c r="F199" i="15"/>
  <c r="K199" i="15" s="1"/>
  <c r="E199" i="15"/>
  <c r="J199" i="15" s="1"/>
  <c r="D199" i="15"/>
  <c r="I199" i="15" s="1"/>
  <c r="C199" i="15"/>
  <c r="R198" i="15"/>
  <c r="Q198" i="15"/>
  <c r="P198" i="15"/>
  <c r="K198" i="15"/>
  <c r="J198" i="15"/>
  <c r="S198" i="15" s="1"/>
  <c r="I198" i="15"/>
  <c r="F198" i="15"/>
  <c r="E198" i="15"/>
  <c r="D198" i="15"/>
  <c r="C198" i="15"/>
  <c r="H198" i="15" s="1"/>
  <c r="F197" i="15"/>
  <c r="K197" i="15" s="1"/>
  <c r="E197" i="15"/>
  <c r="J197" i="15" s="1"/>
  <c r="D197" i="15"/>
  <c r="I197" i="15" s="1"/>
  <c r="C197" i="15"/>
  <c r="H197" i="15" s="1"/>
  <c r="S196" i="15"/>
  <c r="F196" i="15"/>
  <c r="K196" i="15" s="1"/>
  <c r="E196" i="15"/>
  <c r="J196" i="15" s="1"/>
  <c r="D196" i="15"/>
  <c r="I196" i="15" s="1"/>
  <c r="C196" i="15"/>
  <c r="H196" i="15" s="1"/>
  <c r="F195" i="15"/>
  <c r="K195" i="15" s="1"/>
  <c r="E195" i="15"/>
  <c r="J195" i="15" s="1"/>
  <c r="D195" i="15"/>
  <c r="I195" i="15" s="1"/>
  <c r="C195" i="15"/>
  <c r="H195" i="15" s="1"/>
  <c r="K194" i="15"/>
  <c r="I194" i="15"/>
  <c r="F194" i="15"/>
  <c r="E194" i="15"/>
  <c r="J194" i="15" s="1"/>
  <c r="D194" i="15"/>
  <c r="C194" i="15"/>
  <c r="H194" i="15" s="1"/>
  <c r="S193" i="15"/>
  <c r="P193" i="15"/>
  <c r="K193" i="15"/>
  <c r="J193" i="15"/>
  <c r="R193" i="15" s="1"/>
  <c r="I193" i="15"/>
  <c r="H193" i="15"/>
  <c r="F193" i="15"/>
  <c r="E193" i="15"/>
  <c r="D193" i="15"/>
  <c r="C193" i="15"/>
  <c r="P192" i="15"/>
  <c r="K192" i="15"/>
  <c r="J192" i="15"/>
  <c r="H192" i="15"/>
  <c r="F192" i="15"/>
  <c r="E192" i="15"/>
  <c r="D192" i="15"/>
  <c r="I192" i="15" s="1"/>
  <c r="Q192" i="15" s="1"/>
  <c r="C192" i="15"/>
  <c r="K191" i="15"/>
  <c r="J191" i="15"/>
  <c r="I191" i="15"/>
  <c r="H191" i="15"/>
  <c r="F191" i="15"/>
  <c r="E191" i="15"/>
  <c r="D191" i="15"/>
  <c r="C191" i="15"/>
  <c r="F190" i="15"/>
  <c r="K190" i="15" s="1"/>
  <c r="E190" i="15"/>
  <c r="J190" i="15" s="1"/>
  <c r="D190" i="15"/>
  <c r="I190" i="15" s="1"/>
  <c r="C190" i="15"/>
  <c r="H190" i="15" s="1"/>
  <c r="J189" i="15"/>
  <c r="I189" i="15"/>
  <c r="F189" i="15"/>
  <c r="K189" i="15" s="1"/>
  <c r="E189" i="15"/>
  <c r="D189" i="15"/>
  <c r="C189" i="15"/>
  <c r="H189" i="15" s="1"/>
  <c r="F188" i="15"/>
  <c r="K188" i="15" s="1"/>
  <c r="E188" i="15"/>
  <c r="J188" i="15" s="1"/>
  <c r="D188" i="15"/>
  <c r="I188" i="15" s="1"/>
  <c r="C188" i="15"/>
  <c r="H188" i="15" s="1"/>
  <c r="K187" i="15"/>
  <c r="I187" i="15"/>
  <c r="F187" i="15"/>
  <c r="E187" i="15"/>
  <c r="J187" i="15" s="1"/>
  <c r="D187" i="15"/>
  <c r="C187" i="15"/>
  <c r="H187" i="15" s="1"/>
  <c r="S186" i="15"/>
  <c r="R186" i="15"/>
  <c r="Q186" i="15"/>
  <c r="P186" i="15"/>
  <c r="K186" i="15"/>
  <c r="J186" i="15"/>
  <c r="I186" i="15"/>
  <c r="H186" i="15"/>
  <c r="F186" i="15"/>
  <c r="E186" i="15"/>
  <c r="D186" i="15"/>
  <c r="C186" i="15"/>
  <c r="Q185" i="15"/>
  <c r="P185" i="15"/>
  <c r="K185" i="15"/>
  <c r="J185" i="15"/>
  <c r="I185" i="15"/>
  <c r="H185" i="15"/>
  <c r="F185" i="15"/>
  <c r="E185" i="15"/>
  <c r="D185" i="15"/>
  <c r="C185" i="15"/>
  <c r="K184" i="15"/>
  <c r="J184" i="15"/>
  <c r="I184" i="15"/>
  <c r="H184" i="15"/>
  <c r="F184" i="15"/>
  <c r="E184" i="15"/>
  <c r="D184" i="15"/>
  <c r="C184" i="15"/>
  <c r="F183" i="15"/>
  <c r="K183" i="15" s="1"/>
  <c r="E183" i="15"/>
  <c r="J183" i="15" s="1"/>
  <c r="D183" i="15"/>
  <c r="I183" i="15" s="1"/>
  <c r="C183" i="15"/>
  <c r="H183" i="15" s="1"/>
  <c r="S182" i="15"/>
  <c r="R182" i="15"/>
  <c r="Q182" i="15"/>
  <c r="J182" i="15"/>
  <c r="P182" i="15" s="1"/>
  <c r="I182" i="15"/>
  <c r="H182" i="15"/>
  <c r="F182" i="15"/>
  <c r="K182" i="15" s="1"/>
  <c r="E182" i="15"/>
  <c r="D182" i="15"/>
  <c r="C182" i="15"/>
  <c r="F181" i="15"/>
  <c r="K181" i="15" s="1"/>
  <c r="E181" i="15"/>
  <c r="J181" i="15" s="1"/>
  <c r="D181" i="15"/>
  <c r="I181" i="15" s="1"/>
  <c r="C181" i="15"/>
  <c r="H181" i="15" s="1"/>
  <c r="S180" i="15"/>
  <c r="R180" i="15"/>
  <c r="Q180" i="15"/>
  <c r="K180" i="15"/>
  <c r="F180" i="15"/>
  <c r="E180" i="15"/>
  <c r="J180" i="15" s="1"/>
  <c r="D180" i="15"/>
  <c r="I180" i="15" s="1"/>
  <c r="C180" i="15"/>
  <c r="H180" i="15" s="1"/>
  <c r="R179" i="15"/>
  <c r="Q179" i="15"/>
  <c r="P179" i="15"/>
  <c r="K179" i="15"/>
  <c r="S179" i="15" s="1"/>
  <c r="J179" i="15"/>
  <c r="I179" i="15"/>
  <c r="H179" i="15"/>
  <c r="F179" i="15"/>
  <c r="E179" i="15"/>
  <c r="D179" i="15"/>
  <c r="C179" i="15"/>
  <c r="I178" i="15"/>
  <c r="H178" i="15"/>
  <c r="F178" i="15"/>
  <c r="K178" i="15" s="1"/>
  <c r="E178" i="15"/>
  <c r="J178" i="15" s="1"/>
  <c r="D178" i="15"/>
  <c r="C178" i="15"/>
  <c r="I177" i="15"/>
  <c r="F177" i="15"/>
  <c r="K177" i="15" s="1"/>
  <c r="E177" i="15"/>
  <c r="J177" i="15" s="1"/>
  <c r="D177" i="15"/>
  <c r="C177" i="15"/>
  <c r="H177" i="15" s="1"/>
  <c r="F176" i="15"/>
  <c r="K176" i="15" s="1"/>
  <c r="E176" i="15"/>
  <c r="J176" i="15" s="1"/>
  <c r="D176" i="15"/>
  <c r="I176" i="15" s="1"/>
  <c r="C176" i="15"/>
  <c r="H176" i="15" s="1"/>
  <c r="R175" i="15"/>
  <c r="Q175" i="15"/>
  <c r="H175" i="15"/>
  <c r="F175" i="15"/>
  <c r="K175" i="15" s="1"/>
  <c r="E175" i="15"/>
  <c r="J175" i="15" s="1"/>
  <c r="D175" i="15"/>
  <c r="I175" i="15" s="1"/>
  <c r="C175" i="15"/>
  <c r="F174" i="15"/>
  <c r="K174" i="15" s="1"/>
  <c r="E174" i="15"/>
  <c r="J174" i="15" s="1"/>
  <c r="S174" i="15" s="1"/>
  <c r="D174" i="15"/>
  <c r="I174" i="15" s="1"/>
  <c r="C174" i="15"/>
  <c r="H174" i="15" s="1"/>
  <c r="S173" i="15"/>
  <c r="R173" i="15"/>
  <c r="Q173" i="15"/>
  <c r="P173" i="15"/>
  <c r="K173" i="15"/>
  <c r="F173" i="15"/>
  <c r="E173" i="15"/>
  <c r="J173" i="15" s="1"/>
  <c r="D173" i="15"/>
  <c r="I173" i="15" s="1"/>
  <c r="C173" i="15"/>
  <c r="H173" i="15" s="1"/>
  <c r="K172" i="15"/>
  <c r="J172" i="15"/>
  <c r="R172" i="15" s="1"/>
  <c r="I172" i="15"/>
  <c r="H172" i="15"/>
  <c r="F172" i="15"/>
  <c r="E172" i="15"/>
  <c r="D172" i="15"/>
  <c r="C172" i="15"/>
  <c r="H171" i="15"/>
  <c r="F171" i="15"/>
  <c r="K171" i="15" s="1"/>
  <c r="E171" i="15"/>
  <c r="J171" i="15" s="1"/>
  <c r="D171" i="15"/>
  <c r="I171" i="15" s="1"/>
  <c r="C171" i="15"/>
  <c r="I170" i="15"/>
  <c r="H170" i="15"/>
  <c r="F170" i="15"/>
  <c r="K170" i="15" s="1"/>
  <c r="E170" i="15"/>
  <c r="J170" i="15" s="1"/>
  <c r="D170" i="15"/>
  <c r="C170" i="15"/>
  <c r="I169" i="15"/>
  <c r="H169" i="15"/>
  <c r="F169" i="15"/>
  <c r="K169" i="15" s="1"/>
  <c r="E169" i="15"/>
  <c r="J169" i="15" s="1"/>
  <c r="D169" i="15"/>
  <c r="C169" i="15"/>
  <c r="H168" i="15"/>
  <c r="F168" i="15"/>
  <c r="K168" i="15" s="1"/>
  <c r="E168" i="15"/>
  <c r="J168" i="15" s="1"/>
  <c r="D168" i="15"/>
  <c r="I168" i="15" s="1"/>
  <c r="C168" i="15"/>
  <c r="F167" i="15"/>
  <c r="K167" i="15" s="1"/>
  <c r="E167" i="15"/>
  <c r="J167" i="15" s="1"/>
  <c r="S167" i="15" s="1"/>
  <c r="D167" i="15"/>
  <c r="I167" i="15" s="1"/>
  <c r="C167" i="15"/>
  <c r="H167" i="15" s="1"/>
  <c r="K166" i="15"/>
  <c r="J166" i="15"/>
  <c r="I166" i="15"/>
  <c r="F166" i="15"/>
  <c r="E166" i="15"/>
  <c r="D166" i="15"/>
  <c r="C166" i="15"/>
  <c r="H166" i="15" s="1"/>
  <c r="K165" i="15"/>
  <c r="J165" i="15"/>
  <c r="I165" i="15"/>
  <c r="H165" i="15"/>
  <c r="F165" i="15"/>
  <c r="E165" i="15"/>
  <c r="D165" i="15"/>
  <c r="C165" i="15"/>
  <c r="K164" i="15"/>
  <c r="J164" i="15"/>
  <c r="I164" i="15"/>
  <c r="H164" i="15"/>
  <c r="F164" i="15"/>
  <c r="E164" i="15"/>
  <c r="D164" i="15"/>
  <c r="C164" i="15"/>
  <c r="F163" i="15"/>
  <c r="K163" i="15" s="1"/>
  <c r="E163" i="15"/>
  <c r="J163" i="15" s="1"/>
  <c r="D163" i="15"/>
  <c r="I163" i="15" s="1"/>
  <c r="C163" i="15"/>
  <c r="H163" i="15" s="1"/>
  <c r="I162" i="15"/>
  <c r="H162" i="15"/>
  <c r="F162" i="15"/>
  <c r="K162" i="15" s="1"/>
  <c r="E162" i="15"/>
  <c r="J162" i="15" s="1"/>
  <c r="D162" i="15"/>
  <c r="C162" i="15"/>
  <c r="F161" i="15"/>
  <c r="K161" i="15" s="1"/>
  <c r="E161" i="15"/>
  <c r="J161" i="15" s="1"/>
  <c r="D161" i="15"/>
  <c r="I161" i="15" s="1"/>
  <c r="C161" i="15"/>
  <c r="H161" i="15" s="1"/>
  <c r="S160" i="15"/>
  <c r="R160" i="15"/>
  <c r="Q160" i="15"/>
  <c r="F160" i="15"/>
  <c r="K160" i="15" s="1"/>
  <c r="E160" i="15"/>
  <c r="J160" i="15" s="1"/>
  <c r="P160" i="15" s="1"/>
  <c r="D160" i="15"/>
  <c r="I160" i="15" s="1"/>
  <c r="C160" i="15"/>
  <c r="H160" i="15" s="1"/>
  <c r="K159" i="15"/>
  <c r="J159" i="15"/>
  <c r="I159" i="15"/>
  <c r="F159" i="15"/>
  <c r="E159" i="15"/>
  <c r="D159" i="15"/>
  <c r="C159" i="15"/>
  <c r="H159" i="15" s="1"/>
  <c r="Q158" i="15"/>
  <c r="P158" i="15"/>
  <c r="K158" i="15"/>
  <c r="J158" i="15"/>
  <c r="I158" i="15"/>
  <c r="H158" i="15"/>
  <c r="F158" i="15"/>
  <c r="E158" i="15"/>
  <c r="D158" i="15"/>
  <c r="C158" i="15"/>
  <c r="H157" i="15"/>
  <c r="F157" i="15"/>
  <c r="K157" i="15" s="1"/>
  <c r="E157" i="15"/>
  <c r="J157" i="15" s="1"/>
  <c r="D157" i="15"/>
  <c r="I157" i="15" s="1"/>
  <c r="C157" i="15"/>
  <c r="R156" i="15"/>
  <c r="F156" i="15"/>
  <c r="K156" i="15" s="1"/>
  <c r="E156" i="15"/>
  <c r="J156" i="15" s="1"/>
  <c r="D156" i="15"/>
  <c r="I156" i="15" s="1"/>
  <c r="C156" i="15"/>
  <c r="H156" i="15" s="1"/>
  <c r="P156" i="15" s="1"/>
  <c r="F155" i="15"/>
  <c r="K155" i="15" s="1"/>
  <c r="E155" i="15"/>
  <c r="J155" i="15" s="1"/>
  <c r="D155" i="15"/>
  <c r="I155" i="15" s="1"/>
  <c r="C155" i="15"/>
  <c r="H155" i="15" s="1"/>
  <c r="F154" i="15"/>
  <c r="K154" i="15" s="1"/>
  <c r="E154" i="15"/>
  <c r="J154" i="15" s="1"/>
  <c r="D154" i="15"/>
  <c r="I154" i="15" s="1"/>
  <c r="C154" i="15"/>
  <c r="H154" i="15" s="1"/>
  <c r="S153" i="15"/>
  <c r="R153" i="15"/>
  <c r="Q153" i="15"/>
  <c r="P153" i="15"/>
  <c r="F153" i="15"/>
  <c r="K153" i="15" s="1"/>
  <c r="E153" i="15"/>
  <c r="J153" i="15" s="1"/>
  <c r="D153" i="15"/>
  <c r="I153" i="15" s="1"/>
  <c r="C153" i="15"/>
  <c r="H153" i="15" s="1"/>
  <c r="R152" i="15"/>
  <c r="P152" i="15"/>
  <c r="K152" i="15"/>
  <c r="J152" i="15"/>
  <c r="S152" i="15" s="1"/>
  <c r="F152" i="15"/>
  <c r="E152" i="15"/>
  <c r="D152" i="15"/>
  <c r="I152" i="15" s="1"/>
  <c r="Q152" i="15" s="1"/>
  <c r="C152" i="15"/>
  <c r="H152" i="15" s="1"/>
  <c r="K151" i="15"/>
  <c r="J151" i="15"/>
  <c r="S151" i="15" s="1"/>
  <c r="I151" i="15"/>
  <c r="H151" i="15"/>
  <c r="F151" i="15"/>
  <c r="E151" i="15"/>
  <c r="D151" i="15"/>
  <c r="C151" i="15"/>
  <c r="Q150" i="15"/>
  <c r="H150" i="15"/>
  <c r="F150" i="15"/>
  <c r="K150" i="15" s="1"/>
  <c r="E150" i="15"/>
  <c r="J150" i="15" s="1"/>
  <c r="D150" i="15"/>
  <c r="I150" i="15" s="1"/>
  <c r="C150" i="15"/>
  <c r="K149" i="15"/>
  <c r="J149" i="15"/>
  <c r="S149" i="15" s="1"/>
  <c r="I149" i="15"/>
  <c r="F149" i="15"/>
  <c r="E149" i="15"/>
  <c r="D149" i="15"/>
  <c r="C149" i="15"/>
  <c r="H149" i="15" s="1"/>
  <c r="F148" i="15"/>
  <c r="K148" i="15" s="1"/>
  <c r="E148" i="15"/>
  <c r="J148" i="15" s="1"/>
  <c r="D148" i="15"/>
  <c r="I148" i="15" s="1"/>
  <c r="C148" i="15"/>
  <c r="H148" i="15" s="1"/>
  <c r="F147" i="15"/>
  <c r="K147" i="15" s="1"/>
  <c r="E147" i="15"/>
  <c r="J147" i="15" s="1"/>
  <c r="D147" i="15"/>
  <c r="I147" i="15" s="1"/>
  <c r="C147" i="15"/>
  <c r="H147" i="15" s="1"/>
  <c r="S146" i="15"/>
  <c r="R146" i="15"/>
  <c r="Q146" i="15"/>
  <c r="F146" i="15"/>
  <c r="K146" i="15" s="1"/>
  <c r="E146" i="15"/>
  <c r="J146" i="15" s="1"/>
  <c r="P146" i="15" s="1"/>
  <c r="D146" i="15"/>
  <c r="I146" i="15" s="1"/>
  <c r="C146" i="15"/>
  <c r="H146" i="15" s="1"/>
  <c r="K145" i="15"/>
  <c r="F145" i="15"/>
  <c r="E145" i="15"/>
  <c r="J145" i="15" s="1"/>
  <c r="D145" i="15"/>
  <c r="I145" i="15" s="1"/>
  <c r="C145" i="15"/>
  <c r="H145" i="15" s="1"/>
  <c r="S144" i="15"/>
  <c r="K144" i="15"/>
  <c r="J144" i="15"/>
  <c r="R144" i="15" s="1"/>
  <c r="I144" i="15"/>
  <c r="H144" i="15"/>
  <c r="P144" i="15" s="1"/>
  <c r="F144" i="15"/>
  <c r="E144" i="15"/>
  <c r="D144" i="15"/>
  <c r="C144" i="15"/>
  <c r="K143" i="15"/>
  <c r="J143" i="15"/>
  <c r="H143" i="15"/>
  <c r="F143" i="15"/>
  <c r="E143" i="15"/>
  <c r="D143" i="15"/>
  <c r="I143" i="15" s="1"/>
  <c r="C143" i="15"/>
  <c r="K142" i="15"/>
  <c r="J142" i="15"/>
  <c r="H142" i="15"/>
  <c r="F142" i="15"/>
  <c r="E142" i="15"/>
  <c r="D142" i="15"/>
  <c r="I142" i="15" s="1"/>
  <c r="C142" i="15"/>
  <c r="H141" i="15"/>
  <c r="F141" i="15"/>
  <c r="K141" i="15" s="1"/>
  <c r="E141" i="15"/>
  <c r="J141" i="15" s="1"/>
  <c r="D141" i="15"/>
  <c r="I141" i="15" s="1"/>
  <c r="C141" i="15"/>
  <c r="J140" i="15"/>
  <c r="I140" i="15"/>
  <c r="F140" i="15"/>
  <c r="K140" i="15" s="1"/>
  <c r="E140" i="15"/>
  <c r="D140" i="15"/>
  <c r="C140" i="15"/>
  <c r="H140" i="15" s="1"/>
  <c r="Q139" i="15"/>
  <c r="P139" i="15"/>
  <c r="F139" i="15"/>
  <c r="K139" i="15" s="1"/>
  <c r="E139" i="15"/>
  <c r="J139" i="15" s="1"/>
  <c r="D139" i="15"/>
  <c r="I139" i="15" s="1"/>
  <c r="C139" i="15"/>
  <c r="H139" i="15" s="1"/>
  <c r="K138" i="15"/>
  <c r="F138" i="15"/>
  <c r="E138" i="15"/>
  <c r="J138" i="15" s="1"/>
  <c r="D138" i="15"/>
  <c r="I138" i="15" s="1"/>
  <c r="C138" i="15"/>
  <c r="H138" i="15" s="1"/>
  <c r="S137" i="15"/>
  <c r="R137" i="15"/>
  <c r="Q137" i="15"/>
  <c r="P137" i="15"/>
  <c r="K137" i="15"/>
  <c r="J137" i="15"/>
  <c r="I137" i="15"/>
  <c r="H137" i="15"/>
  <c r="F137" i="15"/>
  <c r="E137" i="15"/>
  <c r="D137" i="15"/>
  <c r="C137" i="15"/>
  <c r="K136" i="15"/>
  <c r="J136" i="15"/>
  <c r="I136" i="15"/>
  <c r="H136" i="15"/>
  <c r="F136" i="15"/>
  <c r="E136" i="15"/>
  <c r="D136" i="15"/>
  <c r="C136" i="15"/>
  <c r="K135" i="15"/>
  <c r="J135" i="15"/>
  <c r="S135" i="15" s="1"/>
  <c r="I135" i="15"/>
  <c r="H135" i="15"/>
  <c r="F135" i="15"/>
  <c r="E135" i="15"/>
  <c r="D135" i="15"/>
  <c r="C135" i="15"/>
  <c r="F134" i="15"/>
  <c r="K134" i="15" s="1"/>
  <c r="E134" i="15"/>
  <c r="J134" i="15" s="1"/>
  <c r="D134" i="15"/>
  <c r="I134" i="15" s="1"/>
  <c r="C134" i="15"/>
  <c r="H134" i="15" s="1"/>
  <c r="J133" i="15"/>
  <c r="I133" i="15"/>
  <c r="H133" i="15"/>
  <c r="F133" i="15"/>
  <c r="K133" i="15" s="1"/>
  <c r="E133" i="15"/>
  <c r="D133" i="15"/>
  <c r="C133" i="15"/>
  <c r="F132" i="15"/>
  <c r="K132" i="15" s="1"/>
  <c r="E132" i="15"/>
  <c r="J132" i="15" s="1"/>
  <c r="S132" i="15" s="1"/>
  <c r="D132" i="15"/>
  <c r="I132" i="15" s="1"/>
  <c r="C132" i="15"/>
  <c r="H132" i="15" s="1"/>
  <c r="S131" i="15"/>
  <c r="R131" i="15"/>
  <c r="Q131" i="15"/>
  <c r="K131" i="15"/>
  <c r="F131" i="15"/>
  <c r="E131" i="15"/>
  <c r="J131" i="15" s="1"/>
  <c r="P131" i="15" s="1"/>
  <c r="D131" i="15"/>
  <c r="I131" i="15" s="1"/>
  <c r="C131" i="15"/>
  <c r="H131" i="15" s="1"/>
  <c r="S130" i="15"/>
  <c r="R130" i="15"/>
  <c r="Q130" i="15"/>
  <c r="P130" i="15"/>
  <c r="K130" i="15"/>
  <c r="J130" i="15"/>
  <c r="I130" i="15"/>
  <c r="H130" i="15"/>
  <c r="F130" i="15"/>
  <c r="E130" i="15"/>
  <c r="D130" i="15"/>
  <c r="C130" i="15"/>
  <c r="I129" i="15"/>
  <c r="H129" i="15"/>
  <c r="F129" i="15"/>
  <c r="K129" i="15" s="1"/>
  <c r="E129" i="15"/>
  <c r="J129" i="15" s="1"/>
  <c r="D129" i="15"/>
  <c r="C129" i="15"/>
  <c r="I128" i="15"/>
  <c r="F128" i="15"/>
  <c r="K128" i="15" s="1"/>
  <c r="E128" i="15"/>
  <c r="J128" i="15" s="1"/>
  <c r="D128" i="15"/>
  <c r="C128" i="15"/>
  <c r="H128" i="15" s="1"/>
  <c r="F127" i="15"/>
  <c r="K127" i="15" s="1"/>
  <c r="E127" i="15"/>
  <c r="J127" i="15" s="1"/>
  <c r="D127" i="15"/>
  <c r="I127" i="15" s="1"/>
  <c r="C127" i="15"/>
  <c r="H127" i="15" s="1"/>
  <c r="J126" i="15"/>
  <c r="P126" i="15" s="1"/>
  <c r="I126" i="15"/>
  <c r="H126" i="15"/>
  <c r="F126" i="15"/>
  <c r="K126" i="15" s="1"/>
  <c r="E126" i="15"/>
  <c r="D126" i="15"/>
  <c r="C126" i="15"/>
  <c r="F125" i="15"/>
  <c r="K125" i="15" s="1"/>
  <c r="E125" i="15"/>
  <c r="J125" i="15" s="1"/>
  <c r="S125" i="15" s="1"/>
  <c r="D125" i="15"/>
  <c r="I125" i="15" s="1"/>
  <c r="C125" i="15"/>
  <c r="H125" i="15" s="1"/>
  <c r="S124" i="15"/>
  <c r="R124" i="15"/>
  <c r="P124" i="15"/>
  <c r="K124" i="15"/>
  <c r="F124" i="15"/>
  <c r="E124" i="15"/>
  <c r="J124" i="15" s="1"/>
  <c r="D124" i="15"/>
  <c r="I124" i="15" s="1"/>
  <c r="Q124" i="15" s="1"/>
  <c r="C124" i="15"/>
  <c r="H124" i="15" s="1"/>
  <c r="K123" i="15"/>
  <c r="J123" i="15"/>
  <c r="I123" i="15"/>
  <c r="H123" i="15"/>
  <c r="F123" i="15"/>
  <c r="E123" i="15"/>
  <c r="D123" i="15"/>
  <c r="C123" i="15"/>
  <c r="H122" i="15"/>
  <c r="F122" i="15"/>
  <c r="K122" i="15" s="1"/>
  <c r="E122" i="15"/>
  <c r="J122" i="15" s="1"/>
  <c r="D122" i="15"/>
  <c r="I122" i="15" s="1"/>
  <c r="C122" i="15"/>
  <c r="J121" i="15"/>
  <c r="I121" i="15"/>
  <c r="H121" i="15"/>
  <c r="F121" i="15"/>
  <c r="K121" i="15" s="1"/>
  <c r="E121" i="15"/>
  <c r="D121" i="15"/>
  <c r="C121" i="15"/>
  <c r="I120" i="15"/>
  <c r="H120" i="15"/>
  <c r="F120" i="15"/>
  <c r="K120" i="15" s="1"/>
  <c r="E120" i="15"/>
  <c r="J120" i="15" s="1"/>
  <c r="D120" i="15"/>
  <c r="C120" i="15"/>
  <c r="H119" i="15"/>
  <c r="F119" i="15"/>
  <c r="K119" i="15" s="1"/>
  <c r="E119" i="15"/>
  <c r="J119" i="15" s="1"/>
  <c r="D119" i="15"/>
  <c r="I119" i="15" s="1"/>
  <c r="C119" i="15"/>
  <c r="F118" i="15"/>
  <c r="K118" i="15" s="1"/>
  <c r="E118" i="15"/>
  <c r="J118" i="15" s="1"/>
  <c r="D118" i="15"/>
  <c r="I118" i="15" s="1"/>
  <c r="C118" i="15"/>
  <c r="H118" i="15" s="1"/>
  <c r="K117" i="15"/>
  <c r="J117" i="15"/>
  <c r="I117" i="15"/>
  <c r="F117" i="15"/>
  <c r="E117" i="15"/>
  <c r="D117" i="15"/>
  <c r="C117" i="15"/>
  <c r="H117" i="15" s="1"/>
  <c r="K116" i="15"/>
  <c r="J116" i="15"/>
  <c r="I116" i="15"/>
  <c r="H116" i="15"/>
  <c r="F116" i="15"/>
  <c r="E116" i="15"/>
  <c r="D116" i="15"/>
  <c r="C116" i="15"/>
  <c r="K115" i="15"/>
  <c r="J115" i="15"/>
  <c r="I115" i="15"/>
  <c r="H115" i="15"/>
  <c r="F115" i="15"/>
  <c r="E115" i="15"/>
  <c r="D115" i="15"/>
  <c r="C115" i="15"/>
  <c r="F114" i="15"/>
  <c r="K114" i="15" s="1"/>
  <c r="E114" i="15"/>
  <c r="J114" i="15" s="1"/>
  <c r="D114" i="15"/>
  <c r="I114" i="15" s="1"/>
  <c r="C114" i="15"/>
  <c r="H114" i="15" s="1"/>
  <c r="I113" i="15"/>
  <c r="H113" i="15"/>
  <c r="F113" i="15"/>
  <c r="K113" i="15" s="1"/>
  <c r="E113" i="15"/>
  <c r="J113" i="15" s="1"/>
  <c r="D113" i="15"/>
  <c r="C113" i="15"/>
  <c r="F112" i="15"/>
  <c r="K112" i="15" s="1"/>
  <c r="E112" i="15"/>
  <c r="J112" i="15" s="1"/>
  <c r="D112" i="15"/>
  <c r="I112" i="15" s="1"/>
  <c r="C112" i="15"/>
  <c r="H112" i="15" s="1"/>
  <c r="S111" i="15"/>
  <c r="R111" i="15"/>
  <c r="F111" i="15"/>
  <c r="K111" i="15" s="1"/>
  <c r="E111" i="15"/>
  <c r="J111" i="15" s="1"/>
  <c r="Q111" i="15" s="1"/>
  <c r="D111" i="15"/>
  <c r="I111" i="15" s="1"/>
  <c r="C111" i="15"/>
  <c r="H111" i="15" s="1"/>
  <c r="K110" i="15"/>
  <c r="J110" i="15"/>
  <c r="S110" i="15" s="1"/>
  <c r="I110" i="15"/>
  <c r="F110" i="15"/>
  <c r="E110" i="15"/>
  <c r="D110" i="15"/>
  <c r="C110" i="15"/>
  <c r="H110" i="15" s="1"/>
  <c r="K109" i="15"/>
  <c r="J109" i="15"/>
  <c r="S109" i="15" s="1"/>
  <c r="I109" i="15"/>
  <c r="H109" i="15"/>
  <c r="F109" i="15"/>
  <c r="E109" i="15"/>
  <c r="D109" i="15"/>
  <c r="C109" i="15"/>
  <c r="H108" i="15"/>
  <c r="F108" i="15"/>
  <c r="K108" i="15" s="1"/>
  <c r="E108" i="15"/>
  <c r="J108" i="15" s="1"/>
  <c r="D108" i="15"/>
  <c r="I108" i="15" s="1"/>
  <c r="C108" i="15"/>
  <c r="F107" i="15"/>
  <c r="K107" i="15" s="1"/>
  <c r="E107" i="15"/>
  <c r="J107" i="15" s="1"/>
  <c r="S107" i="15" s="1"/>
  <c r="D107" i="15"/>
  <c r="I107" i="15" s="1"/>
  <c r="C107" i="15"/>
  <c r="H107" i="15" s="1"/>
  <c r="I106" i="15"/>
  <c r="H106" i="15"/>
  <c r="F106" i="15"/>
  <c r="K106" i="15" s="1"/>
  <c r="E106" i="15"/>
  <c r="J106" i="15" s="1"/>
  <c r="D106" i="15"/>
  <c r="C106" i="15"/>
  <c r="F105" i="15"/>
  <c r="K105" i="15" s="1"/>
  <c r="E105" i="15"/>
  <c r="J105" i="15" s="1"/>
  <c r="D105" i="15"/>
  <c r="I105" i="15" s="1"/>
  <c r="C105" i="15"/>
  <c r="H105" i="15" s="1"/>
  <c r="S104" i="15"/>
  <c r="F104" i="15"/>
  <c r="K104" i="15" s="1"/>
  <c r="E104" i="15"/>
  <c r="J104" i="15" s="1"/>
  <c r="R104" i="15" s="1"/>
  <c r="D104" i="15"/>
  <c r="I104" i="15" s="1"/>
  <c r="C104" i="15"/>
  <c r="H104" i="15" s="1"/>
  <c r="P104" i="15" s="1"/>
  <c r="J103" i="15"/>
  <c r="I103" i="15"/>
  <c r="F103" i="15"/>
  <c r="K103" i="15" s="1"/>
  <c r="E103" i="15"/>
  <c r="D103" i="15"/>
  <c r="C103" i="15"/>
  <c r="H103" i="15" s="1"/>
  <c r="K102" i="15"/>
  <c r="J102" i="15"/>
  <c r="I102" i="15"/>
  <c r="H102" i="15"/>
  <c r="F102" i="15"/>
  <c r="E102" i="15"/>
  <c r="D102" i="15"/>
  <c r="C102" i="15"/>
  <c r="H101" i="15"/>
  <c r="F101" i="15"/>
  <c r="K101" i="15" s="1"/>
  <c r="E101" i="15"/>
  <c r="J101" i="15" s="1"/>
  <c r="D101" i="15"/>
  <c r="I101" i="15" s="1"/>
  <c r="C101" i="15"/>
  <c r="S100" i="15"/>
  <c r="R100" i="15"/>
  <c r="F100" i="15"/>
  <c r="K100" i="15" s="1"/>
  <c r="E100" i="15"/>
  <c r="J100" i="15" s="1"/>
  <c r="D100" i="15"/>
  <c r="I100" i="15" s="1"/>
  <c r="C100" i="15"/>
  <c r="H100" i="15" s="1"/>
  <c r="I99" i="15"/>
  <c r="H99" i="15"/>
  <c r="F99" i="15"/>
  <c r="K99" i="15" s="1"/>
  <c r="E99" i="15"/>
  <c r="J99" i="15" s="1"/>
  <c r="D99" i="15"/>
  <c r="C99" i="15"/>
  <c r="F98" i="15"/>
  <c r="K98" i="15" s="1"/>
  <c r="E98" i="15"/>
  <c r="J98" i="15" s="1"/>
  <c r="D98" i="15"/>
  <c r="I98" i="15" s="1"/>
  <c r="C98" i="15"/>
  <c r="H98" i="15" s="1"/>
  <c r="S97" i="15"/>
  <c r="R97" i="15"/>
  <c r="K97" i="15"/>
  <c r="F97" i="15"/>
  <c r="E97" i="15"/>
  <c r="J97" i="15" s="1"/>
  <c r="Q97" i="15" s="1"/>
  <c r="D97" i="15"/>
  <c r="I97" i="15" s="1"/>
  <c r="C97" i="15"/>
  <c r="H97" i="15" s="1"/>
  <c r="K96" i="15"/>
  <c r="F96" i="15"/>
  <c r="E96" i="15"/>
  <c r="J96" i="15" s="1"/>
  <c r="D96" i="15"/>
  <c r="I96" i="15" s="1"/>
  <c r="C96" i="15"/>
  <c r="H96" i="15" s="1"/>
  <c r="S95" i="15"/>
  <c r="R95" i="15"/>
  <c r="Q95" i="15"/>
  <c r="K95" i="15"/>
  <c r="J95" i="15"/>
  <c r="P95" i="15" s="1"/>
  <c r="I95" i="15"/>
  <c r="H95" i="15"/>
  <c r="F95" i="15"/>
  <c r="E95" i="15"/>
  <c r="D95" i="15"/>
  <c r="C95" i="15"/>
  <c r="H94" i="15"/>
  <c r="F94" i="15"/>
  <c r="K94" i="15" s="1"/>
  <c r="E94" i="15"/>
  <c r="J94" i="15" s="1"/>
  <c r="D94" i="15"/>
  <c r="I94" i="15" s="1"/>
  <c r="C94" i="15"/>
  <c r="S93" i="15"/>
  <c r="F93" i="15"/>
  <c r="K93" i="15" s="1"/>
  <c r="E93" i="15"/>
  <c r="J93" i="15" s="1"/>
  <c r="D93" i="15"/>
  <c r="I93" i="15" s="1"/>
  <c r="C93" i="15"/>
  <c r="H93" i="15" s="1"/>
  <c r="P93" i="15" s="1"/>
  <c r="I92" i="15"/>
  <c r="H92" i="15"/>
  <c r="F92" i="15"/>
  <c r="K92" i="15" s="1"/>
  <c r="E92" i="15"/>
  <c r="J92" i="15" s="1"/>
  <c r="D92" i="15"/>
  <c r="C92" i="15"/>
  <c r="F91" i="15"/>
  <c r="K91" i="15" s="1"/>
  <c r="E91" i="15"/>
  <c r="J91" i="15" s="1"/>
  <c r="D91" i="15"/>
  <c r="I91" i="15" s="1"/>
  <c r="C91" i="15"/>
  <c r="H91" i="15" s="1"/>
  <c r="K90" i="15"/>
  <c r="F90" i="15"/>
  <c r="E90" i="15"/>
  <c r="J90" i="15" s="1"/>
  <c r="D90" i="15"/>
  <c r="I90" i="15" s="1"/>
  <c r="C90" i="15"/>
  <c r="H90" i="15" s="1"/>
  <c r="S89" i="15"/>
  <c r="R89" i="15"/>
  <c r="Q89" i="15"/>
  <c r="P89" i="15"/>
  <c r="K89" i="15"/>
  <c r="J89" i="15"/>
  <c r="F89" i="15"/>
  <c r="E89" i="15"/>
  <c r="D89" i="15"/>
  <c r="I89" i="15" s="1"/>
  <c r="C89" i="15"/>
  <c r="H89" i="15" s="1"/>
  <c r="K88" i="15"/>
  <c r="J88" i="15"/>
  <c r="I88" i="15"/>
  <c r="H88" i="15"/>
  <c r="F88" i="15"/>
  <c r="E88" i="15"/>
  <c r="D88" i="15"/>
  <c r="C88" i="15"/>
  <c r="H87" i="15"/>
  <c r="F87" i="15"/>
  <c r="K87" i="15" s="1"/>
  <c r="E87" i="15"/>
  <c r="J87" i="15" s="1"/>
  <c r="D87" i="15"/>
  <c r="I87" i="15" s="1"/>
  <c r="C87" i="15"/>
  <c r="S86" i="15"/>
  <c r="F86" i="15"/>
  <c r="K86" i="15" s="1"/>
  <c r="E86" i="15"/>
  <c r="J86" i="15" s="1"/>
  <c r="D86" i="15"/>
  <c r="I86" i="15" s="1"/>
  <c r="C86" i="15"/>
  <c r="H86" i="15" s="1"/>
  <c r="H85" i="15"/>
  <c r="F85" i="15"/>
  <c r="K85" i="15" s="1"/>
  <c r="E85" i="15"/>
  <c r="J85" i="15" s="1"/>
  <c r="D85" i="15"/>
  <c r="I85" i="15" s="1"/>
  <c r="C85" i="15"/>
  <c r="K84" i="15"/>
  <c r="J84" i="15"/>
  <c r="F84" i="15"/>
  <c r="E84" i="15"/>
  <c r="D84" i="15"/>
  <c r="I84" i="15" s="1"/>
  <c r="C84" i="15"/>
  <c r="H84" i="15" s="1"/>
  <c r="K83" i="15"/>
  <c r="F83" i="15"/>
  <c r="E83" i="15"/>
  <c r="J83" i="15" s="1"/>
  <c r="S83" i="15" s="1"/>
  <c r="D83" i="15"/>
  <c r="I83" i="15" s="1"/>
  <c r="C83" i="15"/>
  <c r="H83" i="15" s="1"/>
  <c r="S82" i="15"/>
  <c r="R82" i="15"/>
  <c r="Q82" i="15"/>
  <c r="P82" i="15"/>
  <c r="I82" i="15"/>
  <c r="F82" i="15"/>
  <c r="K82" i="15" s="1"/>
  <c r="E82" i="15"/>
  <c r="J82" i="15" s="1"/>
  <c r="D82" i="15"/>
  <c r="C82" i="15"/>
  <c r="H82" i="15" s="1"/>
  <c r="K81" i="15"/>
  <c r="J81" i="15"/>
  <c r="I81" i="15"/>
  <c r="H81" i="15"/>
  <c r="F81" i="15"/>
  <c r="E81" i="15"/>
  <c r="D81" i="15"/>
  <c r="C81" i="15"/>
  <c r="H80" i="15"/>
  <c r="F80" i="15"/>
  <c r="K80" i="15" s="1"/>
  <c r="E80" i="15"/>
  <c r="J80" i="15" s="1"/>
  <c r="D80" i="15"/>
  <c r="I80" i="15" s="1"/>
  <c r="C80" i="15"/>
  <c r="K79" i="15"/>
  <c r="J79" i="15"/>
  <c r="I79" i="15"/>
  <c r="H79" i="15"/>
  <c r="F79" i="15"/>
  <c r="E79" i="15"/>
  <c r="D79" i="15"/>
  <c r="C79" i="15"/>
  <c r="I78" i="15"/>
  <c r="H78" i="15"/>
  <c r="F78" i="15"/>
  <c r="K78" i="15" s="1"/>
  <c r="E78" i="15"/>
  <c r="J78" i="15" s="1"/>
  <c r="D78" i="15"/>
  <c r="C78" i="15"/>
  <c r="K77" i="15"/>
  <c r="J77" i="15"/>
  <c r="I77" i="15"/>
  <c r="H77" i="15"/>
  <c r="F77" i="15"/>
  <c r="E77" i="15"/>
  <c r="D77" i="15"/>
  <c r="C77" i="15"/>
  <c r="K76" i="15"/>
  <c r="F76" i="15"/>
  <c r="E76" i="15"/>
  <c r="J76" i="15" s="1"/>
  <c r="D76" i="15"/>
  <c r="I76" i="15" s="1"/>
  <c r="C76" i="15"/>
  <c r="H76" i="15" s="1"/>
  <c r="S75" i="15"/>
  <c r="R75" i="15"/>
  <c r="Q75" i="15"/>
  <c r="F75" i="15"/>
  <c r="K75" i="15" s="1"/>
  <c r="E75" i="15"/>
  <c r="J75" i="15" s="1"/>
  <c r="P75" i="15" s="1"/>
  <c r="D75" i="15"/>
  <c r="I75" i="15" s="1"/>
  <c r="C75" i="15"/>
  <c r="H75" i="15" s="1"/>
  <c r="K74" i="15"/>
  <c r="J74" i="15"/>
  <c r="I74" i="15"/>
  <c r="H74" i="15"/>
  <c r="F74" i="15"/>
  <c r="E74" i="15"/>
  <c r="D74" i="15"/>
  <c r="C74" i="15"/>
  <c r="H73" i="15"/>
  <c r="F73" i="15"/>
  <c r="K73" i="15" s="1"/>
  <c r="E73" i="15"/>
  <c r="J73" i="15" s="1"/>
  <c r="D73" i="15"/>
  <c r="I73" i="15" s="1"/>
  <c r="C73" i="15"/>
  <c r="I72" i="15"/>
  <c r="F72" i="15"/>
  <c r="K72" i="15" s="1"/>
  <c r="E72" i="15"/>
  <c r="J72" i="15" s="1"/>
  <c r="D72" i="15"/>
  <c r="C72" i="15"/>
  <c r="H72" i="15" s="1"/>
  <c r="F71" i="15"/>
  <c r="K71" i="15" s="1"/>
  <c r="E71" i="15"/>
  <c r="J71" i="15" s="1"/>
  <c r="D71" i="15"/>
  <c r="I71" i="15" s="1"/>
  <c r="C71" i="15"/>
  <c r="H71" i="15" s="1"/>
  <c r="S70" i="15"/>
  <c r="R70" i="15"/>
  <c r="Q70" i="15"/>
  <c r="I70" i="15"/>
  <c r="H70" i="15"/>
  <c r="F70" i="15"/>
  <c r="K70" i="15" s="1"/>
  <c r="E70" i="15"/>
  <c r="J70" i="15" s="1"/>
  <c r="P70" i="15" s="1"/>
  <c r="D70" i="15"/>
  <c r="C70" i="15"/>
  <c r="K69" i="15"/>
  <c r="F69" i="15"/>
  <c r="E69" i="15"/>
  <c r="J69" i="15" s="1"/>
  <c r="D69" i="15"/>
  <c r="I69" i="15" s="1"/>
  <c r="C69" i="15"/>
  <c r="H69" i="15" s="1"/>
  <c r="S68" i="15"/>
  <c r="R68" i="15"/>
  <c r="K68" i="15"/>
  <c r="F68" i="15"/>
  <c r="E68" i="15"/>
  <c r="J68" i="15" s="1"/>
  <c r="D68" i="15"/>
  <c r="I68" i="15" s="1"/>
  <c r="C68" i="15"/>
  <c r="H68" i="15" s="1"/>
  <c r="K67" i="15"/>
  <c r="J67" i="15"/>
  <c r="I67" i="15"/>
  <c r="H67" i="15"/>
  <c r="F67" i="15"/>
  <c r="E67" i="15"/>
  <c r="D67" i="15"/>
  <c r="C67" i="15"/>
  <c r="J66" i="15"/>
  <c r="I66" i="15"/>
  <c r="H66" i="15"/>
  <c r="F66" i="15"/>
  <c r="K66" i="15" s="1"/>
  <c r="E66" i="15"/>
  <c r="D66" i="15"/>
  <c r="C66" i="15"/>
  <c r="K65" i="15"/>
  <c r="F65" i="15"/>
  <c r="E65" i="15"/>
  <c r="J65" i="15" s="1"/>
  <c r="D65" i="15"/>
  <c r="I65" i="15" s="1"/>
  <c r="C65" i="15"/>
  <c r="H65" i="15" s="1"/>
  <c r="F64" i="15"/>
  <c r="K64" i="15" s="1"/>
  <c r="E64" i="15"/>
  <c r="J64" i="15" s="1"/>
  <c r="D64" i="15"/>
  <c r="I64" i="15" s="1"/>
  <c r="C64" i="15"/>
  <c r="H64" i="15" s="1"/>
  <c r="R63" i="15"/>
  <c r="K63" i="15"/>
  <c r="J63" i="15"/>
  <c r="H63" i="15"/>
  <c r="F63" i="15"/>
  <c r="E63" i="15"/>
  <c r="D63" i="15"/>
  <c r="I63" i="15" s="1"/>
  <c r="C63" i="15"/>
  <c r="R62" i="15"/>
  <c r="Q62" i="15"/>
  <c r="P62" i="15"/>
  <c r="K62" i="15"/>
  <c r="F62" i="15"/>
  <c r="E62" i="15"/>
  <c r="J62" i="15" s="1"/>
  <c r="S62" i="15" s="1"/>
  <c r="D62" i="15"/>
  <c r="I62" i="15" s="1"/>
  <c r="C62" i="15"/>
  <c r="H62" i="15" s="1"/>
  <c r="F61" i="15"/>
  <c r="K61" i="15" s="1"/>
  <c r="E61" i="15"/>
  <c r="J61" i="15" s="1"/>
  <c r="D61" i="15"/>
  <c r="I61" i="15" s="1"/>
  <c r="C61" i="15"/>
  <c r="H61" i="15" s="1"/>
  <c r="S60" i="15"/>
  <c r="R60" i="15"/>
  <c r="Q60" i="15"/>
  <c r="P60" i="15"/>
  <c r="K60" i="15"/>
  <c r="J60" i="15"/>
  <c r="I60" i="15"/>
  <c r="H60" i="15"/>
  <c r="F60" i="15"/>
  <c r="E60" i="15"/>
  <c r="D60" i="15"/>
  <c r="C60" i="15"/>
  <c r="J59" i="15"/>
  <c r="I59" i="15"/>
  <c r="H59" i="15"/>
  <c r="F59" i="15"/>
  <c r="K59" i="15" s="1"/>
  <c r="E59" i="15"/>
  <c r="D59" i="15"/>
  <c r="C59" i="15"/>
  <c r="I58" i="15"/>
  <c r="H58" i="15"/>
  <c r="F58" i="15"/>
  <c r="K58" i="15" s="1"/>
  <c r="E58" i="15"/>
  <c r="J58" i="15" s="1"/>
  <c r="D58" i="15"/>
  <c r="C58" i="15"/>
  <c r="I57" i="15"/>
  <c r="F57" i="15"/>
  <c r="K57" i="15" s="1"/>
  <c r="E57" i="15"/>
  <c r="J57" i="15" s="1"/>
  <c r="D57" i="15"/>
  <c r="C57" i="15"/>
  <c r="H57" i="15" s="1"/>
  <c r="K56" i="15"/>
  <c r="J56" i="15"/>
  <c r="I56" i="15"/>
  <c r="H56" i="15"/>
  <c r="F56" i="15"/>
  <c r="E56" i="15"/>
  <c r="D56" i="15"/>
  <c r="C56" i="15"/>
  <c r="P55" i="15"/>
  <c r="K55" i="15"/>
  <c r="F55" i="15"/>
  <c r="E55" i="15"/>
  <c r="J55" i="15" s="1"/>
  <c r="D55" i="15"/>
  <c r="I55" i="15" s="1"/>
  <c r="C55" i="15"/>
  <c r="H55" i="15" s="1"/>
  <c r="F54" i="15"/>
  <c r="K54" i="15" s="1"/>
  <c r="E54" i="15"/>
  <c r="J54" i="15" s="1"/>
  <c r="D54" i="15"/>
  <c r="I54" i="15" s="1"/>
  <c r="C54" i="15"/>
  <c r="H54" i="15" s="1"/>
  <c r="S53" i="15"/>
  <c r="R53" i="15"/>
  <c r="Q53" i="15"/>
  <c r="P53" i="15"/>
  <c r="K53" i="15"/>
  <c r="J53" i="15"/>
  <c r="I53" i="15"/>
  <c r="H53" i="15"/>
  <c r="F53" i="15"/>
  <c r="E53" i="15"/>
  <c r="D53" i="15"/>
  <c r="C53" i="15"/>
  <c r="Q52" i="15"/>
  <c r="P52" i="15"/>
  <c r="K52" i="15"/>
  <c r="J52" i="15"/>
  <c r="I52" i="15"/>
  <c r="H52" i="15"/>
  <c r="F52" i="15"/>
  <c r="E52" i="15"/>
  <c r="D52" i="15"/>
  <c r="C52" i="15"/>
  <c r="K51" i="15"/>
  <c r="J51" i="15"/>
  <c r="I51" i="15"/>
  <c r="H51" i="15"/>
  <c r="F51" i="15"/>
  <c r="E51" i="15"/>
  <c r="D51" i="15"/>
  <c r="C51" i="15"/>
  <c r="F50" i="15"/>
  <c r="K50" i="15" s="1"/>
  <c r="E50" i="15"/>
  <c r="J50" i="15" s="1"/>
  <c r="D50" i="15"/>
  <c r="I50" i="15" s="1"/>
  <c r="C50" i="15"/>
  <c r="H50" i="15" s="1"/>
  <c r="J49" i="15"/>
  <c r="Q49" i="15" s="1"/>
  <c r="F49" i="15"/>
  <c r="K49" i="15" s="1"/>
  <c r="E49" i="15"/>
  <c r="D49" i="15"/>
  <c r="I49" i="15" s="1"/>
  <c r="C49" i="15"/>
  <c r="H49" i="15" s="1"/>
  <c r="K48" i="15"/>
  <c r="F48" i="15"/>
  <c r="E48" i="15"/>
  <c r="J48" i="15" s="1"/>
  <c r="S48" i="15" s="1"/>
  <c r="D48" i="15"/>
  <c r="I48" i="15" s="1"/>
  <c r="C48" i="15"/>
  <c r="H48" i="15" s="1"/>
  <c r="F47" i="15"/>
  <c r="K47" i="15" s="1"/>
  <c r="E47" i="15"/>
  <c r="J47" i="15" s="1"/>
  <c r="D47" i="15"/>
  <c r="I47" i="15" s="1"/>
  <c r="C47" i="15"/>
  <c r="H47" i="15" s="1"/>
  <c r="S46" i="15"/>
  <c r="R46" i="15"/>
  <c r="P46" i="15"/>
  <c r="K46" i="15"/>
  <c r="J46" i="15"/>
  <c r="Q46" i="15" s="1"/>
  <c r="I46" i="15"/>
  <c r="H46" i="15"/>
  <c r="F46" i="15"/>
  <c r="E46" i="15"/>
  <c r="D46" i="15"/>
  <c r="C46" i="15"/>
  <c r="R45" i="15"/>
  <c r="Q45" i="15"/>
  <c r="P45" i="15"/>
  <c r="K45" i="15"/>
  <c r="J45" i="15"/>
  <c r="S45" i="15" s="1"/>
  <c r="H45" i="15"/>
  <c r="F45" i="15"/>
  <c r="E45" i="15"/>
  <c r="D45" i="15"/>
  <c r="I45" i="15" s="1"/>
  <c r="C45" i="15"/>
  <c r="K44" i="15"/>
  <c r="J44" i="15"/>
  <c r="I44" i="15"/>
  <c r="F44" i="15"/>
  <c r="E44" i="15"/>
  <c r="D44" i="15"/>
  <c r="C44" i="15"/>
  <c r="H44" i="15" s="1"/>
  <c r="F43" i="15"/>
  <c r="K43" i="15" s="1"/>
  <c r="E43" i="15"/>
  <c r="J43" i="15" s="1"/>
  <c r="D43" i="15"/>
  <c r="I43" i="15" s="1"/>
  <c r="C43" i="15"/>
  <c r="H43" i="15" s="1"/>
  <c r="S42" i="15"/>
  <c r="R42" i="15"/>
  <c r="Q42" i="15"/>
  <c r="K42" i="15"/>
  <c r="F42" i="15"/>
  <c r="E42" i="15"/>
  <c r="J42" i="15" s="1"/>
  <c r="P42" i="15" s="1"/>
  <c r="D42" i="15"/>
  <c r="I42" i="15" s="1"/>
  <c r="C42" i="15"/>
  <c r="H42" i="15" s="1"/>
  <c r="S41" i="15"/>
  <c r="R41" i="15"/>
  <c r="Q41" i="15"/>
  <c r="K41" i="15"/>
  <c r="F41" i="15"/>
  <c r="E41" i="15"/>
  <c r="J41" i="15" s="1"/>
  <c r="D41" i="15"/>
  <c r="I41" i="15" s="1"/>
  <c r="C41" i="15"/>
  <c r="H41" i="15" s="1"/>
  <c r="P41" i="15" s="1"/>
  <c r="F40" i="15"/>
  <c r="K40" i="15" s="1"/>
  <c r="E40" i="15"/>
  <c r="J40" i="15" s="1"/>
  <c r="D40" i="15"/>
  <c r="I40" i="15" s="1"/>
  <c r="C40" i="15"/>
  <c r="H40" i="15" s="1"/>
  <c r="S39" i="15"/>
  <c r="K39" i="15"/>
  <c r="J39" i="15"/>
  <c r="R39" i="15" s="1"/>
  <c r="I39" i="15"/>
  <c r="H39" i="15"/>
  <c r="F39" i="15"/>
  <c r="E39" i="15"/>
  <c r="D39" i="15"/>
  <c r="C39" i="15"/>
  <c r="H38" i="15"/>
  <c r="F38" i="15"/>
  <c r="K38" i="15" s="1"/>
  <c r="E38" i="15"/>
  <c r="J38" i="15" s="1"/>
  <c r="D38" i="15"/>
  <c r="I38" i="15" s="1"/>
  <c r="C38" i="15"/>
  <c r="S37" i="15"/>
  <c r="R37" i="15"/>
  <c r="K37" i="15"/>
  <c r="J37" i="15"/>
  <c r="Q37" i="15" s="1"/>
  <c r="F37" i="15"/>
  <c r="E37" i="15"/>
  <c r="D37" i="15"/>
  <c r="I37" i="15" s="1"/>
  <c r="C37" i="15"/>
  <c r="H37" i="15" s="1"/>
  <c r="P37" i="15" s="1"/>
  <c r="F36" i="15"/>
  <c r="K36" i="15" s="1"/>
  <c r="E36" i="15"/>
  <c r="J36" i="15" s="1"/>
  <c r="D36" i="15"/>
  <c r="I36" i="15" s="1"/>
  <c r="C36" i="15"/>
  <c r="H36" i="15" s="1"/>
  <c r="Q35" i="15"/>
  <c r="I35" i="15"/>
  <c r="F35" i="15"/>
  <c r="K35" i="15" s="1"/>
  <c r="E35" i="15"/>
  <c r="J35" i="15" s="1"/>
  <c r="D35" i="15"/>
  <c r="C35" i="15"/>
  <c r="H35" i="15" s="1"/>
  <c r="S34" i="15"/>
  <c r="R34" i="15"/>
  <c r="Q34" i="15"/>
  <c r="P34" i="15"/>
  <c r="K34" i="15"/>
  <c r="F34" i="15"/>
  <c r="E34" i="15"/>
  <c r="J34" i="15" s="1"/>
  <c r="D34" i="15"/>
  <c r="I34" i="15" s="1"/>
  <c r="C34" i="15"/>
  <c r="H34" i="15" s="1"/>
  <c r="J33" i="15"/>
  <c r="I33" i="15"/>
  <c r="F33" i="15"/>
  <c r="K33" i="15" s="1"/>
  <c r="E33" i="15"/>
  <c r="D33" i="15"/>
  <c r="C33" i="15"/>
  <c r="H33" i="15" s="1"/>
  <c r="Q32" i="15"/>
  <c r="P32" i="15"/>
  <c r="K32" i="15"/>
  <c r="J32" i="15"/>
  <c r="I32" i="15"/>
  <c r="H32" i="15"/>
  <c r="F32" i="15"/>
  <c r="E32" i="15"/>
  <c r="D32" i="15"/>
  <c r="C32" i="15"/>
  <c r="H31" i="15"/>
  <c r="F31" i="15"/>
  <c r="K31" i="15" s="1"/>
  <c r="E31" i="15"/>
  <c r="J31" i="15" s="1"/>
  <c r="D31" i="15"/>
  <c r="I31" i="15" s="1"/>
  <c r="C31" i="15"/>
  <c r="S30" i="15"/>
  <c r="R30" i="15"/>
  <c r="F30" i="15"/>
  <c r="K30" i="15" s="1"/>
  <c r="E30" i="15"/>
  <c r="J30" i="15" s="1"/>
  <c r="D30" i="15"/>
  <c r="I30" i="15" s="1"/>
  <c r="C30" i="15"/>
  <c r="H30" i="15" s="1"/>
  <c r="I29" i="15"/>
  <c r="H29" i="15"/>
  <c r="F29" i="15"/>
  <c r="K29" i="15" s="1"/>
  <c r="E29" i="15"/>
  <c r="J29" i="15" s="1"/>
  <c r="D29" i="15"/>
  <c r="C29" i="15"/>
  <c r="J28" i="15"/>
  <c r="I28" i="15"/>
  <c r="H28" i="15"/>
  <c r="F28" i="15"/>
  <c r="K28" i="15" s="1"/>
  <c r="E28" i="15"/>
  <c r="D28" i="15"/>
  <c r="C28" i="15"/>
  <c r="K27" i="15"/>
  <c r="F27" i="15"/>
  <c r="E27" i="15"/>
  <c r="J27" i="15" s="1"/>
  <c r="Q27" i="15" s="1"/>
  <c r="D27" i="15"/>
  <c r="I27" i="15" s="1"/>
  <c r="C27" i="15"/>
  <c r="H27" i="15" s="1"/>
  <c r="S26" i="15"/>
  <c r="R26" i="15"/>
  <c r="P26" i="15"/>
  <c r="K26" i="15"/>
  <c r="J26" i="15"/>
  <c r="Q26" i="15" s="1"/>
  <c r="F26" i="15"/>
  <c r="E26" i="15"/>
  <c r="D26" i="15"/>
  <c r="I26" i="15" s="1"/>
  <c r="C26" i="15"/>
  <c r="H26" i="15" s="1"/>
  <c r="K25" i="15"/>
  <c r="J25" i="15"/>
  <c r="I25" i="15"/>
  <c r="H25" i="15"/>
  <c r="F25" i="15"/>
  <c r="E25" i="15"/>
  <c r="D25" i="15"/>
  <c r="C25" i="15"/>
  <c r="H24" i="15"/>
  <c r="F24" i="15"/>
  <c r="K24" i="15" s="1"/>
  <c r="E24" i="15"/>
  <c r="J24" i="15" s="1"/>
  <c r="D24" i="15"/>
  <c r="I24" i="15" s="1"/>
  <c r="C24" i="15"/>
  <c r="F23" i="15"/>
  <c r="K23" i="15" s="1"/>
  <c r="E23" i="15"/>
  <c r="J23" i="15" s="1"/>
  <c r="D23" i="15"/>
  <c r="I23" i="15" s="1"/>
  <c r="C23" i="15"/>
  <c r="H23" i="15" s="1"/>
  <c r="J22" i="15"/>
  <c r="F22" i="15"/>
  <c r="K22" i="15" s="1"/>
  <c r="E22" i="15"/>
  <c r="D22" i="15"/>
  <c r="I22" i="15" s="1"/>
  <c r="C22" i="15"/>
  <c r="H22" i="15" s="1"/>
  <c r="Q21" i="15"/>
  <c r="K21" i="15"/>
  <c r="J21" i="15"/>
  <c r="P21" i="15" s="1"/>
  <c r="I21" i="15"/>
  <c r="H21" i="15"/>
  <c r="F21" i="15"/>
  <c r="E21" i="15"/>
  <c r="D21" i="15"/>
  <c r="C21" i="15"/>
  <c r="K20" i="15"/>
  <c r="F20" i="15"/>
  <c r="E20" i="15"/>
  <c r="J20" i="15" s="1"/>
  <c r="D20" i="15"/>
  <c r="I20" i="15" s="1"/>
  <c r="C20" i="15"/>
  <c r="H20" i="15" s="1"/>
  <c r="S19" i="15"/>
  <c r="R19" i="15"/>
  <c r="F19" i="15"/>
  <c r="K19" i="15" s="1"/>
  <c r="E19" i="15"/>
  <c r="J19" i="15" s="1"/>
  <c r="D19" i="15"/>
  <c r="I19" i="15" s="1"/>
  <c r="C19" i="15"/>
  <c r="H19" i="15" s="1"/>
  <c r="K18" i="15"/>
  <c r="J18" i="15"/>
  <c r="I18" i="15"/>
  <c r="H18" i="15"/>
  <c r="F18" i="15"/>
  <c r="E18" i="15"/>
  <c r="D18" i="15"/>
  <c r="C18" i="15"/>
  <c r="K17" i="15"/>
  <c r="J17" i="15"/>
  <c r="H17" i="15"/>
  <c r="F17" i="15"/>
  <c r="E17" i="15"/>
  <c r="D17" i="15"/>
  <c r="I17" i="15" s="1"/>
  <c r="C17" i="15"/>
  <c r="H16" i="15"/>
  <c r="F16" i="15"/>
  <c r="K16" i="15" s="1"/>
  <c r="E16" i="15"/>
  <c r="J16" i="15" s="1"/>
  <c r="R16" i="15" s="1"/>
  <c r="D16" i="15"/>
  <c r="I16" i="15" s="1"/>
  <c r="C16" i="15"/>
  <c r="F15" i="15"/>
  <c r="K15" i="15" s="1"/>
  <c r="E15" i="15"/>
  <c r="J15" i="15" s="1"/>
  <c r="D15" i="15"/>
  <c r="I15" i="15" s="1"/>
  <c r="C15" i="15"/>
  <c r="H15" i="15" s="1"/>
  <c r="S14" i="15"/>
  <c r="R14" i="15"/>
  <c r="K14" i="15"/>
  <c r="J14" i="15"/>
  <c r="P14" i="15" s="1"/>
  <c r="F14" i="15"/>
  <c r="E14" i="15"/>
  <c r="D14" i="15"/>
  <c r="I14" i="15" s="1"/>
  <c r="C14" i="15"/>
  <c r="H14" i="15" s="1"/>
  <c r="S13" i="15"/>
  <c r="R13" i="15"/>
  <c r="Q13" i="15"/>
  <c r="P13" i="15"/>
  <c r="K13" i="15"/>
  <c r="F13" i="15"/>
  <c r="E13" i="15"/>
  <c r="J13" i="15" s="1"/>
  <c r="D13" i="15"/>
  <c r="I13" i="15" s="1"/>
  <c r="C13" i="15"/>
  <c r="H13" i="15" s="1"/>
  <c r="F12" i="15"/>
  <c r="K12" i="15" s="1"/>
  <c r="E12" i="15"/>
  <c r="J12" i="15" s="1"/>
  <c r="D12" i="15"/>
  <c r="I12" i="15" s="1"/>
  <c r="C12" i="15"/>
  <c r="H12" i="15" s="1"/>
  <c r="R11" i="15"/>
  <c r="K11" i="15"/>
  <c r="S11" i="15" s="1"/>
  <c r="J11" i="15"/>
  <c r="Q11" i="15" s="1"/>
  <c r="I11" i="15"/>
  <c r="H11" i="15"/>
  <c r="P11" i="15" s="1"/>
  <c r="F11" i="15"/>
  <c r="E11" i="15"/>
  <c r="D11" i="15"/>
  <c r="C11" i="15"/>
  <c r="K10" i="15"/>
  <c r="J10" i="15"/>
  <c r="S10" i="15" s="1"/>
  <c r="H10" i="15"/>
  <c r="F10" i="15"/>
  <c r="E10" i="15"/>
  <c r="D10" i="15"/>
  <c r="I10" i="15" s="1"/>
  <c r="C10" i="15"/>
  <c r="K9" i="15"/>
  <c r="I9" i="15"/>
  <c r="F9" i="15"/>
  <c r="E9" i="15"/>
  <c r="J9" i="15" s="1"/>
  <c r="D9" i="15"/>
  <c r="C9" i="15"/>
  <c r="H9" i="15" s="1"/>
  <c r="J8" i="15"/>
  <c r="I8" i="15"/>
  <c r="H8" i="15"/>
  <c r="F8" i="15"/>
  <c r="K8" i="15" s="1"/>
  <c r="E8" i="15"/>
  <c r="D8" i="15"/>
  <c r="C8" i="15"/>
  <c r="F7" i="15"/>
  <c r="K7" i="15" s="1"/>
  <c r="E7" i="15"/>
  <c r="J7" i="15" s="1"/>
  <c r="S7" i="15" s="1"/>
  <c r="D7" i="15"/>
  <c r="I7" i="15" s="1"/>
  <c r="C7" i="15"/>
  <c r="H7" i="15" s="1"/>
  <c r="S6" i="15"/>
  <c r="R6" i="15"/>
  <c r="Q6" i="15"/>
  <c r="P6" i="15"/>
  <c r="K6" i="15"/>
  <c r="F6" i="15"/>
  <c r="E6" i="15"/>
  <c r="J6" i="15" s="1"/>
  <c r="D6" i="15"/>
  <c r="I6" i="15" s="1"/>
  <c r="C6" i="15"/>
  <c r="H6" i="15" s="1"/>
  <c r="K5" i="15"/>
  <c r="J5" i="15"/>
  <c r="F5" i="15"/>
  <c r="E5" i="15"/>
  <c r="D5" i="15"/>
  <c r="I5" i="15" s="1"/>
  <c r="C5" i="15"/>
  <c r="H5" i="15" s="1"/>
  <c r="K4" i="15"/>
  <c r="J4" i="15"/>
  <c r="S4" i="15" s="1"/>
  <c r="I4" i="15"/>
  <c r="H4" i="15"/>
  <c r="F4" i="15"/>
  <c r="E4" i="15"/>
  <c r="D4" i="15"/>
  <c r="C4" i="15"/>
  <c r="R3" i="15"/>
  <c r="K3" i="15"/>
  <c r="H3" i="15"/>
  <c r="F3" i="15"/>
  <c r="E3" i="15"/>
  <c r="J3" i="15" s="1"/>
  <c r="D3" i="15"/>
  <c r="I3" i="15" s="1"/>
  <c r="C3" i="15"/>
  <c r="A53" i="12"/>
  <c r="A48" i="12"/>
  <c r="A49" i="12"/>
  <c r="A50" i="12"/>
  <c r="A51" i="12"/>
  <c r="A52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" i="12"/>
  <c r="B12" i="12" l="1"/>
  <c r="B40" i="12"/>
  <c r="B36" i="12"/>
  <c r="B33" i="12"/>
  <c r="B34" i="12"/>
  <c r="B32" i="12"/>
  <c r="E29" i="12"/>
  <c r="E28" i="12"/>
  <c r="B30" i="12"/>
  <c r="E26" i="12"/>
  <c r="E53" i="12"/>
  <c r="E25" i="12"/>
  <c r="E52" i="12"/>
  <c r="B27" i="12"/>
  <c r="E23" i="12"/>
  <c r="B26" i="12"/>
  <c r="B53" i="12"/>
  <c r="B25" i="12"/>
  <c r="E21" i="12"/>
  <c r="E48" i="12"/>
  <c r="B51" i="12"/>
  <c r="E47" i="12"/>
  <c r="B50" i="12"/>
  <c r="B22" i="12"/>
  <c r="E46" i="12"/>
  <c r="E18" i="12"/>
  <c r="B49" i="12"/>
  <c r="B21" i="12"/>
  <c r="E45" i="12"/>
  <c r="B46" i="12"/>
  <c r="E42" i="12"/>
  <c r="B17" i="12"/>
  <c r="E13" i="12"/>
  <c r="B16" i="12"/>
  <c r="B43" i="12"/>
  <c r="B15" i="12"/>
  <c r="E39" i="12"/>
  <c r="B42" i="12"/>
  <c r="B14" i="12"/>
  <c r="E38" i="12"/>
  <c r="E10" i="12"/>
  <c r="E27" i="12"/>
  <c r="E3" i="12"/>
  <c r="B29" i="12"/>
  <c r="B28" i="12"/>
  <c r="E24" i="12"/>
  <c r="E51" i="12"/>
  <c r="E50" i="12"/>
  <c r="E22" i="12"/>
  <c r="E49" i="12"/>
  <c r="B52" i="12"/>
  <c r="B24" i="12"/>
  <c r="E20" i="12"/>
  <c r="B23" i="12"/>
  <c r="E19" i="12"/>
  <c r="E17" i="12"/>
  <c r="B48" i="12"/>
  <c r="B20" i="12"/>
  <c r="E44" i="12"/>
  <c r="E16" i="12"/>
  <c r="B47" i="12"/>
  <c r="B19" i="12"/>
  <c r="E43" i="12"/>
  <c r="E15" i="12"/>
  <c r="B18" i="12"/>
  <c r="E14" i="12"/>
  <c r="B45" i="12"/>
  <c r="E41" i="12"/>
  <c r="B44" i="12"/>
  <c r="E40" i="12"/>
  <c r="E12" i="12"/>
  <c r="E11" i="12"/>
  <c r="B41" i="12"/>
  <c r="E37" i="12"/>
  <c r="R208" i="12"/>
  <c r="Q208" i="12"/>
  <c r="S103" i="15"/>
  <c r="Q126" i="15"/>
  <c r="S155" i="15"/>
  <c r="R155" i="15"/>
  <c r="Q155" i="15"/>
  <c r="P155" i="15"/>
  <c r="R164" i="15"/>
  <c r="S164" i="15"/>
  <c r="Q164" i="15"/>
  <c r="P164" i="15"/>
  <c r="P77" i="15"/>
  <c r="Q77" i="15"/>
  <c r="S77" i="15"/>
  <c r="R77" i="15"/>
  <c r="R126" i="15"/>
  <c r="S126" i="15"/>
  <c r="P189" i="15"/>
  <c r="S189" i="15"/>
  <c r="S65" i="15"/>
  <c r="R65" i="15"/>
  <c r="S90" i="15"/>
  <c r="R90" i="15"/>
  <c r="P90" i="15"/>
  <c r="Q90" i="15"/>
  <c r="S138" i="15"/>
  <c r="R138" i="15"/>
  <c r="P138" i="15"/>
  <c r="Q138" i="15"/>
  <c r="Q189" i="15"/>
  <c r="S57" i="15"/>
  <c r="R57" i="15"/>
  <c r="Q57" i="15"/>
  <c r="P57" i="15"/>
  <c r="R189" i="15"/>
  <c r="R25" i="15"/>
  <c r="S25" i="15"/>
  <c r="Q25" i="15"/>
  <c r="P147" i="15"/>
  <c r="Q147" i="15"/>
  <c r="R147" i="15"/>
  <c r="S147" i="15"/>
  <c r="S8" i="15"/>
  <c r="R8" i="15"/>
  <c r="Q8" i="15"/>
  <c r="P8" i="15"/>
  <c r="P65" i="15"/>
  <c r="S170" i="15"/>
  <c r="R170" i="15"/>
  <c r="Q170" i="15"/>
  <c r="P170" i="15"/>
  <c r="P25" i="15"/>
  <c r="Q65" i="15"/>
  <c r="P119" i="15"/>
  <c r="Q119" i="15"/>
  <c r="S119" i="15"/>
  <c r="R119" i="15"/>
  <c r="P123" i="15"/>
  <c r="S123" i="15"/>
  <c r="R123" i="15"/>
  <c r="Q123" i="15"/>
  <c r="S143" i="15"/>
  <c r="R143" i="15"/>
  <c r="Q143" i="15"/>
  <c r="S38" i="15"/>
  <c r="P38" i="15"/>
  <c r="R38" i="15"/>
  <c r="Q38" i="15"/>
  <c r="R87" i="15"/>
  <c r="S87" i="15"/>
  <c r="Q87" i="15"/>
  <c r="P87" i="15"/>
  <c r="S9" i="15"/>
  <c r="R9" i="15"/>
  <c r="Q9" i="15"/>
  <c r="P9" i="15"/>
  <c r="P58" i="15"/>
  <c r="S58" i="15"/>
  <c r="R58" i="15"/>
  <c r="Q58" i="15"/>
  <c r="S74" i="15"/>
  <c r="R74" i="15"/>
  <c r="Q74" i="15"/>
  <c r="P74" i="15"/>
  <c r="P143" i="15"/>
  <c r="R73" i="15"/>
  <c r="S73" i="15"/>
  <c r="Q73" i="15"/>
  <c r="P73" i="15"/>
  <c r="P28" i="15"/>
  <c r="S28" i="15"/>
  <c r="R28" i="15"/>
  <c r="Q28" i="15"/>
  <c r="R81" i="15"/>
  <c r="Q81" i="15"/>
  <c r="P81" i="15"/>
  <c r="S81" i="15"/>
  <c r="P49" i="15"/>
  <c r="S49" i="15"/>
  <c r="S29" i="15"/>
  <c r="R29" i="15"/>
  <c r="Q29" i="15"/>
  <c r="P29" i="15"/>
  <c r="S69" i="15"/>
  <c r="R69" i="15"/>
  <c r="Q69" i="15"/>
  <c r="P69" i="15"/>
  <c r="R49" i="15"/>
  <c r="P161" i="15"/>
  <c r="S161" i="15"/>
  <c r="R161" i="15"/>
  <c r="Q161" i="15"/>
  <c r="P175" i="15"/>
  <c r="S175" i="15"/>
  <c r="R21" i="15"/>
  <c r="S96" i="15"/>
  <c r="R96" i="15"/>
  <c r="Q96" i="15"/>
  <c r="P96" i="15"/>
  <c r="S21" i="15"/>
  <c r="S92" i="15"/>
  <c r="R92" i="15"/>
  <c r="Q92" i="15"/>
  <c r="P92" i="15"/>
  <c r="R101" i="15"/>
  <c r="S101" i="15"/>
  <c r="P101" i="15"/>
  <c r="Q101" i="15"/>
  <c r="S115" i="15"/>
  <c r="R115" i="15"/>
  <c r="Q115" i="15"/>
  <c r="P115" i="15"/>
  <c r="R171" i="15"/>
  <c r="S171" i="15"/>
  <c r="Q171" i="15"/>
  <c r="P171" i="15"/>
  <c r="R199" i="15"/>
  <c r="S199" i="15"/>
  <c r="P199" i="15"/>
  <c r="Q199" i="15"/>
  <c r="R122" i="15"/>
  <c r="S122" i="15"/>
  <c r="Q122" i="15"/>
  <c r="P122" i="15"/>
  <c r="S16" i="15"/>
  <c r="Q16" i="15"/>
  <c r="P16" i="15"/>
  <c r="R136" i="15"/>
  <c r="S136" i="15"/>
  <c r="S129" i="15"/>
  <c r="R129" i="15"/>
  <c r="Q129" i="15"/>
  <c r="P129" i="15"/>
  <c r="S162" i="15"/>
  <c r="R162" i="15"/>
  <c r="Q162" i="15"/>
  <c r="P162" i="15"/>
  <c r="P136" i="15"/>
  <c r="S166" i="15"/>
  <c r="R166" i="15"/>
  <c r="Q166" i="15"/>
  <c r="P166" i="15"/>
  <c r="Q136" i="15"/>
  <c r="S184" i="15"/>
  <c r="R184" i="15"/>
  <c r="P184" i="15"/>
  <c r="R80" i="15"/>
  <c r="S80" i="15"/>
  <c r="P80" i="15"/>
  <c r="Q80" i="15"/>
  <c r="P133" i="15"/>
  <c r="S133" i="15"/>
  <c r="Q184" i="15"/>
  <c r="S44" i="15"/>
  <c r="R44" i="15"/>
  <c r="Q44" i="15"/>
  <c r="R67" i="15"/>
  <c r="Q67" i="15"/>
  <c r="P67" i="15"/>
  <c r="S67" i="15"/>
  <c r="P84" i="15"/>
  <c r="S84" i="15"/>
  <c r="R84" i="15"/>
  <c r="S102" i="15"/>
  <c r="R102" i="15"/>
  <c r="Q102" i="15"/>
  <c r="P102" i="15"/>
  <c r="P112" i="15"/>
  <c r="R112" i="15"/>
  <c r="Q112" i="15"/>
  <c r="S112" i="15"/>
  <c r="Q133" i="15"/>
  <c r="R178" i="15"/>
  <c r="S178" i="15"/>
  <c r="Q178" i="15"/>
  <c r="P178" i="15"/>
  <c r="S54" i="15"/>
  <c r="R54" i="15"/>
  <c r="P54" i="15"/>
  <c r="Q54" i="15"/>
  <c r="S191" i="15"/>
  <c r="R191" i="15"/>
  <c r="S51" i="15"/>
  <c r="R51" i="15"/>
  <c r="Q51" i="15"/>
  <c r="P51" i="15"/>
  <c r="P18" i="15"/>
  <c r="S18" i="15"/>
  <c r="R18" i="15"/>
  <c r="Q18" i="15"/>
  <c r="Q88" i="15"/>
  <c r="S195" i="15"/>
  <c r="R195" i="15"/>
  <c r="Q195" i="15"/>
  <c r="P195" i="15"/>
  <c r="Q191" i="15"/>
  <c r="S47" i="15"/>
  <c r="R47" i="15"/>
  <c r="Q47" i="15"/>
  <c r="P47" i="15"/>
  <c r="R59" i="15"/>
  <c r="S59" i="15"/>
  <c r="P59" i="15"/>
  <c r="Q59" i="15"/>
  <c r="R76" i="15"/>
  <c r="Q76" i="15"/>
  <c r="P76" i="15"/>
  <c r="S76" i="15"/>
  <c r="S40" i="15"/>
  <c r="R40" i="15"/>
  <c r="Q40" i="15"/>
  <c r="P40" i="15"/>
  <c r="R133" i="15"/>
  <c r="S5" i="15"/>
  <c r="P5" i="15"/>
  <c r="R5" i="15"/>
  <c r="R207" i="15" s="1"/>
  <c r="Q5" i="15"/>
  <c r="P191" i="15"/>
  <c r="S36" i="15"/>
  <c r="R36" i="15"/>
  <c r="Q36" i="15"/>
  <c r="P36" i="15"/>
  <c r="P44" i="15"/>
  <c r="Q84" i="15"/>
  <c r="R94" i="15"/>
  <c r="S94" i="15"/>
  <c r="Q94" i="15"/>
  <c r="P94" i="15"/>
  <c r="P98" i="15"/>
  <c r="R98" i="15"/>
  <c r="Q98" i="15"/>
  <c r="Q121" i="15"/>
  <c r="P154" i="15"/>
  <c r="R154" i="15"/>
  <c r="Q154" i="15"/>
  <c r="P168" i="15"/>
  <c r="Q168" i="15"/>
  <c r="S168" i="15"/>
  <c r="R168" i="15"/>
  <c r="S181" i="15"/>
  <c r="R181" i="15"/>
  <c r="Q181" i="15"/>
  <c r="P181" i="15"/>
  <c r="S187" i="15"/>
  <c r="R187" i="15"/>
  <c r="Q187" i="15"/>
  <c r="P187" i="15"/>
  <c r="S15" i="15"/>
  <c r="R15" i="15"/>
  <c r="Q15" i="15"/>
  <c r="P15" i="15"/>
  <c r="S24" i="15"/>
  <c r="R24" i="15"/>
  <c r="Q24" i="15"/>
  <c r="P24" i="15"/>
  <c r="S32" i="15"/>
  <c r="R32" i="15"/>
  <c r="R52" i="15"/>
  <c r="S52" i="15"/>
  <c r="S117" i="15"/>
  <c r="R117" i="15"/>
  <c r="Q117" i="15"/>
  <c r="P117" i="15"/>
  <c r="S79" i="15"/>
  <c r="Q79" i="15"/>
  <c r="P79" i="15"/>
  <c r="R79" i="15"/>
  <c r="S98" i="15"/>
  <c r="S154" i="15"/>
  <c r="S201" i="15"/>
  <c r="R201" i="15"/>
  <c r="Q201" i="15"/>
  <c r="P201" i="15"/>
  <c r="S163" i="15"/>
  <c r="P163" i="15"/>
  <c r="S188" i="15"/>
  <c r="R188" i="15"/>
  <c r="P140" i="15"/>
  <c r="P203" i="15"/>
  <c r="R203" i="15"/>
  <c r="Q203" i="15"/>
  <c r="P56" i="15"/>
  <c r="R66" i="15"/>
  <c r="S66" i="15"/>
  <c r="Q66" i="15"/>
  <c r="P105" i="15"/>
  <c r="S105" i="15"/>
  <c r="R105" i="15"/>
  <c r="Q105" i="15"/>
  <c r="S116" i="15"/>
  <c r="R116" i="15"/>
  <c r="Q116" i="15"/>
  <c r="Q140" i="15"/>
  <c r="S159" i="15"/>
  <c r="R159" i="15"/>
  <c r="Q163" i="15"/>
  <c r="P188" i="15"/>
  <c r="S12" i="15"/>
  <c r="R12" i="15"/>
  <c r="Q12" i="15"/>
  <c r="P12" i="15"/>
  <c r="S22" i="15"/>
  <c r="R22" i="15"/>
  <c r="Q22" i="15"/>
  <c r="P22" i="15"/>
  <c r="S33" i="15"/>
  <c r="R33" i="15"/>
  <c r="R140" i="15"/>
  <c r="R163" i="15"/>
  <c r="Q188" i="15"/>
  <c r="S203" i="15"/>
  <c r="Q56" i="15"/>
  <c r="P66" i="15"/>
  <c r="P109" i="15"/>
  <c r="P116" i="15"/>
  <c r="S140" i="15"/>
  <c r="S148" i="15"/>
  <c r="R148" i="15"/>
  <c r="Q148" i="15"/>
  <c r="P148" i="15"/>
  <c r="P159" i="15"/>
  <c r="R185" i="15"/>
  <c r="S185" i="15"/>
  <c r="R192" i="15"/>
  <c r="S192" i="15"/>
  <c r="Q30" i="15"/>
  <c r="P30" i="15"/>
  <c r="P33" i="15"/>
  <c r="R56" i="15"/>
  <c r="P91" i="15"/>
  <c r="S91" i="15"/>
  <c r="R91" i="15"/>
  <c r="Q91" i="15"/>
  <c r="Q109" i="15"/>
  <c r="S156" i="15"/>
  <c r="Q159" i="15"/>
  <c r="S43" i="15"/>
  <c r="R43" i="15"/>
  <c r="Q43" i="15"/>
  <c r="P43" i="15"/>
  <c r="Q19" i="15"/>
  <c r="P19" i="15"/>
  <c r="S23" i="15"/>
  <c r="R23" i="15"/>
  <c r="Q23" i="15"/>
  <c r="P23" i="15"/>
  <c r="Q33" i="15"/>
  <c r="S56" i="15"/>
  <c r="P63" i="15"/>
  <c r="S63" i="15"/>
  <c r="R109" i="15"/>
  <c r="S113" i="15"/>
  <c r="R113" i="15"/>
  <c r="Q113" i="15"/>
  <c r="P113" i="15"/>
  <c r="S128" i="15"/>
  <c r="R128" i="15"/>
  <c r="Q128" i="15"/>
  <c r="P128" i="15"/>
  <c r="P196" i="15"/>
  <c r="Q196" i="15"/>
  <c r="S204" i="15"/>
  <c r="R204" i="15"/>
  <c r="Q204" i="15"/>
  <c r="P204" i="15"/>
  <c r="S106" i="15"/>
  <c r="R106" i="15"/>
  <c r="Q106" i="15"/>
  <c r="P106" i="15"/>
  <c r="S141" i="15"/>
  <c r="R141" i="15"/>
  <c r="Q141" i="15"/>
  <c r="P141" i="15"/>
  <c r="S3" i="15"/>
  <c r="Q3" i="15"/>
  <c r="P3" i="15"/>
  <c r="Q63" i="15"/>
  <c r="Q156" i="15"/>
  <c r="R196" i="15"/>
  <c r="S197" i="15"/>
  <c r="R197" i="15"/>
  <c r="Q197" i="15"/>
  <c r="P197" i="15"/>
  <c r="P20" i="15"/>
  <c r="S20" i="15"/>
  <c r="R20" i="15"/>
  <c r="Q20" i="15"/>
  <c r="P48" i="15"/>
  <c r="Q61" i="15"/>
  <c r="P61" i="15"/>
  <c r="R110" i="15"/>
  <c r="P132" i="15"/>
  <c r="R7" i="15"/>
  <c r="Q10" i="15"/>
  <c r="Q48" i="15"/>
  <c r="R93" i="15"/>
  <c r="Q93" i="15"/>
  <c r="R107" i="15"/>
  <c r="Q132" i="15"/>
  <c r="S114" i="15"/>
  <c r="P114" i="15"/>
  <c r="S145" i="15"/>
  <c r="R145" i="15"/>
  <c r="Q145" i="15"/>
  <c r="P145" i="15"/>
  <c r="Q205" i="15"/>
  <c r="Q7" i="15"/>
  <c r="P10" i="15"/>
  <c r="S17" i="15"/>
  <c r="R17" i="15"/>
  <c r="S142" i="15"/>
  <c r="R142" i="15"/>
  <c r="S172" i="15"/>
  <c r="R205" i="15"/>
  <c r="R10" i="15"/>
  <c r="P17" i="15"/>
  <c r="P35" i="15"/>
  <c r="S35" i="15"/>
  <c r="R35" i="15"/>
  <c r="R48" i="15"/>
  <c r="R61" i="15"/>
  <c r="S72" i="15"/>
  <c r="R72" i="15"/>
  <c r="Q72" i="15"/>
  <c r="P72" i="15"/>
  <c r="P100" i="15"/>
  <c r="P103" i="15"/>
  <c r="S118" i="15"/>
  <c r="R118" i="15"/>
  <c r="P118" i="15"/>
  <c r="R132" i="15"/>
  <c r="P142" i="15"/>
  <c r="R150" i="15"/>
  <c r="S150" i="15"/>
  <c r="P150" i="15"/>
  <c r="S165" i="15"/>
  <c r="R165" i="15"/>
  <c r="Q165" i="15"/>
  <c r="S177" i="15"/>
  <c r="R177" i="15"/>
  <c r="Q177" i="15"/>
  <c r="P177" i="15"/>
  <c r="P180" i="15"/>
  <c r="R157" i="15"/>
  <c r="S157" i="15"/>
  <c r="Q157" i="15"/>
  <c r="P157" i="15"/>
  <c r="S27" i="15"/>
  <c r="R27" i="15"/>
  <c r="P27" i="15"/>
  <c r="Q107" i="15"/>
  <c r="P107" i="15"/>
  <c r="P135" i="15"/>
  <c r="P149" i="15"/>
  <c r="P172" i="15"/>
  <c r="P110" i="15"/>
  <c r="Q114" i="15"/>
  <c r="Q135" i="15"/>
  <c r="Q149" i="15"/>
  <c r="Q172" i="15"/>
  <c r="P205" i="15"/>
  <c r="Q110" i="15"/>
  <c r="R114" i="15"/>
  <c r="R135" i="15"/>
  <c r="R149" i="15"/>
  <c r="Q17" i="15"/>
  <c r="S61" i="15"/>
  <c r="Q68" i="15"/>
  <c r="P68" i="15"/>
  <c r="Q103" i="15"/>
  <c r="Q142" i="15"/>
  <c r="R206" i="15"/>
  <c r="S206" i="15"/>
  <c r="Q206" i="15"/>
  <c r="P206" i="15"/>
  <c r="Q14" i="15"/>
  <c r="Q55" i="15"/>
  <c r="S55" i="15"/>
  <c r="R55" i="15"/>
  <c r="Q100" i="15"/>
  <c r="R103" i="15"/>
  <c r="Q118" i="15"/>
  <c r="S139" i="15"/>
  <c r="R139" i="15"/>
  <c r="P165" i="15"/>
  <c r="S194" i="15"/>
  <c r="R194" i="15"/>
  <c r="Q194" i="15"/>
  <c r="P194" i="15"/>
  <c r="S88" i="15"/>
  <c r="R88" i="15"/>
  <c r="S121" i="15"/>
  <c r="R121" i="15"/>
  <c r="P121" i="15"/>
  <c r="S99" i="15"/>
  <c r="R99" i="15"/>
  <c r="Q99" i="15"/>
  <c r="P99" i="15"/>
  <c r="S31" i="15"/>
  <c r="R31" i="15"/>
  <c r="Q31" i="15"/>
  <c r="P31" i="15"/>
  <c r="P88" i="15"/>
  <c r="P7" i="15"/>
  <c r="S190" i="15"/>
  <c r="R190" i="15"/>
  <c r="Q190" i="15"/>
  <c r="P190" i="15"/>
  <c r="R86" i="15"/>
  <c r="Q86" i="15"/>
  <c r="P86" i="15"/>
  <c r="R108" i="15"/>
  <c r="S108" i="15"/>
  <c r="Q108" i="15"/>
  <c r="P108" i="15"/>
  <c r="S158" i="15"/>
  <c r="R158" i="15"/>
  <c r="S71" i="15"/>
  <c r="R71" i="15"/>
  <c r="Q71" i="15"/>
  <c r="P71" i="15"/>
  <c r="S127" i="15"/>
  <c r="R127" i="15"/>
  <c r="Q127" i="15"/>
  <c r="P127" i="15"/>
  <c r="P167" i="15"/>
  <c r="S176" i="15"/>
  <c r="R176" i="15"/>
  <c r="Q176" i="15"/>
  <c r="P176" i="15"/>
  <c r="Q167" i="15"/>
  <c r="S85" i="15"/>
  <c r="R85" i="15"/>
  <c r="Q85" i="15"/>
  <c r="P85" i="15"/>
  <c r="Q104" i="15"/>
  <c r="Q144" i="15"/>
  <c r="R167" i="15"/>
  <c r="Q193" i="15"/>
  <c r="S50" i="15"/>
  <c r="R50" i="15"/>
  <c r="Q50" i="15"/>
  <c r="P50" i="15"/>
  <c r="P125" i="15"/>
  <c r="S134" i="15"/>
  <c r="R134" i="15"/>
  <c r="Q134" i="15"/>
  <c r="P134" i="15"/>
  <c r="P174" i="15"/>
  <c r="S183" i="15"/>
  <c r="R183" i="15"/>
  <c r="Q183" i="15"/>
  <c r="P183" i="15"/>
  <c r="P4" i="15"/>
  <c r="S64" i="15"/>
  <c r="R64" i="15"/>
  <c r="Q64" i="15"/>
  <c r="P64" i="15"/>
  <c r="P83" i="15"/>
  <c r="Q125" i="15"/>
  <c r="P151" i="15"/>
  <c r="Q174" i="15"/>
  <c r="P200" i="15"/>
  <c r="Q4" i="15"/>
  <c r="P39" i="15"/>
  <c r="R125" i="15"/>
  <c r="Q151" i="15"/>
  <c r="R174" i="15"/>
  <c r="Q200" i="15"/>
  <c r="R4" i="15"/>
  <c r="Q39" i="15"/>
  <c r="S78" i="15"/>
  <c r="R78" i="15"/>
  <c r="Q78" i="15"/>
  <c r="P78" i="15"/>
  <c r="R83" i="15"/>
  <c r="P97" i="15"/>
  <c r="P111" i="15"/>
  <c r="R151" i="15"/>
  <c r="R200" i="15"/>
  <c r="Q83" i="15"/>
  <c r="S120" i="15"/>
  <c r="R120" i="15"/>
  <c r="Q120" i="15"/>
  <c r="P120" i="15"/>
  <c r="S169" i="15"/>
  <c r="R169" i="15"/>
  <c r="Q169" i="15"/>
  <c r="P169" i="15"/>
  <c r="P207" i="15" l="1"/>
  <c r="Q207" i="15"/>
  <c r="S207" i="15"/>
</calcChain>
</file>

<file path=xl/sharedStrings.xml><?xml version="1.0" encoding="utf-8"?>
<sst xmlns="http://schemas.openxmlformats.org/spreadsheetml/2006/main" count="952" uniqueCount="705">
  <si>
    <t>Year</t>
  </si>
  <si>
    <t>Age0</t>
  </si>
  <si>
    <t>Age1</t>
  </si>
  <si>
    <t>Age2</t>
  </si>
  <si>
    <t>Age3</t>
  </si>
  <si>
    <t>Season</t>
  </si>
  <si>
    <t>age0</t>
  </si>
  <si>
    <t>age1</t>
  </si>
  <si>
    <t>age2</t>
  </si>
  <si>
    <t>age3</t>
  </si>
  <si>
    <t>year</t>
  </si>
  <si>
    <t>season</t>
  </si>
  <si>
    <t>395307000</t>
  </si>
  <si>
    <t>120033000</t>
  </si>
  <si>
    <t>11198300</t>
  </si>
  <si>
    <t>551857</t>
  </si>
  <si>
    <t>250741000</t>
  </si>
  <si>
    <t>59743900</t>
  </si>
  <si>
    <t>4978830</t>
  </si>
  <si>
    <t>260950</t>
  </si>
  <si>
    <t>172577000</t>
  </si>
  <si>
    <t>37801500</t>
  </si>
  <si>
    <t>2041320</t>
  </si>
  <si>
    <t>103851</t>
  </si>
  <si>
    <t>131919000</t>
  </si>
  <si>
    <t>27245600</t>
  </si>
  <si>
    <t>1390420</t>
  </si>
  <si>
    <t>57997</t>
  </si>
  <si>
    <t>515815000</t>
  </si>
  <si>
    <t>93898000</t>
  </si>
  <si>
    <t>18183000</t>
  </si>
  <si>
    <t>789632</t>
  </si>
  <si>
    <t>326688000</t>
  </si>
  <si>
    <t>38005000</t>
  </si>
  <si>
    <t>5944570</t>
  </si>
  <si>
    <t>283103</t>
  </si>
  <si>
    <t>223161000</t>
  </si>
  <si>
    <t>19875000</t>
  </si>
  <si>
    <t>1403340</t>
  </si>
  <si>
    <t>62021</t>
  </si>
  <si>
    <t>165674000</t>
  </si>
  <si>
    <t>12941100</t>
  </si>
  <si>
    <t>802936</t>
  </si>
  <si>
    <t>24884</t>
  </si>
  <si>
    <t>231803000</t>
  </si>
  <si>
    <t>117529000</t>
  </si>
  <si>
    <t>9372170</t>
  </si>
  <si>
    <t>614082</t>
  </si>
  <si>
    <t>151013000</t>
  </si>
  <si>
    <t>48147100</t>
  </si>
  <si>
    <t>3081350</t>
  </si>
  <si>
    <t>220142</t>
  </si>
  <si>
    <t>102278000</t>
  </si>
  <si>
    <t>24522800</t>
  </si>
  <si>
    <t>685683</t>
  </si>
  <si>
    <t>45370</t>
  </si>
  <si>
    <t>73923700</t>
  </si>
  <si>
    <t>15523800</t>
  </si>
  <si>
    <t>380388</t>
  </si>
  <si>
    <t>17448</t>
  </si>
  <si>
    <t>379838000</t>
  </si>
  <si>
    <t>52459100</t>
  </si>
  <si>
    <t>11231300</t>
  </si>
  <si>
    <t>295215</t>
  </si>
  <si>
    <t>261846000</t>
  </si>
  <si>
    <t>23363800</t>
  </si>
  <si>
    <t>4093920</t>
  </si>
  <si>
    <t>116123</t>
  </si>
  <si>
    <t>176222000</t>
  </si>
  <si>
    <t>12165900</t>
  </si>
  <si>
    <t>976795</t>
  </si>
  <si>
    <t>25805</t>
  </si>
  <si>
    <t>126987000</t>
  </si>
  <si>
    <t>7566240</t>
  </si>
  <si>
    <t>538679</t>
  </si>
  <si>
    <t>10070</t>
  </si>
  <si>
    <t>626428000</t>
  </si>
  <si>
    <t>90929800</t>
  </si>
  <si>
    <t>5510730</t>
  </si>
  <si>
    <t>406794</t>
  </si>
  <si>
    <t>452498000</t>
  </si>
  <si>
    <t>47808100</t>
  </si>
  <si>
    <t>2550530</t>
  </si>
  <si>
    <t>199506</t>
  </si>
  <si>
    <t>316763000</t>
  </si>
  <si>
    <t>29020200</t>
  </si>
  <si>
    <t>68072</t>
  </si>
  <si>
    <t>233152000</t>
  </si>
  <si>
    <t>19402300</t>
  </si>
  <si>
    <t>33757</t>
  </si>
  <si>
    <t>351927000</t>
  </si>
  <si>
    <t>172091000</t>
  </si>
  <si>
    <t>14693300</t>
  </si>
  <si>
    <t>464810</t>
  </si>
  <si>
    <t>248812000</t>
  </si>
  <si>
    <t>98638700</t>
  </si>
  <si>
    <t>7900520</t>
  </si>
  <si>
    <t>259362</t>
  </si>
  <si>
    <t>171009000</t>
  </si>
  <si>
    <t>62695800</t>
  </si>
  <si>
    <t>3738070</t>
  </si>
  <si>
    <t>120169</t>
  </si>
  <si>
    <t>125247000</t>
  </si>
  <si>
    <t>43781100</t>
  </si>
  <si>
    <t>2548250</t>
  </si>
  <si>
    <t>70876</t>
  </si>
  <si>
    <t>206302000</t>
  </si>
  <si>
    <t>91984900</t>
  </si>
  <si>
    <t>32705200</t>
  </si>
  <si>
    <t>1992070</t>
  </si>
  <si>
    <t>141381000</t>
  </si>
  <si>
    <t>33394800</t>
  </si>
  <si>
    <t>8947180</t>
  </si>
  <si>
    <t>603214</t>
  </si>
  <si>
    <t>93188000</t>
  </si>
  <si>
    <t>14028400</t>
  </si>
  <si>
    <t>1298350</t>
  </si>
  <si>
    <t>79110</t>
  </si>
  <si>
    <t>66477100</t>
  </si>
  <si>
    <t>8193420</t>
  </si>
  <si>
    <t>632308</t>
  </si>
  <si>
    <t>23992</t>
  </si>
  <si>
    <t>61178700</t>
  </si>
  <si>
    <t>48838800</t>
  </si>
  <si>
    <t>6136970</t>
  </si>
  <si>
    <t>509256</t>
  </si>
  <si>
    <t>40895600</t>
  </si>
  <si>
    <t>24363900</t>
  </si>
  <si>
    <t>2713430</t>
  </si>
  <si>
    <t>241986</t>
  </si>
  <si>
    <t>28128200</t>
  </si>
  <si>
    <t>13862300</t>
  </si>
  <si>
    <t>959133</t>
  </si>
  <si>
    <t>84140</t>
  </si>
  <si>
    <t>20871900</t>
  </si>
  <si>
    <t>9578760</t>
  </si>
  <si>
    <t>625520</t>
  </si>
  <si>
    <t>44058</t>
  </si>
  <si>
    <t>37138900</t>
  </si>
  <si>
    <t>15602100</t>
  </si>
  <si>
    <t>7314670</t>
  </si>
  <si>
    <t>536632</t>
  </si>
  <si>
    <t>24809300</t>
  </si>
  <si>
    <t>8280430</t>
  </si>
  <si>
    <t>3488130</t>
  </si>
  <si>
    <t>278794</t>
  </si>
  <si>
    <t>18191400</t>
  </si>
  <si>
    <t>5287370</t>
  </si>
  <si>
    <t>1469920</t>
  </si>
  <si>
    <t>116748</t>
  </si>
  <si>
    <t>14285500</t>
  </si>
  <si>
    <t>3902730</t>
  </si>
  <si>
    <t>1030760</t>
  </si>
  <si>
    <t>68018</t>
  </si>
  <si>
    <t>50514300</t>
  </si>
  <si>
    <t>11084800</t>
  </si>
  <si>
    <t>3130970</t>
  </si>
  <si>
    <t>920224</t>
  </si>
  <si>
    <t>33274800</t>
  </si>
  <si>
    <t>4842840</t>
  </si>
  <si>
    <t>1121230</t>
  </si>
  <si>
    <t>370949</t>
  </si>
  <si>
    <t>24348500</t>
  </si>
  <si>
    <t>2606130</t>
  </si>
  <si>
    <t>292071</t>
  </si>
  <si>
    <t>90692</t>
  </si>
  <si>
    <t>19052300</t>
  </si>
  <si>
    <t>1816870</t>
  </si>
  <si>
    <t>179111</t>
  </si>
  <si>
    <t>40190</t>
  </si>
  <si>
    <t>60994900</t>
  </si>
  <si>
    <t>4214240</t>
  </si>
  <si>
    <t>1056360</t>
  </si>
  <si>
    <t>255480</t>
  </si>
  <si>
    <t>37757300</t>
  </si>
  <si>
    <t>2015000</t>
  </si>
  <si>
    <t>448552</t>
  </si>
  <si>
    <t>118190</t>
  </si>
  <si>
    <t>24298500</t>
  </si>
  <si>
    <t>1130680</t>
  </si>
  <si>
    <t>164680</t>
  </si>
  <si>
    <t>43094</t>
  </si>
  <si>
    <t>18320900</t>
  </si>
  <si>
    <t>819685</t>
  </si>
  <si>
    <t>113915</t>
  </si>
  <si>
    <t>24346</t>
  </si>
  <si>
    <t>50723500</t>
  </si>
  <si>
    <t>7717830</t>
  </si>
  <si>
    <t>3269540</t>
  </si>
  <si>
    <t>166951</t>
  </si>
  <si>
    <t>30008100</t>
  </si>
  <si>
    <t>3416240</t>
  </si>
  <si>
    <t>1258740</t>
  </si>
  <si>
    <t>72618</t>
  </si>
  <si>
    <t>18568700</t>
  </si>
  <si>
    <t>1847740</t>
  </si>
  <si>
    <t>401379</t>
  </si>
  <si>
    <t>22490</t>
  </si>
  <si>
    <t>13630200</t>
  </si>
  <si>
    <t>1315260</t>
  </si>
  <si>
    <t>258395</t>
  </si>
  <si>
    <t>11448</t>
  </si>
  <si>
    <t>42693300</t>
  </si>
  <si>
    <t>10202400</t>
  </si>
  <si>
    <t>1040850</t>
  </si>
  <si>
    <t>222480</t>
  </si>
  <si>
    <t>25427000</t>
  </si>
  <si>
    <t>5716670</t>
  </si>
  <si>
    <t>568862</t>
  </si>
  <si>
    <t>132851</t>
  </si>
  <si>
    <t>16107800</t>
  </si>
  <si>
    <t>3814990</t>
  </si>
  <si>
    <t>339004</t>
  </si>
  <si>
    <t>79732</t>
  </si>
  <si>
    <t>12036000</t>
  </si>
  <si>
    <t>2945730</t>
  </si>
  <si>
    <t>259899</t>
  </si>
  <si>
    <t>57631</t>
  </si>
  <si>
    <t>134166000</t>
  </si>
  <si>
    <t>26254100</t>
  </si>
  <si>
    <t>4737410</t>
  </si>
  <si>
    <t>327549</t>
  </si>
  <si>
    <t>88504400</t>
  </si>
  <si>
    <t>12018300</t>
  </si>
  <si>
    <t>1827870</t>
  </si>
  <si>
    <t>135139</t>
  </si>
  <si>
    <t>64706500</t>
  </si>
  <si>
    <t>6776970</t>
  </si>
  <si>
    <t>539535</t>
  </si>
  <si>
    <t>37704</t>
  </si>
  <si>
    <t>49446800</t>
  </si>
  <si>
    <t>4595860</t>
  </si>
  <si>
    <t>331059</t>
  </si>
  <si>
    <t>17477</t>
  </si>
  <si>
    <t>117966000</t>
  </si>
  <si>
    <t>37721500</t>
  </si>
  <si>
    <t>3608010</t>
  </si>
  <si>
    <t>279799</t>
  </si>
  <si>
    <t>75220300</t>
  </si>
  <si>
    <t>20635000</t>
  </si>
  <si>
    <t>1840450</t>
  </si>
  <si>
    <t>147220</t>
  </si>
  <si>
    <t>54663500</t>
  </si>
  <si>
    <t>13711300</t>
  </si>
  <si>
    <t>901904</t>
  </si>
  <si>
    <t>70332</t>
  </si>
  <si>
    <t>42590400</t>
  </si>
  <si>
    <t>10203900</t>
  </si>
  <si>
    <t>647590</t>
  </si>
  <si>
    <t>44079</t>
  </si>
  <si>
    <t>34495100</t>
  </si>
  <si>
    <t>32795600</t>
  </si>
  <si>
    <t>8153380</t>
  </si>
  <si>
    <t>562716</t>
  </si>
  <si>
    <t>21844200</t>
  </si>
  <si>
    <t>15052200</t>
  </si>
  <si>
    <t>3210520</t>
  </si>
  <si>
    <t>236863</t>
  </si>
  <si>
    <t>15723200</t>
  </si>
  <si>
    <t>8539350</t>
  </si>
  <si>
    <t>996184</t>
  </si>
  <si>
    <t>69032</t>
  </si>
  <si>
    <t>12411700</t>
  </si>
  <si>
    <t>6030500</t>
  </si>
  <si>
    <t>628035</t>
  </si>
  <si>
    <t>33376</t>
  </si>
  <si>
    <t>63289600</t>
  </si>
  <si>
    <t>9704990</t>
  </si>
  <si>
    <t>4929130</t>
  </si>
  <si>
    <t>552825</t>
  </si>
  <si>
    <t>39840000</t>
  </si>
  <si>
    <t>4739910</t>
  </si>
  <si>
    <t>2116750</t>
  </si>
  <si>
    <t>256122</t>
  </si>
  <si>
    <t>26697800</t>
  </si>
  <si>
    <t>2776040</t>
  </si>
  <si>
    <t>741105</t>
  </si>
  <si>
    <t>86558</t>
  </si>
  <si>
    <t>21153300</t>
  </si>
  <si>
    <t>2034090</t>
  </si>
  <si>
    <t>496862</t>
  </si>
  <si>
    <t>46235</t>
  </si>
  <si>
    <t>54156600</t>
  </si>
  <si>
    <t>16673100</t>
  </si>
  <si>
    <t>1687730</t>
  </si>
  <si>
    <t>466514</t>
  </si>
  <si>
    <t>35398700</t>
  </si>
  <si>
    <t>9178160</t>
  </si>
  <si>
    <t>851918</t>
  </si>
  <si>
    <t>250721</t>
  </si>
  <si>
    <t>24069900</t>
  </si>
  <si>
    <t>5952580</t>
  </si>
  <si>
    <t>382553</t>
  </si>
  <si>
    <t>112774</t>
  </si>
  <si>
    <t>19267000</t>
  </si>
  <si>
    <t>4503380</t>
  </si>
  <si>
    <t>277420</t>
  </si>
  <si>
    <t>69691</t>
  </si>
  <si>
    <t>117042000</t>
  </si>
  <si>
    <t>15080300</t>
  </si>
  <si>
    <t>3677240</t>
  </si>
  <si>
    <t>295099</t>
  </si>
  <si>
    <t>77328300</t>
  </si>
  <si>
    <t>7040770</t>
  </si>
  <si>
    <t>1454900</t>
  </si>
  <si>
    <t>126254</t>
  </si>
  <si>
    <t>50957400</t>
  </si>
  <si>
    <t>3914610</t>
  </si>
  <si>
    <t>412922</t>
  </si>
  <si>
    <t>34237</t>
  </si>
  <si>
    <t>39603800</t>
  </si>
  <si>
    <t>2718180</t>
  </si>
  <si>
    <t>255671</t>
  </si>
  <si>
    <t>15834</t>
  </si>
  <si>
    <t>74500100</t>
  </si>
  <si>
    <t>30648800</t>
  </si>
  <si>
    <t>2179210</t>
  </si>
  <si>
    <t>226553</t>
  </si>
  <si>
    <t>49617400</t>
  </si>
  <si>
    <t>17354600</t>
  </si>
  <si>
    <t>1135260</t>
  </si>
  <si>
    <t>122441</t>
  </si>
  <si>
    <t>35082100</t>
  </si>
  <si>
    <t>11502600</t>
  </si>
  <si>
    <t>530294</t>
  </si>
  <si>
    <t>55951</t>
  </si>
  <si>
    <t>27401300</t>
  </si>
  <si>
    <t>8416790</t>
  </si>
  <si>
    <t>370824</t>
  </si>
  <si>
    <t>33617</t>
  </si>
  <si>
    <t>69854200</t>
  </si>
  <si>
    <t>20799400</t>
  </si>
  <si>
    <t>6590060</t>
  </si>
  <si>
    <t>327287</t>
  </si>
  <si>
    <t>47175000</t>
  </si>
  <si>
    <t>10177900</t>
  </si>
  <si>
    <t>2735510</t>
  </si>
  <si>
    <t>145067</t>
  </si>
  <si>
    <t>32734400</t>
  </si>
  <si>
    <t>5814700</t>
  </si>
  <si>
    <t>848757</t>
  </si>
  <si>
    <t>42242</t>
  </si>
  <si>
    <t>25712700</t>
  </si>
  <si>
    <t>4096690</t>
  </si>
  <si>
    <t>529380</t>
  </si>
  <si>
    <t>20216</t>
  </si>
  <si>
    <t>60117900</t>
  </si>
  <si>
    <t>20152300</t>
  </si>
  <si>
    <t>3327360</t>
  </si>
  <si>
    <t>463211</t>
  </si>
  <si>
    <t>40506900</t>
  </si>
  <si>
    <t>9958470</t>
  </si>
  <si>
    <t>1391530</t>
  </si>
  <si>
    <t>208880</t>
  </si>
  <si>
    <t>28529200</t>
  </si>
  <si>
    <t>5643940</t>
  </si>
  <si>
    <t>432501</t>
  </si>
  <si>
    <t>60928</t>
  </si>
  <si>
    <t>22322700</t>
  </si>
  <si>
    <t>3944530</t>
  </si>
  <si>
    <t>269589</t>
  </si>
  <si>
    <t>29277</t>
  </si>
  <si>
    <t>78168200</t>
  </si>
  <si>
    <t>17183300</t>
  </si>
  <si>
    <t>3145570</t>
  </si>
  <si>
    <t>247810</t>
  </si>
  <si>
    <t>52198200</t>
  </si>
  <si>
    <t>8075610</t>
  </si>
  <si>
    <t>1225070</t>
  </si>
  <si>
    <t>107171</t>
  </si>
  <si>
    <t>36002700</t>
  </si>
  <si>
    <t>4385090</t>
  </si>
  <si>
    <t>338622</t>
  </si>
  <si>
    <t>27504</t>
  </si>
  <si>
    <t>28363200</t>
  </si>
  <si>
    <t>3057270</t>
  </si>
  <si>
    <t>208100</t>
  </si>
  <si>
    <t>12612</t>
  </si>
  <si>
    <t>179615000</t>
  </si>
  <si>
    <t>29711800</t>
  </si>
  <si>
    <t>3681550</t>
  </si>
  <si>
    <t>210440</t>
  </si>
  <si>
    <t>121081000</t>
  </si>
  <si>
    <t>12935500</t>
  </si>
  <si>
    <t>1291670</t>
  </si>
  <si>
    <t>81472</t>
  </si>
  <si>
    <t>87644500</t>
  </si>
  <si>
    <t>6652790</t>
  </si>
  <si>
    <t>300359</t>
  </si>
  <si>
    <t>17136</t>
  </si>
  <si>
    <t>68395600</t>
  </si>
  <si>
    <t>4485680</t>
  </si>
  <si>
    <t>170923</t>
  </si>
  <si>
    <t>6877</t>
  </si>
  <si>
    <t>61291800</t>
  </si>
  <si>
    <t>50922700</t>
  </si>
  <si>
    <t>3485310</t>
  </si>
  <si>
    <t>141127</t>
  </si>
  <si>
    <t>40898100</t>
  </si>
  <si>
    <t>25516300</t>
  </si>
  <si>
    <t>1518120</t>
  </si>
  <si>
    <t>64333</t>
  </si>
  <si>
    <t>29573900</t>
  </si>
  <si>
    <t>14991000</t>
  </si>
  <si>
    <t>534353</t>
  </si>
  <si>
    <t>21183</t>
  </si>
  <si>
    <t>23515100</t>
  </si>
  <si>
    <t>10950900</t>
  </si>
  <si>
    <t>350486</t>
  </si>
  <si>
    <t>11016</t>
  </si>
  <si>
    <t>82106800</t>
  </si>
  <si>
    <t>17472700</t>
  </si>
  <si>
    <t>8534280</t>
  </si>
  <si>
    <t>292053</t>
  </si>
  <si>
    <t>52195000</t>
  </si>
  <si>
    <t>7829080</t>
  </si>
  <si>
    <t>3220890</t>
  </si>
  <si>
    <t>116467</t>
  </si>
  <si>
    <t>37304000</t>
  </si>
  <si>
    <t>4364930</t>
  </si>
  <si>
    <t>951063</t>
  </si>
  <si>
    <t>31795</t>
  </si>
  <si>
    <t>29936600</t>
  </si>
  <si>
    <t>3106770</t>
  </si>
  <si>
    <t>593812</t>
  </si>
  <si>
    <t>14988</t>
  </si>
  <si>
    <t>63717700</t>
  </si>
  <si>
    <t>22580400</t>
  </si>
  <si>
    <t>2441430</t>
  </si>
  <si>
    <t>496950</t>
  </si>
  <si>
    <t>39737300</t>
  </si>
  <si>
    <t>10244200</t>
  </si>
  <si>
    <t>939818</t>
  </si>
  <si>
    <t>201337</t>
  </si>
  <si>
    <t>27939700</t>
  </si>
  <si>
    <t>5770680</t>
  </si>
  <si>
    <t>296274</t>
  </si>
  <si>
    <t>59022</t>
  </si>
  <si>
    <t>22601100</t>
  </si>
  <si>
    <t>4237000</t>
  </si>
  <si>
    <t>193175</t>
  </si>
  <si>
    <t>29648</t>
  </si>
  <si>
    <t>106893000</t>
  </si>
  <si>
    <t>40007800</t>
  </si>
  <si>
    <t>3081070</t>
  </si>
  <si>
    <t>327525</t>
  </si>
  <si>
    <t>67757600</t>
  </si>
  <si>
    <t>21569500</t>
  </si>
  <si>
    <t>1553200</t>
  </si>
  <si>
    <t>170123</t>
  </si>
  <si>
    <t>48722500</t>
  </si>
  <si>
    <t>14378000</t>
  </si>
  <si>
    <t>793872</t>
  </si>
  <si>
    <t>85100</t>
  </si>
  <si>
    <t>40169400</t>
  </si>
  <si>
    <t>11290200</t>
  </si>
  <si>
    <t>589549</t>
  </si>
  <si>
    <t>55655</t>
  </si>
  <si>
    <t>101315000</t>
  </si>
  <si>
    <t>31409400</t>
  </si>
  <si>
    <t>9072720</t>
  </si>
  <si>
    <t>531250</t>
  </si>
  <si>
    <t>61384600</t>
  </si>
  <si>
    <t>15836000</t>
  </si>
  <si>
    <t>4255120</t>
  </si>
  <si>
    <t>257901</t>
  </si>
  <si>
    <t>42879900</t>
  </si>
  <si>
    <t>10045100</t>
  </si>
  <si>
    <t>1990290</t>
  </si>
  <si>
    <t>117386</t>
  </si>
  <si>
    <t>34712300</t>
  </si>
  <si>
    <t>7657950</t>
  </si>
  <si>
    <t>1441060</t>
  </si>
  <si>
    <t>73372</t>
  </si>
  <si>
    <t>86374800</t>
  </si>
  <si>
    <t>26587200</t>
  </si>
  <si>
    <t>6123160</t>
  </si>
  <si>
    <t>1236200</t>
  </si>
  <si>
    <t>50476300</t>
  </si>
  <si>
    <t>13323800</t>
  </si>
  <si>
    <t>2907440</t>
  </si>
  <si>
    <t>605063</t>
  </si>
  <si>
    <t>34692300</t>
  </si>
  <si>
    <t>8442250</t>
  </si>
  <si>
    <t>1447620</t>
  </si>
  <si>
    <t>292741</t>
  </si>
  <si>
    <t>27746300</t>
  </si>
  <si>
    <t>6435490</t>
  </si>
  <si>
    <t>1059970</t>
  </si>
  <si>
    <t>189328</t>
  </si>
  <si>
    <t>71992700</t>
  </si>
  <si>
    <t>20685600</t>
  </si>
  <si>
    <t>5003620</t>
  </si>
  <si>
    <t>990629</t>
  </si>
  <si>
    <t>41415600</t>
  </si>
  <si>
    <t>8925520</t>
  </si>
  <si>
    <t>1905610</t>
  </si>
  <si>
    <t>405739</t>
  </si>
  <si>
    <t>28524000</t>
  </si>
  <si>
    <t>4976070</t>
  </si>
  <si>
    <t>644603</t>
  </si>
  <si>
    <t>129592</t>
  </si>
  <si>
    <t>22791400</t>
  </si>
  <si>
    <t>3630220</t>
  </si>
  <si>
    <t>432381</t>
  </si>
  <si>
    <t>68844</t>
  </si>
  <si>
    <t>187461000</t>
  </si>
  <si>
    <t>17254100</t>
  </si>
  <si>
    <t>2892030</t>
  </si>
  <si>
    <t>411602</t>
  </si>
  <si>
    <t>115656000</t>
  </si>
  <si>
    <t>9017270</t>
  </si>
  <si>
    <t>1415910</t>
  </si>
  <si>
    <t>217321</t>
  </si>
  <si>
    <t>84199300</t>
  </si>
  <si>
    <t>5889160</t>
  </si>
  <si>
    <t>701232</t>
  </si>
  <si>
    <t>104582</t>
  </si>
  <si>
    <t>69098300</t>
  </si>
  <si>
    <t>4568030</t>
  </si>
  <si>
    <t>520608</t>
  </si>
  <si>
    <t>67942</t>
  </si>
  <si>
    <t>207076000</t>
  </si>
  <si>
    <t>53385000</t>
  </si>
  <si>
    <t>3640360</t>
  </si>
  <si>
    <t>480421</t>
  </si>
  <si>
    <t>133726000</t>
  </si>
  <si>
    <t>30531200</t>
  </si>
  <si>
    <t>1990710</t>
  </si>
  <si>
    <t>284938</t>
  </si>
  <si>
    <t>98296600</t>
  </si>
  <si>
    <t>21087000</t>
  </si>
  <si>
    <t>1123790</t>
  </si>
  <si>
    <t>157355</t>
  </si>
  <si>
    <t>79595800</t>
  </si>
  <si>
    <t>16611200</t>
  </si>
  <si>
    <t>863891</t>
  </si>
  <si>
    <t>109495</t>
  </si>
  <si>
    <t>122969000</t>
  </si>
  <si>
    <t>61495400</t>
  </si>
  <si>
    <t>13220200</t>
  </si>
  <si>
    <t>793495</t>
  </si>
  <si>
    <t>79254100</t>
  </si>
  <si>
    <t>30613300</t>
  </si>
  <si>
    <t>5920960</t>
  </si>
  <si>
    <t>383167</t>
  </si>
  <si>
    <t>57622900</t>
  </si>
  <si>
    <t>18245300</t>
  </si>
  <si>
    <t>2333960</t>
  </si>
  <si>
    <t>142707</t>
  </si>
  <si>
    <t>45267900</t>
  </si>
  <si>
    <t>13314700</t>
  </si>
  <si>
    <t>1572850</t>
  </si>
  <si>
    <t>78582</t>
  </si>
  <si>
    <t>185692000</t>
  </si>
  <si>
    <t>34718200</t>
  </si>
  <si>
    <t>10421500</t>
  </si>
  <si>
    <t>1309490</t>
  </si>
  <si>
    <t>117098000</t>
  </si>
  <si>
    <t>13326800</t>
  </si>
  <si>
    <t>3202610</t>
  </si>
  <si>
    <t>439887</t>
  </si>
  <si>
    <t>82097100</t>
  </si>
  <si>
    <t>6121320</t>
  </si>
  <si>
    <t>643893</t>
  </si>
  <si>
    <t>79177</t>
  </si>
  <si>
    <t>61806200</t>
  </si>
  <si>
    <t>3957330</t>
  </si>
  <si>
    <t>347692</t>
  </si>
  <si>
    <t>28964</t>
  </si>
  <si>
    <t>238462000</t>
  </si>
  <si>
    <t>46556700</t>
  </si>
  <si>
    <t>3038110</t>
  </si>
  <si>
    <t>294909</t>
  </si>
  <si>
    <t>150741000</t>
  </si>
  <si>
    <t>22923600</t>
  </si>
  <si>
    <t>1345950</t>
  </si>
  <si>
    <t>136050</t>
  </si>
  <si>
    <t>106620000</t>
  </si>
  <si>
    <t>13019700</t>
  </si>
  <si>
    <t>516960</t>
  </si>
  <si>
    <t>49242</t>
  </si>
  <si>
    <t>82311200</t>
  </si>
  <si>
    <t>9342160</t>
  </si>
  <si>
    <t>340258</t>
  </si>
  <si>
    <t>26364</t>
  </si>
  <si>
    <t>224072000</t>
  </si>
  <si>
    <t>62500400</t>
  </si>
  <si>
    <t>7220110</t>
  </si>
  <si>
    <t>288683</t>
  </si>
  <si>
    <t>146115000</t>
  </si>
  <si>
    <t>32076500</t>
  </si>
  <si>
    <t>3347150</t>
  </si>
  <si>
    <t>139137</t>
  </si>
  <si>
    <t>104046000</t>
  </si>
  <si>
    <t>18511000</t>
  </si>
  <si>
    <t>1334680</t>
  </si>
  <si>
    <t>52405</t>
  </si>
  <si>
    <t>79987000</t>
  </si>
  <si>
    <t>13241800</t>
  </si>
  <si>
    <t>870198</t>
  </si>
  <si>
    <t>28021</t>
  </si>
  <si>
    <t>201811000</t>
  </si>
  <si>
    <t>59971200</t>
  </si>
  <si>
    <t>10088300</t>
  </si>
  <si>
    <t>697438</t>
  </si>
  <si>
    <t>131771000</t>
  </si>
  <si>
    <t>30678200</t>
  </si>
  <si>
    <t>4641080</t>
  </si>
  <si>
    <t>333788</t>
  </si>
  <si>
    <t>92451000</t>
  </si>
  <si>
    <t>17377900</t>
  </si>
  <si>
    <t>1813310</t>
  </si>
  <si>
    <t>123070</t>
  </si>
  <si>
    <t>70787200</t>
  </si>
  <si>
    <t>13543000</t>
  </si>
  <si>
    <t>1427830</t>
  </si>
  <si>
    <t>96907</t>
  </si>
  <si>
    <t>144776000</t>
  </si>
  <si>
    <t>51884100</t>
  </si>
  <si>
    <t>10089900</t>
  </si>
  <si>
    <t>1158150</t>
  </si>
  <si>
    <t>92509000</t>
  </si>
  <si>
    <t>21804100</t>
  </si>
  <si>
    <t>3498630</t>
  </si>
  <si>
    <t>428830</t>
  </si>
  <si>
    <t>62833900</t>
  </si>
  <si>
    <t>10226600</t>
  </si>
  <si>
    <t>826983</t>
  </si>
  <si>
    <t>92061</t>
  </si>
  <si>
    <t>46766300</t>
  </si>
  <si>
    <t>7721410</t>
  </si>
  <si>
    <t>630251</t>
  </si>
  <si>
    <t>70160</t>
  </si>
  <si>
    <t>155612000</t>
  </si>
  <si>
    <t>33442500</t>
  </si>
  <si>
    <t>5612500</t>
  </si>
  <si>
    <t>519223</t>
  </si>
  <si>
    <t>99396400</t>
  </si>
  <si>
    <t>14612400</t>
  </si>
  <si>
    <t>2061390</t>
  </si>
  <si>
    <t>202391</t>
  </si>
  <si>
    <t>67569400</t>
  </si>
  <si>
    <t>7095450</t>
  </si>
  <si>
    <t>535878</t>
  </si>
  <si>
    <t>48218</t>
  </si>
  <si>
    <t>50290800</t>
  </si>
  <si>
    <t>5357270</t>
  </si>
  <si>
    <t>408397</t>
  </si>
  <si>
    <t>36748</t>
  </si>
  <si>
    <t>179246000</t>
  </si>
  <si>
    <t>35962900</t>
  </si>
  <si>
    <t>3894070</t>
  </si>
  <si>
    <t>329991</t>
  </si>
  <si>
    <t>114690000</t>
  </si>
  <si>
    <t>19913000</t>
  </si>
  <si>
    <t>2033910</t>
  </si>
  <si>
    <t>176610</t>
  </si>
  <si>
    <t>78641600</t>
  </si>
  <si>
    <t>12027300</t>
  </si>
  <si>
    <t>994978</t>
  </si>
  <si>
    <t>83363</t>
  </si>
  <si>
    <t>58531700</t>
  </si>
  <si>
    <t>9080970</t>
  </si>
  <si>
    <t>758281</t>
  </si>
  <si>
    <t>63532</t>
  </si>
  <si>
    <t>94995400</t>
  </si>
  <si>
    <t>41856000</t>
  </si>
  <si>
    <t>6600730</t>
  </si>
  <si>
    <t>609220</t>
  </si>
  <si>
    <t>60524200</t>
  </si>
  <si>
    <t>12895700</t>
  </si>
  <si>
    <t>1442120</t>
  </si>
  <si>
    <t>148768</t>
  </si>
  <si>
    <t>40623600</t>
  </si>
  <si>
    <t>4538280</t>
  </si>
  <si>
    <t>147520</t>
  </si>
  <si>
    <t>12927</t>
  </si>
  <si>
    <t>30235400</t>
  </si>
  <si>
    <t>3426530</t>
  </si>
  <si>
    <t>112426</t>
  </si>
  <si>
    <t>9852</t>
  </si>
  <si>
    <t>285066000</t>
  </si>
  <si>
    <t>21621400</t>
  </si>
  <si>
    <t>2490660</t>
  </si>
  <si>
    <t>90646</t>
  </si>
  <si>
    <t>182394000</t>
  </si>
  <si>
    <t>11926100</t>
  </si>
  <si>
    <t>1293500</t>
  </si>
  <si>
    <t>48265</t>
  </si>
  <si>
    <t>125048000</t>
  </si>
  <si>
    <t>7177920</t>
  </si>
  <si>
    <t>626335</t>
  </si>
  <si>
    <t>22532</t>
  </si>
  <si>
    <t>93071300</t>
  </si>
  <si>
    <t>5419530</t>
  </si>
  <si>
    <t>477335</t>
  </si>
  <si>
    <t>17171</t>
  </si>
  <si>
    <t>These are proportions…</t>
  </si>
  <si>
    <t>These are instantaneous, if the value was &gt; 1 I made the F be 2.</t>
  </si>
  <si>
    <t>What is the proption of F at age 2</t>
  </si>
  <si>
    <t>Average</t>
  </si>
  <si>
    <t/>
  </si>
  <si>
    <t>These are proportions of catch/numbers</t>
  </si>
  <si>
    <t>This table usies the F(1-2) from Table 11.6.4 and then offsets age 0 and age 3 by the average deviation that I calculated over to the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</si>
</sst>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9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right" vertical="top" indent="2" shrinkToFit="1"/>
    </xf>
    <xf numFmtId="164" fontId="2" fillId="0" borderId="2" xfId="0" applyNumberFormat="1" applyFont="1" applyBorder="1" applyAlignment="1">
      <alignment horizontal="center" vertical="top" shrinkToFit="1"/>
    </xf>
    <xf numFmtId="169" fontId="2" fillId="0" borderId="2" xfId="0" applyNumberFormat="1" applyFont="1" applyBorder="1" applyAlignment="1">
      <alignment horizontal="right" vertical="top" indent="1" shrinkToFit="1"/>
    </xf>
    <xf numFmtId="2" fontId="2" fillId="0" borderId="2" xfId="0" applyNumberFormat="1" applyFont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itHub\Age-structured-marine-fish-database\MSM\archive\sprat_main_tables.xlsx" TargetMode="External"/><Relationship Id="rId1" Type="http://schemas.openxmlformats.org/officeDocument/2006/relationships/externalLinkPath" Target="archive/sprat_main_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2.2-catch"/>
      <sheetName val="11.2.3-weight"/>
      <sheetName val="11.6.1-nat mort"/>
      <sheetName val="11.9.1 -maturity"/>
      <sheetName val="11.6.3 Num quart wide"/>
      <sheetName val="11.6.3 Num quart long"/>
      <sheetName val="FM test"/>
    </sheetNames>
    <sheetDataSet>
      <sheetData sheetId="0">
        <row r="2">
          <cell r="C2">
            <v>0</v>
          </cell>
          <cell r="D2">
            <v>16101061</v>
          </cell>
          <cell r="E2">
            <v>2155723</v>
          </cell>
          <cell r="F2">
            <v>475613</v>
          </cell>
        </row>
        <row r="3">
          <cell r="C3">
            <v>1884146</v>
          </cell>
          <cell r="D3">
            <v>11544114</v>
          </cell>
          <cell r="E3">
            <v>866399</v>
          </cell>
          <cell r="F3">
            <v>48228</v>
          </cell>
        </row>
        <row r="4">
          <cell r="C4">
            <v>2842702</v>
          </cell>
          <cell r="D4">
            <v>11091303</v>
          </cell>
          <cell r="E4">
            <v>1336036</v>
          </cell>
          <cell r="F4">
            <v>34534</v>
          </cell>
        </row>
        <row r="5">
          <cell r="C5">
            <v>1302331</v>
          </cell>
          <cell r="D5">
            <v>2511315</v>
          </cell>
          <cell r="E5">
            <v>359117</v>
          </cell>
          <cell r="F5">
            <v>14822</v>
          </cell>
        </row>
        <row r="6">
          <cell r="C6">
            <v>250931</v>
          </cell>
          <cell r="D6">
            <v>27723510</v>
          </cell>
          <cell r="E6">
            <v>10052550</v>
          </cell>
          <cell r="F6">
            <v>260182</v>
          </cell>
        </row>
        <row r="7">
          <cell r="C7">
            <v>1179567</v>
          </cell>
          <cell r="D7">
            <v>14541887</v>
          </cell>
          <cell r="E7">
            <v>4378415</v>
          </cell>
          <cell r="F7">
            <v>166807</v>
          </cell>
        </row>
        <row r="8">
          <cell r="C8">
            <v>5240024</v>
          </cell>
          <cell r="D8">
            <v>4755878</v>
          </cell>
          <cell r="E8">
            <v>2206781</v>
          </cell>
          <cell r="F8">
            <v>66186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C10">
            <v>2143211</v>
          </cell>
          <cell r="D10">
            <v>42209830</v>
          </cell>
          <cell r="E10">
            <v>2888653</v>
          </cell>
          <cell r="F10">
            <v>180913</v>
          </cell>
        </row>
        <row r="11">
          <cell r="C11">
            <v>7439656</v>
          </cell>
          <cell r="D11">
            <v>18762732</v>
          </cell>
          <cell r="E11">
            <v>1613139</v>
          </cell>
          <cell r="F11">
            <v>88604</v>
          </cell>
        </row>
        <row r="12">
          <cell r="C12">
            <v>7703416</v>
          </cell>
          <cell r="D12">
            <v>6925346</v>
          </cell>
          <cell r="E12">
            <v>267638</v>
          </cell>
          <cell r="F12">
            <v>8289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C14">
            <v>2690194</v>
          </cell>
          <cell r="D14">
            <v>12786056</v>
          </cell>
          <cell r="E14">
            <v>5181867</v>
          </cell>
          <cell r="F14">
            <v>109712</v>
          </cell>
        </row>
        <row r="15">
          <cell r="C15">
            <v>2520082</v>
          </cell>
          <cell r="D15">
            <v>4904593</v>
          </cell>
          <cell r="E15">
            <v>3679153</v>
          </cell>
          <cell r="F15">
            <v>67688</v>
          </cell>
        </row>
        <row r="16">
          <cell r="C16">
            <v>15857197</v>
          </cell>
          <cell r="D16">
            <v>1843468</v>
          </cell>
          <cell r="E16">
            <v>2200876</v>
          </cell>
          <cell r="F16">
            <v>37836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C18">
            <v>454090</v>
          </cell>
          <cell r="D18">
            <v>32184524</v>
          </cell>
          <cell r="E18">
            <v>427473</v>
          </cell>
          <cell r="F18">
            <v>96435</v>
          </cell>
        </row>
        <row r="19">
          <cell r="C19">
            <v>5517665</v>
          </cell>
          <cell r="D19">
            <v>10344970</v>
          </cell>
          <cell r="E19">
            <v>1209584</v>
          </cell>
          <cell r="F19">
            <v>116695</v>
          </cell>
        </row>
        <row r="20">
          <cell r="C20">
            <v>6154606</v>
          </cell>
          <cell r="D20">
            <v>4973568</v>
          </cell>
          <cell r="E20">
            <v>1119045</v>
          </cell>
          <cell r="F20">
            <v>29941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C22">
            <v>3579389</v>
          </cell>
          <cell r="D22">
            <v>36866800</v>
          </cell>
          <cell r="E22">
            <v>644042</v>
          </cell>
          <cell r="F22">
            <v>117139</v>
          </cell>
        </row>
        <row r="23">
          <cell r="C23">
            <v>1052920</v>
          </cell>
          <cell r="D23">
            <v>11355949</v>
          </cell>
          <cell r="E23">
            <v>2152261</v>
          </cell>
          <cell r="F23">
            <v>63386</v>
          </cell>
        </row>
        <row r="24">
          <cell r="C24">
            <v>3882781</v>
          </cell>
          <cell r="D24">
            <v>6399259</v>
          </cell>
          <cell r="E24">
            <v>332781</v>
          </cell>
          <cell r="F24">
            <v>25964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C26">
            <v>0</v>
          </cell>
          <cell r="D26">
            <v>14237558</v>
          </cell>
          <cell r="E26">
            <v>17421360</v>
          </cell>
          <cell r="F26">
            <v>1481066</v>
          </cell>
        </row>
        <row r="27">
          <cell r="C27">
            <v>0</v>
          </cell>
          <cell r="D27">
            <v>9415158</v>
          </cell>
          <cell r="E27">
            <v>11520576</v>
          </cell>
          <cell r="F27">
            <v>979415</v>
          </cell>
        </row>
        <row r="28">
          <cell r="C28">
            <v>2536060</v>
          </cell>
          <cell r="D28">
            <v>3866612</v>
          </cell>
          <cell r="E28">
            <v>389674</v>
          </cell>
          <cell r="F28">
            <v>8724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C30">
            <v>428776</v>
          </cell>
          <cell r="D30">
            <v>12322431</v>
          </cell>
          <cell r="E30">
            <v>1483241</v>
          </cell>
          <cell r="F30">
            <v>130805</v>
          </cell>
        </row>
        <row r="31">
          <cell r="C31">
            <v>40632</v>
          </cell>
          <cell r="D31">
            <v>3540737</v>
          </cell>
          <cell r="E31">
            <v>3025289</v>
          </cell>
          <cell r="F31">
            <v>202048</v>
          </cell>
        </row>
        <row r="32">
          <cell r="C32">
            <v>374254</v>
          </cell>
          <cell r="D32">
            <v>3854059</v>
          </cell>
          <cell r="E32">
            <v>319763</v>
          </cell>
          <cell r="F32">
            <v>9835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C34">
            <v>545769</v>
          </cell>
          <cell r="D34">
            <v>6350511</v>
          </cell>
          <cell r="E34">
            <v>601581</v>
          </cell>
          <cell r="F34">
            <v>64879</v>
          </cell>
        </row>
        <row r="35">
          <cell r="C35">
            <v>818525</v>
          </cell>
          <cell r="D35">
            <v>5021082</v>
          </cell>
          <cell r="E35">
            <v>1070960</v>
          </cell>
          <cell r="F35">
            <v>55333</v>
          </cell>
        </row>
        <row r="36">
          <cell r="C36">
            <v>2530673</v>
          </cell>
          <cell r="D36">
            <v>401839</v>
          </cell>
          <cell r="E36">
            <v>46913</v>
          </cell>
          <cell r="F36">
            <v>3525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C38">
            <v>5613728</v>
          </cell>
          <cell r="D38">
            <v>2819244</v>
          </cell>
          <cell r="E38">
            <v>969599</v>
          </cell>
          <cell r="F38">
            <v>155653</v>
          </cell>
        </row>
        <row r="39">
          <cell r="C39">
            <v>2375763</v>
          </cell>
          <cell r="D39">
            <v>1334333</v>
          </cell>
          <cell r="E39">
            <v>588678</v>
          </cell>
          <cell r="F39">
            <v>91112</v>
          </cell>
        </row>
        <row r="40">
          <cell r="C40">
            <v>1697718</v>
          </cell>
          <cell r="D40">
            <v>596857</v>
          </cell>
          <cell r="E40">
            <v>7271</v>
          </cell>
          <cell r="F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</row>
        <row r="42">
          <cell r="C42">
            <v>954757</v>
          </cell>
          <cell r="D42">
            <v>6475021</v>
          </cell>
          <cell r="E42">
            <v>417235</v>
          </cell>
          <cell r="F42">
            <v>2532</v>
          </cell>
        </row>
        <row r="43">
          <cell r="C43">
            <v>521866</v>
          </cell>
          <cell r="D43">
            <v>2535354</v>
          </cell>
          <cell r="E43">
            <v>247654</v>
          </cell>
          <cell r="F43">
            <v>4803</v>
          </cell>
        </row>
        <row r="44">
          <cell r="C44">
            <v>405095</v>
          </cell>
          <cell r="D44">
            <v>612407</v>
          </cell>
          <cell r="E44">
            <v>10648</v>
          </cell>
          <cell r="F44">
            <v>1053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46">
          <cell r="C46">
            <v>0</v>
          </cell>
          <cell r="D46">
            <v>1304457</v>
          </cell>
          <cell r="E46">
            <v>1972027</v>
          </cell>
          <cell r="F46">
            <v>37680</v>
          </cell>
        </row>
        <row r="47">
          <cell r="C47">
            <v>0</v>
          </cell>
          <cell r="D47">
            <v>576004</v>
          </cell>
          <cell r="E47">
            <v>870780</v>
          </cell>
          <cell r="F47">
            <v>16638</v>
          </cell>
        </row>
        <row r="48">
          <cell r="C48">
            <v>84760</v>
          </cell>
          <cell r="D48">
            <v>215856</v>
          </cell>
          <cell r="E48">
            <v>150819</v>
          </cell>
          <cell r="F48">
            <v>14916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</row>
        <row r="50">
          <cell r="C50">
            <v>0</v>
          </cell>
          <cell r="D50">
            <v>177780</v>
          </cell>
          <cell r="E50">
            <v>452745</v>
          </cell>
          <cell r="F50">
            <v>347620</v>
          </cell>
        </row>
        <row r="51">
          <cell r="C51">
            <v>0</v>
          </cell>
          <cell r="D51">
            <v>156913</v>
          </cell>
          <cell r="E51">
            <v>399604</v>
          </cell>
          <cell r="F51">
            <v>306818</v>
          </cell>
        </row>
        <row r="52">
          <cell r="C52">
            <v>580936</v>
          </cell>
          <cell r="D52">
            <v>58710</v>
          </cell>
          <cell r="E52">
            <v>740</v>
          </cell>
          <cell r="F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</row>
        <row r="54">
          <cell r="C54">
            <v>2236</v>
          </cell>
          <cell r="D54">
            <v>2250587</v>
          </cell>
          <cell r="E54">
            <v>128512</v>
          </cell>
          <cell r="F54">
            <v>2525</v>
          </cell>
        </row>
        <row r="55">
          <cell r="C55">
            <v>49451</v>
          </cell>
          <cell r="D55">
            <v>1790264</v>
          </cell>
          <cell r="E55">
            <v>267597</v>
          </cell>
          <cell r="F55">
            <v>978</v>
          </cell>
        </row>
        <row r="56">
          <cell r="C56">
            <v>209788</v>
          </cell>
          <cell r="D56">
            <v>826994</v>
          </cell>
          <cell r="E56">
            <v>34626</v>
          </cell>
          <cell r="F56">
            <v>32980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</row>
        <row r="58">
          <cell r="C58">
            <v>4082942</v>
          </cell>
          <cell r="D58">
            <v>2096911</v>
          </cell>
          <cell r="E58">
            <v>2830054</v>
          </cell>
          <cell r="F58">
            <v>42364</v>
          </cell>
        </row>
        <row r="59">
          <cell r="C59">
            <v>1163964</v>
          </cell>
          <cell r="D59">
            <v>314106</v>
          </cell>
          <cell r="E59">
            <v>527986</v>
          </cell>
          <cell r="F59">
            <v>11526</v>
          </cell>
        </row>
        <row r="60">
          <cell r="C60">
            <v>1817700</v>
          </cell>
          <cell r="D60">
            <v>637489</v>
          </cell>
          <cell r="E60">
            <v>129384</v>
          </cell>
          <cell r="F60">
            <v>5491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</row>
        <row r="62">
          <cell r="C62">
            <v>12451</v>
          </cell>
          <cell r="D62">
            <v>1706824</v>
          </cell>
          <cell r="E62">
            <v>3613841</v>
          </cell>
          <cell r="F62">
            <v>5716</v>
          </cell>
        </row>
        <row r="63">
          <cell r="C63">
            <v>783</v>
          </cell>
          <cell r="D63">
            <v>76415</v>
          </cell>
          <cell r="E63">
            <v>88925</v>
          </cell>
          <cell r="F63">
            <v>342</v>
          </cell>
        </row>
        <row r="64">
          <cell r="C64">
            <v>469458</v>
          </cell>
          <cell r="D64">
            <v>416920</v>
          </cell>
          <cell r="E64">
            <v>34789</v>
          </cell>
          <cell r="F64">
            <v>12751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</row>
        <row r="66">
          <cell r="C66">
            <v>1568</v>
          </cell>
          <cell r="D66">
            <v>2633068</v>
          </cell>
          <cell r="E66">
            <v>2234213</v>
          </cell>
          <cell r="F66">
            <v>342514</v>
          </cell>
        </row>
        <row r="67">
          <cell r="C67">
            <v>1225</v>
          </cell>
          <cell r="D67">
            <v>2058041</v>
          </cell>
          <cell r="E67">
            <v>1746290</v>
          </cell>
          <cell r="F67">
            <v>267714</v>
          </cell>
        </row>
        <row r="68">
          <cell r="C68">
            <v>291837</v>
          </cell>
          <cell r="D68">
            <v>62050</v>
          </cell>
          <cell r="E68">
            <v>1941</v>
          </cell>
          <cell r="F68">
            <v>429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</row>
        <row r="70">
          <cell r="C70">
            <v>40504</v>
          </cell>
          <cell r="D70">
            <v>1684266</v>
          </cell>
          <cell r="E70">
            <v>2416750</v>
          </cell>
          <cell r="F70">
            <v>8159</v>
          </cell>
        </row>
        <row r="71">
          <cell r="C71">
            <v>1552315</v>
          </cell>
          <cell r="D71">
            <v>2936717</v>
          </cell>
          <cell r="E71">
            <v>614233</v>
          </cell>
          <cell r="F71">
            <v>9587</v>
          </cell>
        </row>
        <row r="72">
          <cell r="C72">
            <v>208352</v>
          </cell>
          <cell r="D72">
            <v>64565</v>
          </cell>
          <cell r="E72">
            <v>1036</v>
          </cell>
          <cell r="F72">
            <v>99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</row>
        <row r="74">
          <cell r="C74">
            <v>18948</v>
          </cell>
          <cell r="D74">
            <v>9695465</v>
          </cell>
          <cell r="E74">
            <v>1315325</v>
          </cell>
          <cell r="F74">
            <v>177584</v>
          </cell>
        </row>
        <row r="75">
          <cell r="C75">
            <v>222991</v>
          </cell>
          <cell r="D75">
            <v>1185132</v>
          </cell>
          <cell r="E75">
            <v>132166</v>
          </cell>
          <cell r="F75">
            <v>16491</v>
          </cell>
        </row>
        <row r="76">
          <cell r="C76">
            <v>1279875</v>
          </cell>
          <cell r="D76">
            <v>1583952</v>
          </cell>
          <cell r="E76">
            <v>259251</v>
          </cell>
          <cell r="F76">
            <v>5821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</row>
        <row r="78">
          <cell r="C78">
            <v>264173</v>
          </cell>
          <cell r="D78">
            <v>3026867</v>
          </cell>
          <cell r="E78">
            <v>5339043</v>
          </cell>
          <cell r="F78">
            <v>247839</v>
          </cell>
        </row>
        <row r="79">
          <cell r="C79">
            <v>1441317</v>
          </cell>
          <cell r="D79">
            <v>4911453</v>
          </cell>
          <cell r="E79">
            <v>1324444</v>
          </cell>
          <cell r="F79">
            <v>31435</v>
          </cell>
        </row>
        <row r="80">
          <cell r="C80">
            <v>1867838</v>
          </cell>
          <cell r="D80">
            <v>1819506</v>
          </cell>
          <cell r="E80">
            <v>338969</v>
          </cell>
          <cell r="F80">
            <v>43965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</row>
        <row r="82">
          <cell r="C82">
            <v>445326</v>
          </cell>
          <cell r="D82">
            <v>40720484</v>
          </cell>
          <cell r="E82">
            <v>516854</v>
          </cell>
          <cell r="F82">
            <v>100737</v>
          </cell>
        </row>
        <row r="83">
          <cell r="C83">
            <v>1856101</v>
          </cell>
          <cell r="D83">
            <v>7146622</v>
          </cell>
          <cell r="E83">
            <v>1455656</v>
          </cell>
          <cell r="F83">
            <v>142774</v>
          </cell>
        </row>
        <row r="84">
          <cell r="C84">
            <v>818875</v>
          </cell>
          <cell r="D84">
            <v>2936362</v>
          </cell>
          <cell r="E84">
            <v>559871</v>
          </cell>
          <cell r="F84">
            <v>22813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C86">
            <v>170693</v>
          </cell>
          <cell r="D86">
            <v>24466578</v>
          </cell>
          <cell r="E86">
            <v>3192395</v>
          </cell>
          <cell r="F86">
            <v>371759</v>
          </cell>
        </row>
        <row r="87">
          <cell r="C87">
            <v>612010</v>
          </cell>
          <cell r="D87">
            <v>8620522</v>
          </cell>
          <cell r="E87">
            <v>2863267</v>
          </cell>
          <cell r="F87">
            <v>505875</v>
          </cell>
        </row>
        <row r="88">
          <cell r="C88">
            <v>1797666</v>
          </cell>
          <cell r="D88">
            <v>4488224</v>
          </cell>
          <cell r="E88">
            <v>533786</v>
          </cell>
          <cell r="F88">
            <v>128194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</row>
        <row r="90">
          <cell r="C90">
            <v>299367</v>
          </cell>
          <cell r="D90">
            <v>233497</v>
          </cell>
          <cell r="E90">
            <v>816511</v>
          </cell>
          <cell r="F90">
            <v>286503</v>
          </cell>
        </row>
        <row r="91">
          <cell r="C91">
            <v>1083655</v>
          </cell>
          <cell r="D91">
            <v>776795</v>
          </cell>
          <cell r="E91">
            <v>2208631</v>
          </cell>
          <cell r="F91">
            <v>911256</v>
          </cell>
        </row>
        <row r="92">
          <cell r="C92">
            <v>1670742</v>
          </cell>
          <cell r="D92">
            <v>289815</v>
          </cell>
          <cell r="E92">
            <v>113580</v>
          </cell>
          <cell r="F92">
            <v>49534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4">
          <cell r="C94">
            <v>6447</v>
          </cell>
          <cell r="D94">
            <v>2286585</v>
          </cell>
          <cell r="E94">
            <v>130593</v>
          </cell>
          <cell r="F94">
            <v>202822</v>
          </cell>
        </row>
        <row r="95">
          <cell r="C95">
            <v>148657</v>
          </cell>
          <cell r="D95">
            <v>4395265</v>
          </cell>
          <cell r="E95">
            <v>1078225</v>
          </cell>
          <cell r="F95">
            <v>277615</v>
          </cell>
        </row>
        <row r="96">
          <cell r="C96">
            <v>596223</v>
          </cell>
          <cell r="D96">
            <v>728240</v>
          </cell>
          <cell r="E96">
            <v>181187</v>
          </cell>
          <cell r="F96">
            <v>46667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C98">
            <v>86124</v>
          </cell>
          <cell r="D98">
            <v>3567341</v>
          </cell>
          <cell r="E98">
            <v>1498339</v>
          </cell>
          <cell r="F98">
            <v>258993</v>
          </cell>
        </row>
        <row r="99">
          <cell r="C99">
            <v>5465889</v>
          </cell>
          <cell r="D99">
            <v>2665032</v>
          </cell>
          <cell r="E99">
            <v>1451844</v>
          </cell>
          <cell r="F99">
            <v>326463</v>
          </cell>
        </row>
        <row r="100">
          <cell r="C100">
            <v>1615982</v>
          </cell>
          <cell r="D100">
            <v>1096547</v>
          </cell>
          <cell r="E100">
            <v>489541</v>
          </cell>
          <cell r="F100">
            <v>241493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</row>
        <row r="102">
          <cell r="C102">
            <v>830</v>
          </cell>
          <cell r="D102">
            <v>15939248</v>
          </cell>
          <cell r="E102">
            <v>477815</v>
          </cell>
          <cell r="F102">
            <v>69219</v>
          </cell>
        </row>
        <row r="103">
          <cell r="C103">
            <v>90557</v>
          </cell>
          <cell r="D103">
            <v>2456063</v>
          </cell>
          <cell r="E103">
            <v>254931</v>
          </cell>
          <cell r="F103">
            <v>44836</v>
          </cell>
        </row>
        <row r="104">
          <cell r="C104">
            <v>1967130</v>
          </cell>
          <cell r="D104">
            <v>3351942</v>
          </cell>
          <cell r="E104">
            <v>641059</v>
          </cell>
          <cell r="F104">
            <v>183015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</row>
        <row r="106">
          <cell r="C106">
            <v>6101</v>
          </cell>
          <cell r="D106">
            <v>9822669</v>
          </cell>
          <cell r="E106">
            <v>1767256</v>
          </cell>
          <cell r="F106">
            <v>70160</v>
          </cell>
        </row>
        <row r="107">
          <cell r="C107">
            <v>81906</v>
          </cell>
          <cell r="D107">
            <v>801375</v>
          </cell>
          <cell r="E107">
            <v>384854</v>
          </cell>
          <cell r="F107">
            <v>49827</v>
          </cell>
        </row>
        <row r="108">
          <cell r="C108">
            <v>1093613</v>
          </cell>
          <cell r="D108">
            <v>2807143</v>
          </cell>
          <cell r="E108">
            <v>1310052</v>
          </cell>
          <cell r="F108">
            <v>176418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</row>
        <row r="110">
          <cell r="C110">
            <v>13056</v>
          </cell>
          <cell r="D110">
            <v>5767627</v>
          </cell>
          <cell r="E110">
            <v>315550</v>
          </cell>
          <cell r="F110">
            <v>7694</v>
          </cell>
        </row>
        <row r="111">
          <cell r="C111">
            <v>550512</v>
          </cell>
          <cell r="D111">
            <v>3967343</v>
          </cell>
          <cell r="E111">
            <v>1528712</v>
          </cell>
          <cell r="F111">
            <v>498496</v>
          </cell>
        </row>
        <row r="112">
          <cell r="C112">
            <v>143017</v>
          </cell>
          <cell r="D112">
            <v>531588</v>
          </cell>
          <cell r="E112">
            <v>59709</v>
          </cell>
          <cell r="F112">
            <v>13418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</row>
        <row r="114">
          <cell r="C114">
            <v>63416</v>
          </cell>
          <cell r="D114">
            <v>6586442</v>
          </cell>
          <cell r="E114">
            <v>594557</v>
          </cell>
          <cell r="F114">
            <v>108679</v>
          </cell>
        </row>
        <row r="115">
          <cell r="C115">
            <v>927294</v>
          </cell>
          <cell r="D115">
            <v>4326530</v>
          </cell>
          <cell r="E115">
            <v>661656</v>
          </cell>
          <cell r="F115">
            <v>59022</v>
          </cell>
        </row>
        <row r="116">
          <cell r="C116">
            <v>1182692</v>
          </cell>
          <cell r="D116">
            <v>1199165</v>
          </cell>
          <cell r="E116">
            <v>296900</v>
          </cell>
          <cell r="F116">
            <v>65718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C118">
            <v>197639</v>
          </cell>
          <cell r="D118">
            <v>4003316</v>
          </cell>
          <cell r="E118">
            <v>594498</v>
          </cell>
          <cell r="F118">
            <v>68144</v>
          </cell>
        </row>
        <row r="119">
          <cell r="C119">
            <v>2785630</v>
          </cell>
          <cell r="D119">
            <v>6826281</v>
          </cell>
          <cell r="E119">
            <v>1115905</v>
          </cell>
          <cell r="F119">
            <v>218400</v>
          </cell>
        </row>
        <row r="120">
          <cell r="C120">
            <v>713229</v>
          </cell>
          <cell r="D120">
            <v>39824</v>
          </cell>
          <cell r="E120">
            <v>29774</v>
          </cell>
          <cell r="F120">
            <v>26427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</row>
        <row r="122">
          <cell r="C122">
            <v>229309</v>
          </cell>
          <cell r="D122">
            <v>4217281</v>
          </cell>
          <cell r="E122">
            <v>731500</v>
          </cell>
          <cell r="F122">
            <v>78913</v>
          </cell>
        </row>
        <row r="123">
          <cell r="C123">
            <v>24806798</v>
          </cell>
          <cell r="D123">
            <v>4735686</v>
          </cell>
          <cell r="E123">
            <v>264373</v>
          </cell>
          <cell r="F123">
            <v>53425</v>
          </cell>
        </row>
        <row r="124">
          <cell r="C124">
            <v>5233945</v>
          </cell>
          <cell r="D124">
            <v>309955</v>
          </cell>
          <cell r="E124">
            <v>44145</v>
          </cell>
          <cell r="F124">
            <v>15707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C126">
            <v>97602</v>
          </cell>
          <cell r="D126">
            <v>13409729</v>
          </cell>
          <cell r="E126">
            <v>479222</v>
          </cell>
          <cell r="F126">
            <v>88858</v>
          </cell>
        </row>
        <row r="127">
          <cell r="C127">
            <v>839944</v>
          </cell>
          <cell r="D127">
            <v>7903545</v>
          </cell>
          <cell r="E127">
            <v>228337</v>
          </cell>
          <cell r="F127">
            <v>22051</v>
          </cell>
        </row>
        <row r="128">
          <cell r="C128">
            <v>1089274</v>
          </cell>
          <cell r="D128">
            <v>5408581</v>
          </cell>
          <cell r="E128">
            <v>230703</v>
          </cell>
          <cell r="F128">
            <v>38557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</row>
        <row r="130">
          <cell r="C130">
            <v>0</v>
          </cell>
          <cell r="D130">
            <v>1987696</v>
          </cell>
          <cell r="E130">
            <v>1401797</v>
          </cell>
          <cell r="F130">
            <v>295158</v>
          </cell>
        </row>
        <row r="131">
          <cell r="C131">
            <v>319709</v>
          </cell>
          <cell r="D131">
            <v>493221</v>
          </cell>
          <cell r="E131">
            <v>1003837</v>
          </cell>
          <cell r="F131">
            <v>235542</v>
          </cell>
        </row>
        <row r="132">
          <cell r="C132">
            <v>176742</v>
          </cell>
          <cell r="D132">
            <v>129541</v>
          </cell>
          <cell r="E132">
            <v>176585</v>
          </cell>
          <cell r="F132">
            <v>10933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</row>
        <row r="134">
          <cell r="C134">
            <v>0</v>
          </cell>
          <cell r="D134">
            <v>1693273</v>
          </cell>
          <cell r="E134">
            <v>189551</v>
          </cell>
          <cell r="F134">
            <v>67672</v>
          </cell>
        </row>
        <row r="135">
          <cell r="C135">
            <v>609939</v>
          </cell>
          <cell r="D135">
            <v>4186796</v>
          </cell>
          <cell r="E135">
            <v>1681648</v>
          </cell>
          <cell r="F135">
            <v>254768</v>
          </cell>
        </row>
        <row r="136">
          <cell r="C136">
            <v>404452</v>
          </cell>
          <cell r="D136">
            <v>329724</v>
          </cell>
          <cell r="E136">
            <v>19675</v>
          </cell>
          <cell r="F136">
            <v>20964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</row>
        <row r="138">
          <cell r="C138">
            <v>11590</v>
          </cell>
          <cell r="D138">
            <v>422430</v>
          </cell>
          <cell r="E138">
            <v>1447939</v>
          </cell>
          <cell r="F138">
            <v>329770</v>
          </cell>
        </row>
        <row r="139">
          <cell r="C139">
            <v>2087187</v>
          </cell>
          <cell r="D139">
            <v>1901763</v>
          </cell>
          <cell r="E139">
            <v>1006626</v>
          </cell>
          <cell r="F139">
            <v>260966</v>
          </cell>
        </row>
        <row r="140">
          <cell r="C140">
            <v>893785</v>
          </cell>
          <cell r="D140">
            <v>131774</v>
          </cell>
          <cell r="E140">
            <v>41692</v>
          </cell>
          <cell r="F140">
            <v>21858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</row>
        <row r="142">
          <cell r="C142">
            <v>0</v>
          </cell>
          <cell r="D142">
            <v>4776947</v>
          </cell>
          <cell r="E142">
            <v>219922</v>
          </cell>
          <cell r="F142">
            <v>39037</v>
          </cell>
        </row>
        <row r="143">
          <cell r="C143">
            <v>231412</v>
          </cell>
          <cell r="D143">
            <v>8163927</v>
          </cell>
          <cell r="E143">
            <v>554425</v>
          </cell>
          <cell r="F143">
            <v>137328</v>
          </cell>
        </row>
        <row r="144">
          <cell r="C144">
            <v>168362</v>
          </cell>
          <cell r="D144">
            <v>3385107</v>
          </cell>
          <cell r="E144">
            <v>519516</v>
          </cell>
          <cell r="F144">
            <v>88967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</row>
        <row r="146">
          <cell r="C146">
            <v>12414</v>
          </cell>
          <cell r="D146">
            <v>1732171</v>
          </cell>
          <cell r="E146">
            <v>689166</v>
          </cell>
          <cell r="F146">
            <v>90040</v>
          </cell>
        </row>
        <row r="147">
          <cell r="C147">
            <v>349703</v>
          </cell>
          <cell r="D147">
            <v>3105417</v>
          </cell>
          <cell r="E147">
            <v>3011291</v>
          </cell>
          <cell r="F147">
            <v>2157387</v>
          </cell>
        </row>
        <row r="148">
          <cell r="C148">
            <v>298472</v>
          </cell>
          <cell r="D148">
            <v>2412405</v>
          </cell>
          <cell r="E148">
            <v>683264</v>
          </cell>
          <cell r="F148">
            <v>90603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</row>
        <row r="150">
          <cell r="C150">
            <v>2469</v>
          </cell>
          <cell r="D150">
            <v>1847215</v>
          </cell>
          <cell r="E150">
            <v>1105017</v>
          </cell>
          <cell r="F150">
            <v>281708</v>
          </cell>
        </row>
        <row r="151">
          <cell r="C151">
            <v>420004</v>
          </cell>
          <cell r="D151">
            <v>4234059</v>
          </cell>
          <cell r="E151">
            <v>2917969</v>
          </cell>
          <cell r="F151">
            <v>999295</v>
          </cell>
        </row>
        <row r="152">
          <cell r="C152">
            <v>57320</v>
          </cell>
          <cell r="D152">
            <v>250247</v>
          </cell>
          <cell r="E152">
            <v>95834</v>
          </cell>
          <cell r="F152">
            <v>42266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</row>
        <row r="154">
          <cell r="C154">
            <v>147896</v>
          </cell>
          <cell r="D154">
            <v>2527701</v>
          </cell>
          <cell r="E154">
            <v>729427</v>
          </cell>
          <cell r="F154">
            <v>121665</v>
          </cell>
        </row>
        <row r="155">
          <cell r="C155">
            <v>187098</v>
          </cell>
          <cell r="D155">
            <v>3756225</v>
          </cell>
          <cell r="E155">
            <v>1690250</v>
          </cell>
          <cell r="F155">
            <v>281071</v>
          </cell>
        </row>
        <row r="156">
          <cell r="C156">
            <v>78240</v>
          </cell>
          <cell r="D156">
            <v>463743</v>
          </cell>
          <cell r="E156">
            <v>86910</v>
          </cell>
          <cell r="F156">
            <v>30157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</row>
        <row r="158">
          <cell r="C158">
            <v>10002</v>
          </cell>
          <cell r="D158">
            <v>1973364</v>
          </cell>
          <cell r="E158">
            <v>411558</v>
          </cell>
          <cell r="F158">
            <v>72705</v>
          </cell>
        </row>
        <row r="159">
          <cell r="C159">
            <v>462029</v>
          </cell>
          <cell r="D159">
            <v>2176971</v>
          </cell>
          <cell r="E159">
            <v>745578</v>
          </cell>
          <cell r="F159">
            <v>144434</v>
          </cell>
        </row>
        <row r="160">
          <cell r="C160">
            <v>193678</v>
          </cell>
          <cell r="D160">
            <v>1554</v>
          </cell>
          <cell r="E160">
            <v>2447</v>
          </cell>
          <cell r="F160">
            <v>4794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</row>
        <row r="162">
          <cell r="C162">
            <v>2640874</v>
          </cell>
          <cell r="D162">
            <v>9499013</v>
          </cell>
          <cell r="E162">
            <v>627237</v>
          </cell>
          <cell r="F162">
            <v>105519</v>
          </cell>
        </row>
        <row r="163">
          <cell r="C163">
            <v>1215080</v>
          </cell>
          <cell r="D163">
            <v>4046244</v>
          </cell>
          <cell r="E163">
            <v>323320</v>
          </cell>
          <cell r="F163">
            <v>92685</v>
          </cell>
        </row>
        <row r="164">
          <cell r="C164">
            <v>1755944</v>
          </cell>
          <cell r="D164">
            <v>2496884</v>
          </cell>
          <cell r="E164">
            <v>177328</v>
          </cell>
          <cell r="F164">
            <v>21685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</row>
        <row r="166">
          <cell r="C166">
            <v>1682642</v>
          </cell>
          <cell r="D166">
            <v>12947813</v>
          </cell>
          <cell r="E166">
            <v>2926867</v>
          </cell>
          <cell r="F166">
            <v>161595</v>
          </cell>
        </row>
        <row r="167">
          <cell r="C167">
            <v>615375</v>
          </cell>
          <cell r="D167">
            <v>10862082</v>
          </cell>
          <cell r="E167">
            <v>1632428</v>
          </cell>
          <cell r="F167">
            <v>226924</v>
          </cell>
        </row>
        <row r="168">
          <cell r="C168">
            <v>374504</v>
          </cell>
          <cell r="D168">
            <v>1926029</v>
          </cell>
          <cell r="E168">
            <v>733105</v>
          </cell>
          <cell r="F168">
            <v>90223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</row>
        <row r="170">
          <cell r="C170">
            <v>4450616</v>
          </cell>
          <cell r="D170">
            <v>12775033</v>
          </cell>
          <cell r="E170">
            <v>4537366</v>
          </cell>
          <cell r="F170">
            <v>439570</v>
          </cell>
        </row>
        <row r="171">
          <cell r="C171">
            <v>3593237</v>
          </cell>
          <cell r="D171">
            <v>1451842</v>
          </cell>
          <cell r="E171">
            <v>1251213</v>
          </cell>
          <cell r="F171">
            <v>301252</v>
          </cell>
        </row>
        <row r="172">
          <cell r="C172">
            <v>533954</v>
          </cell>
          <cell r="D172">
            <v>47715</v>
          </cell>
          <cell r="E172">
            <v>7358</v>
          </cell>
          <cell r="F172">
            <v>2718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</row>
        <row r="174">
          <cell r="C174">
            <v>1767809</v>
          </cell>
          <cell r="D174">
            <v>9076648</v>
          </cell>
          <cell r="E174">
            <v>738627</v>
          </cell>
          <cell r="F174">
            <v>88295</v>
          </cell>
        </row>
        <row r="175">
          <cell r="C175">
            <v>1302514</v>
          </cell>
          <cell r="D175">
            <v>2796713</v>
          </cell>
          <cell r="E175">
            <v>182538</v>
          </cell>
          <cell r="F175">
            <v>82806</v>
          </cell>
        </row>
        <row r="176">
          <cell r="C176">
            <v>658881</v>
          </cell>
          <cell r="D176">
            <v>807010</v>
          </cell>
          <cell r="E176">
            <v>184005</v>
          </cell>
          <cell r="F176">
            <v>68052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</row>
        <row r="178">
          <cell r="C178">
            <v>4548741</v>
          </cell>
          <cell r="D178">
            <v>11562002</v>
          </cell>
          <cell r="E178">
            <v>2878462</v>
          </cell>
          <cell r="F178">
            <v>310552</v>
          </cell>
        </row>
        <row r="179">
          <cell r="C179">
            <v>2090509</v>
          </cell>
          <cell r="D179">
            <v>2888456</v>
          </cell>
          <cell r="E179">
            <v>1516387</v>
          </cell>
          <cell r="F179">
            <v>534059</v>
          </cell>
        </row>
        <row r="180">
          <cell r="C180">
            <v>157673</v>
          </cell>
          <cell r="D180">
            <v>1090798</v>
          </cell>
          <cell r="E180">
            <v>254223</v>
          </cell>
          <cell r="F180">
            <v>15776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C182">
            <v>2420231</v>
          </cell>
          <cell r="D182">
            <v>9775216</v>
          </cell>
          <cell r="E182">
            <v>3342785</v>
          </cell>
          <cell r="F182">
            <v>163696</v>
          </cell>
        </row>
        <row r="183">
          <cell r="C183">
            <v>1010279</v>
          </cell>
          <cell r="D183">
            <v>2433674</v>
          </cell>
          <cell r="E183">
            <v>1045309</v>
          </cell>
          <cell r="F183">
            <v>140003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</row>
        <row r="186">
          <cell r="C186">
            <v>207574</v>
          </cell>
          <cell r="D186">
            <v>10153348</v>
          </cell>
          <cell r="E186">
            <v>3429492</v>
          </cell>
          <cell r="F186">
            <v>429318</v>
          </cell>
        </row>
        <row r="187">
          <cell r="C187">
            <v>97488</v>
          </cell>
          <cell r="D187">
            <v>2773937</v>
          </cell>
          <cell r="E187">
            <v>394226</v>
          </cell>
          <cell r="F187">
            <v>139520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</row>
        <row r="190">
          <cell r="C190">
            <v>539434</v>
          </cell>
          <cell r="D190">
            <v>5840604</v>
          </cell>
          <cell r="E190">
            <v>1505982</v>
          </cell>
          <cell r="F190">
            <v>255540</v>
          </cell>
        </row>
        <row r="191">
          <cell r="C191">
            <v>286005</v>
          </cell>
          <cell r="D191">
            <v>813983</v>
          </cell>
          <cell r="E191">
            <v>392934</v>
          </cell>
          <cell r="F191">
            <v>138813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</row>
        <row r="194">
          <cell r="C194">
            <v>362805</v>
          </cell>
          <cell r="D194">
            <v>7103177</v>
          </cell>
          <cell r="E194">
            <v>813995</v>
          </cell>
          <cell r="F194">
            <v>99384</v>
          </cell>
        </row>
        <row r="195">
          <cell r="C195">
            <v>837407</v>
          </cell>
          <cell r="D195">
            <v>285326</v>
          </cell>
          <cell r="E195">
            <v>351175</v>
          </cell>
          <cell r="F195">
            <v>101040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</row>
        <row r="198">
          <cell r="C198">
            <v>578344</v>
          </cell>
          <cell r="D198">
            <v>4941881</v>
          </cell>
          <cell r="E198">
            <v>1983881</v>
          </cell>
          <cell r="F198">
            <v>98132</v>
          </cell>
        </row>
        <row r="199">
          <cell r="C199">
            <v>540868</v>
          </cell>
          <cell r="D199">
            <v>1499195</v>
          </cell>
          <cell r="E199">
            <v>609059</v>
          </cell>
          <cell r="F199">
            <v>65056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</row>
        <row r="202">
          <cell r="C202">
            <v>7184276</v>
          </cell>
          <cell r="D202">
            <v>2925362</v>
          </cell>
          <cell r="E202">
            <v>882840</v>
          </cell>
          <cell r="F202">
            <v>85536</v>
          </cell>
        </row>
        <row r="203">
          <cell r="C203">
            <v>2579168</v>
          </cell>
          <cell r="D203">
            <v>537779</v>
          </cell>
          <cell r="E203">
            <v>46599</v>
          </cell>
          <cell r="F203">
            <v>8870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52"/>
  <sheetViews>
    <sheetView workbookViewId="0">
      <selection activeCell="H52" sqref="H52"/>
    </sheetView>
  </sheetViews>
  <sheetFormatPr defaultRowHeight="15" x14ac:dyDescent="0.25"/>
  <sheetData>
    <row r="1" spans="1:5" x14ac:dyDescent="0.25">
      <c r="A1" s="1" t="s">
        <v>0</v>
      </c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>
        <v>1974</v>
      </c>
      <c r="B2">
        <v>6029179</v>
      </c>
      <c r="C2">
        <v>41247793</v>
      </c>
      <c r="D2">
        <v>4717275</v>
      </c>
      <c r="E2">
        <v>573197</v>
      </c>
    </row>
    <row r="3" spans="1:5" x14ac:dyDescent="0.25">
      <c r="A3">
        <v>1975</v>
      </c>
      <c r="B3">
        <v>6670522</v>
      </c>
      <c r="C3">
        <v>47021275</v>
      </c>
      <c r="D3">
        <v>16637746</v>
      </c>
      <c r="E3">
        <v>493175</v>
      </c>
    </row>
    <row r="4" spans="1:5" x14ac:dyDescent="0.25">
      <c r="A4">
        <v>1976</v>
      </c>
      <c r="B4">
        <v>17286283</v>
      </c>
      <c r="C4">
        <v>67897908</v>
      </c>
      <c r="D4">
        <v>4769430</v>
      </c>
      <c r="E4">
        <v>277806</v>
      </c>
    </row>
    <row r="5" spans="1:5" x14ac:dyDescent="0.25">
      <c r="A5">
        <v>1977</v>
      </c>
      <c r="B5">
        <v>21067473</v>
      </c>
      <c r="C5">
        <v>19534117</v>
      </c>
      <c r="D5">
        <v>11061896</v>
      </c>
      <c r="E5">
        <v>215236</v>
      </c>
    </row>
    <row r="6" spans="1:5" x14ac:dyDescent="0.25">
      <c r="A6">
        <v>1978</v>
      </c>
      <c r="B6">
        <v>12126361</v>
      </c>
      <c r="C6">
        <v>47503062</v>
      </c>
      <c r="D6">
        <v>2756102</v>
      </c>
      <c r="E6">
        <v>243071</v>
      </c>
    </row>
    <row r="7" spans="1:5" x14ac:dyDescent="0.25">
      <c r="A7">
        <v>1979</v>
      </c>
      <c r="B7">
        <v>8515090</v>
      </c>
      <c r="C7">
        <v>54622008</v>
      </c>
      <c r="D7">
        <v>3129084</v>
      </c>
      <c r="E7">
        <v>206489</v>
      </c>
    </row>
    <row r="8" spans="1:5" x14ac:dyDescent="0.25">
      <c r="A8">
        <v>1980</v>
      </c>
      <c r="B8">
        <v>2536060</v>
      </c>
      <c r="C8">
        <v>27519328</v>
      </c>
      <c r="D8">
        <v>29331610</v>
      </c>
      <c r="E8">
        <v>2469205</v>
      </c>
    </row>
    <row r="9" spans="1:5" x14ac:dyDescent="0.25">
      <c r="A9">
        <v>1981</v>
      </c>
      <c r="B9">
        <v>843662</v>
      </c>
      <c r="C9">
        <v>19717227</v>
      </c>
      <c r="D9">
        <v>4828293</v>
      </c>
      <c r="E9">
        <v>342688</v>
      </c>
    </row>
    <row r="10" spans="1:5" x14ac:dyDescent="0.25">
      <c r="A10">
        <v>1982</v>
      </c>
      <c r="B10">
        <v>3894967</v>
      </c>
      <c r="C10">
        <v>11773432</v>
      </c>
      <c r="D10">
        <v>1719454</v>
      </c>
      <c r="E10">
        <v>123737</v>
      </c>
    </row>
    <row r="11" spans="1:5" x14ac:dyDescent="0.25">
      <c r="A11">
        <v>1983</v>
      </c>
      <c r="B11">
        <v>9687209</v>
      </c>
      <c r="C11">
        <v>4750434</v>
      </c>
      <c r="D11">
        <v>1565548</v>
      </c>
      <c r="E11">
        <v>246765</v>
      </c>
    </row>
    <row r="12" spans="1:5" x14ac:dyDescent="0.25">
      <c r="A12">
        <v>1984</v>
      </c>
      <c r="B12">
        <v>1881718</v>
      </c>
      <c r="C12">
        <v>9622782</v>
      </c>
      <c r="D12">
        <v>675537</v>
      </c>
      <c r="E12">
        <v>8388</v>
      </c>
    </row>
    <row r="13" spans="1:5" x14ac:dyDescent="0.25">
      <c r="A13">
        <v>1985</v>
      </c>
      <c r="B13">
        <v>84760</v>
      </c>
      <c r="C13">
        <v>2096317</v>
      </c>
      <c r="D13">
        <v>2993626</v>
      </c>
      <c r="E13">
        <v>69234</v>
      </c>
    </row>
    <row r="14" spans="1:5" x14ac:dyDescent="0.25">
      <c r="A14">
        <v>1986</v>
      </c>
      <c r="B14">
        <v>580936</v>
      </c>
      <c r="C14">
        <v>393403</v>
      </c>
      <c r="D14">
        <v>853089</v>
      </c>
      <c r="E14">
        <v>654438</v>
      </c>
    </row>
    <row r="15" spans="1:5" x14ac:dyDescent="0.25">
      <c r="A15">
        <v>1987</v>
      </c>
      <c r="B15">
        <v>261475</v>
      </c>
      <c r="C15">
        <v>4867845</v>
      </c>
      <c r="D15">
        <v>430735</v>
      </c>
      <c r="E15">
        <v>36483</v>
      </c>
    </row>
    <row r="16" spans="1:5" x14ac:dyDescent="0.25">
      <c r="A16">
        <v>1988</v>
      </c>
      <c r="B16">
        <v>7064606</v>
      </c>
      <c r="C16">
        <v>3048506</v>
      </c>
      <c r="D16">
        <v>3487424</v>
      </c>
      <c r="E16">
        <v>59381</v>
      </c>
    </row>
    <row r="17" spans="1:5" x14ac:dyDescent="0.25">
      <c r="A17">
        <v>1989</v>
      </c>
      <c r="B17">
        <v>482692</v>
      </c>
      <c r="C17">
        <v>2200159</v>
      </c>
      <c r="D17">
        <v>3737555</v>
      </c>
      <c r="E17">
        <v>18809</v>
      </c>
    </row>
    <row r="18" spans="1:5" x14ac:dyDescent="0.25">
      <c r="A18">
        <v>1990</v>
      </c>
      <c r="B18">
        <v>294630</v>
      </c>
      <c r="C18">
        <v>4753159</v>
      </c>
      <c r="D18">
        <v>3982444</v>
      </c>
      <c r="E18">
        <v>610657</v>
      </c>
    </row>
    <row r="19" spans="1:5" x14ac:dyDescent="0.25">
      <c r="A19">
        <v>1991</v>
      </c>
      <c r="B19">
        <v>1801171</v>
      </c>
      <c r="C19">
        <v>4685548</v>
      </c>
      <c r="D19">
        <v>3032019</v>
      </c>
      <c r="E19">
        <v>17845</v>
      </c>
    </row>
    <row r="20" spans="1:5" x14ac:dyDescent="0.25">
      <c r="A20">
        <v>1992</v>
      </c>
      <c r="B20">
        <v>1521814</v>
      </c>
      <c r="C20">
        <v>12464549</v>
      </c>
      <c r="D20">
        <v>1706742</v>
      </c>
      <c r="E20">
        <v>199896</v>
      </c>
    </row>
    <row r="21" spans="1:5" x14ac:dyDescent="0.25">
      <c r="A21">
        <v>1993</v>
      </c>
      <c r="B21">
        <v>3573328</v>
      </c>
      <c r="C21">
        <v>9757826</v>
      </c>
      <c r="D21">
        <v>7002456</v>
      </c>
      <c r="E21">
        <v>323239</v>
      </c>
    </row>
    <row r="22" spans="1:5" x14ac:dyDescent="0.25">
      <c r="A22">
        <v>1994</v>
      </c>
      <c r="B22">
        <v>3120302</v>
      </c>
      <c r="C22">
        <v>50803468</v>
      </c>
      <c r="D22">
        <v>2532381</v>
      </c>
      <c r="E22">
        <v>266324</v>
      </c>
    </row>
    <row r="23" spans="1:5" x14ac:dyDescent="0.25">
      <c r="A23">
        <v>1995</v>
      </c>
      <c r="B23">
        <v>2580369</v>
      </c>
      <c r="C23">
        <v>37575324</v>
      </c>
      <c r="D23">
        <v>6589448</v>
      </c>
      <c r="E23">
        <v>1005828</v>
      </c>
    </row>
    <row r="24" spans="1:5" x14ac:dyDescent="0.25">
      <c r="A24">
        <v>1996</v>
      </c>
      <c r="B24">
        <v>3053764</v>
      </c>
      <c r="C24">
        <v>1300107</v>
      </c>
      <c r="D24">
        <v>3138722</v>
      </c>
      <c r="E24">
        <v>1247293</v>
      </c>
    </row>
    <row r="25" spans="1:5" x14ac:dyDescent="0.25">
      <c r="A25">
        <v>1997</v>
      </c>
      <c r="B25">
        <v>751327</v>
      </c>
      <c r="C25">
        <v>7410090</v>
      </c>
      <c r="D25">
        <v>1390005</v>
      </c>
      <c r="E25">
        <v>527104</v>
      </c>
    </row>
    <row r="26" spans="1:5" x14ac:dyDescent="0.25">
      <c r="A26">
        <v>1998</v>
      </c>
      <c r="B26">
        <v>7167995</v>
      </c>
      <c r="C26">
        <v>7328920</v>
      </c>
      <c r="D26">
        <v>3439724</v>
      </c>
      <c r="E26">
        <v>826949</v>
      </c>
    </row>
    <row r="27" spans="1:5" x14ac:dyDescent="0.25">
      <c r="A27">
        <v>1999</v>
      </c>
      <c r="B27">
        <v>2058517</v>
      </c>
      <c r="C27">
        <v>21747253</v>
      </c>
      <c r="D27">
        <v>1373805</v>
      </c>
      <c r="E27">
        <v>297070</v>
      </c>
    </row>
    <row r="28" spans="1:5" x14ac:dyDescent="0.25">
      <c r="A28">
        <v>2000</v>
      </c>
      <c r="B28">
        <v>1181620</v>
      </c>
      <c r="C28">
        <v>13431187</v>
      </c>
      <c r="D28">
        <v>3462162</v>
      </c>
      <c r="E28">
        <v>296405</v>
      </c>
    </row>
    <row r="29" spans="1:5" x14ac:dyDescent="0.25">
      <c r="A29">
        <v>2001</v>
      </c>
      <c r="B29">
        <v>706585</v>
      </c>
      <c r="C29">
        <v>10266558</v>
      </c>
      <c r="D29">
        <v>1903971</v>
      </c>
      <c r="E29">
        <v>519608</v>
      </c>
    </row>
    <row r="30" spans="1:5" x14ac:dyDescent="0.25">
      <c r="A30">
        <v>2002</v>
      </c>
      <c r="B30">
        <v>2173402</v>
      </c>
      <c r="C30">
        <v>12112137</v>
      </c>
      <c r="D30">
        <v>1553113</v>
      </c>
      <c r="E30">
        <v>233419</v>
      </c>
    </row>
    <row r="31" spans="1:5" x14ac:dyDescent="0.25">
      <c r="A31">
        <v>2003</v>
      </c>
      <c r="B31">
        <v>3696498</v>
      </c>
      <c r="C31">
        <v>10869421</v>
      </c>
      <c r="D31">
        <v>1740177</v>
      </c>
      <c r="E31">
        <v>312971</v>
      </c>
    </row>
    <row r="32" spans="1:5" x14ac:dyDescent="0.25">
      <c r="A32">
        <v>2004</v>
      </c>
      <c r="B32">
        <v>30270052</v>
      </c>
      <c r="C32">
        <v>9262922</v>
      </c>
      <c r="D32">
        <v>1040018</v>
      </c>
      <c r="E32">
        <v>148045</v>
      </c>
    </row>
    <row r="33" spans="1:5" x14ac:dyDescent="0.25">
      <c r="A33">
        <v>2005</v>
      </c>
      <c r="B33">
        <v>2026820</v>
      </c>
      <c r="C33">
        <v>26721855</v>
      </c>
      <c r="D33">
        <v>938262</v>
      </c>
      <c r="E33">
        <v>149466</v>
      </c>
    </row>
    <row r="34" spans="1:5" x14ac:dyDescent="0.25">
      <c r="A34">
        <v>2006</v>
      </c>
      <c r="B34">
        <v>496451</v>
      </c>
      <c r="C34">
        <v>2610458</v>
      </c>
      <c r="D34">
        <v>2582219</v>
      </c>
      <c r="E34">
        <v>541633</v>
      </c>
    </row>
    <row r="35" spans="1:5" x14ac:dyDescent="0.25">
      <c r="A35">
        <v>2007</v>
      </c>
      <c r="B35">
        <v>1014391</v>
      </c>
      <c r="C35">
        <v>6209793</v>
      </c>
      <c r="D35">
        <v>1890874</v>
      </c>
      <c r="E35">
        <v>343404</v>
      </c>
    </row>
    <row r="36" spans="1:5" x14ac:dyDescent="0.25">
      <c r="A36">
        <v>2008</v>
      </c>
      <c r="B36">
        <v>2992562</v>
      </c>
      <c r="C36">
        <v>2455967</v>
      </c>
      <c r="D36">
        <v>2496257</v>
      </c>
      <c r="E36">
        <v>612594</v>
      </c>
    </row>
    <row r="37" spans="1:5" x14ac:dyDescent="0.25">
      <c r="A37">
        <v>2009</v>
      </c>
      <c r="B37">
        <v>399774</v>
      </c>
      <c r="C37">
        <v>16325981</v>
      </c>
      <c r="D37">
        <v>1293863</v>
      </c>
      <c r="E37">
        <v>265332</v>
      </c>
    </row>
    <row r="38" spans="1:5" x14ac:dyDescent="0.25">
      <c r="A38">
        <v>2010</v>
      </c>
      <c r="B38">
        <v>660589</v>
      </c>
      <c r="C38">
        <v>7249993</v>
      </c>
      <c r="D38">
        <v>4383721</v>
      </c>
      <c r="E38">
        <v>2338030</v>
      </c>
    </row>
    <row r="39" spans="1:5" x14ac:dyDescent="0.25">
      <c r="A39">
        <v>2011</v>
      </c>
      <c r="B39">
        <v>479793</v>
      </c>
      <c r="C39">
        <v>6331521</v>
      </c>
      <c r="D39">
        <v>4118820</v>
      </c>
      <c r="E39">
        <v>1323269</v>
      </c>
    </row>
    <row r="40" spans="1:5" x14ac:dyDescent="0.25">
      <c r="A40">
        <v>2012</v>
      </c>
      <c r="B40">
        <v>413234</v>
      </c>
      <c r="C40">
        <v>6747669</v>
      </c>
      <c r="D40">
        <v>2506587</v>
      </c>
      <c r="E40">
        <v>432893</v>
      </c>
    </row>
    <row r="41" spans="1:5" x14ac:dyDescent="0.25">
      <c r="A41">
        <v>2013</v>
      </c>
      <c r="B41">
        <v>665709</v>
      </c>
      <c r="C41">
        <v>4151889</v>
      </c>
      <c r="D41">
        <v>1159583</v>
      </c>
      <c r="E41">
        <v>221933</v>
      </c>
    </row>
    <row r="42" spans="1:5" x14ac:dyDescent="0.25">
      <c r="A42">
        <v>2014</v>
      </c>
      <c r="B42">
        <v>5611898</v>
      </c>
      <c r="C42">
        <v>16042141</v>
      </c>
      <c r="D42">
        <v>1127885</v>
      </c>
      <c r="E42">
        <v>219889</v>
      </c>
    </row>
    <row r="43" spans="1:5" x14ac:dyDescent="0.25">
      <c r="A43">
        <v>2015</v>
      </c>
      <c r="B43">
        <v>2672521</v>
      </c>
      <c r="C43">
        <v>25735924</v>
      </c>
      <c r="D43">
        <v>5292400</v>
      </c>
      <c r="E43">
        <v>478742</v>
      </c>
    </row>
    <row r="44" spans="1:5" x14ac:dyDescent="0.25">
      <c r="A44">
        <v>2016</v>
      </c>
      <c r="B44">
        <v>8577807</v>
      </c>
      <c r="C44">
        <v>14274590</v>
      </c>
      <c r="D44">
        <v>5795937</v>
      </c>
      <c r="E44">
        <v>743540</v>
      </c>
    </row>
    <row r="45" spans="1:5" x14ac:dyDescent="0.25">
      <c r="A45">
        <v>2017</v>
      </c>
      <c r="B45">
        <v>3729204</v>
      </c>
      <c r="C45">
        <v>12680371</v>
      </c>
      <c r="D45">
        <v>1105170</v>
      </c>
      <c r="E45">
        <v>239153</v>
      </c>
    </row>
    <row r="46" spans="1:5" x14ac:dyDescent="0.25">
      <c r="A46">
        <v>2018</v>
      </c>
      <c r="B46">
        <v>6796923</v>
      </c>
      <c r="C46">
        <v>15541256</v>
      </c>
      <c r="D46">
        <v>4649072</v>
      </c>
      <c r="E46">
        <v>860387</v>
      </c>
    </row>
    <row r="47" spans="1:5" x14ac:dyDescent="0.25">
      <c r="A47">
        <v>2019</v>
      </c>
      <c r="B47">
        <v>3430510</v>
      </c>
      <c r="C47">
        <v>12208890</v>
      </c>
      <c r="D47">
        <v>4388094</v>
      </c>
      <c r="E47">
        <v>303699</v>
      </c>
    </row>
    <row r="48" spans="1:5" x14ac:dyDescent="0.25">
      <c r="A48">
        <v>2020</v>
      </c>
      <c r="B48">
        <v>305062</v>
      </c>
      <c r="C48">
        <v>12927285</v>
      </c>
      <c r="D48">
        <v>3823718</v>
      </c>
      <c r="E48">
        <v>568838</v>
      </c>
    </row>
    <row r="49" spans="1:5" x14ac:dyDescent="0.25">
      <c r="A49">
        <v>2021</v>
      </c>
      <c r="B49">
        <v>825439</v>
      </c>
      <c r="C49">
        <v>6654587</v>
      </c>
      <c r="D49">
        <v>1898916</v>
      </c>
      <c r="E49">
        <v>394353</v>
      </c>
    </row>
    <row r="50" spans="1:5" x14ac:dyDescent="0.25">
      <c r="A50">
        <v>2022</v>
      </c>
      <c r="B50">
        <v>1200212</v>
      </c>
      <c r="C50">
        <v>7388503</v>
      </c>
      <c r="D50">
        <v>1165170</v>
      </c>
      <c r="E50">
        <v>200424</v>
      </c>
    </row>
    <row r="51" spans="1:5" x14ac:dyDescent="0.25">
      <c r="A51">
        <v>2023</v>
      </c>
      <c r="B51">
        <v>1119212</v>
      </c>
      <c r="C51">
        <v>6441076</v>
      </c>
      <c r="D51">
        <v>2592940</v>
      </c>
      <c r="E51">
        <v>163188</v>
      </c>
    </row>
    <row r="52" spans="1:5" x14ac:dyDescent="0.25">
      <c r="A52">
        <v>2024</v>
      </c>
      <c r="B52">
        <v>9763444</v>
      </c>
      <c r="C52">
        <v>3463141</v>
      </c>
      <c r="D52">
        <v>929439</v>
      </c>
      <c r="E52">
        <v>94406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F52"/>
  <sheetViews>
    <sheetView topLeftCell="A18" workbookViewId="0">
      <selection activeCell="C2" sqref="C2:F52"/>
    </sheetView>
  </sheetViews>
  <sheetFormatPr defaultRowHeight="15" x14ac:dyDescent="0.25"/>
  <sheetData>
    <row r="1" spans="1:6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>
        <v>1974</v>
      </c>
      <c r="B2">
        <v>2</v>
      </c>
      <c r="C2">
        <v>5.7999999999999996E-3</v>
      </c>
      <c r="D2">
        <v>8.8999999999999999E-3</v>
      </c>
      <c r="E2">
        <v>1.4999999999999999E-2</v>
      </c>
      <c r="F2">
        <v>1.9699999999999999E-2</v>
      </c>
    </row>
    <row r="3" spans="1:6" x14ac:dyDescent="0.25">
      <c r="A3">
        <v>1975</v>
      </c>
      <c r="B3">
        <v>2</v>
      </c>
      <c r="C3">
        <v>7.4999999999999997E-3</v>
      </c>
      <c r="D3">
        <v>1.11E-2</v>
      </c>
      <c r="E3">
        <v>1.6799999999999999E-2</v>
      </c>
      <c r="F3">
        <v>2.1600000000000001E-2</v>
      </c>
    </row>
    <row r="4" spans="1:6" x14ac:dyDescent="0.25">
      <c r="A4">
        <v>1976</v>
      </c>
      <c r="B4">
        <v>2</v>
      </c>
      <c r="C4">
        <v>4.3E-3</v>
      </c>
      <c r="D4">
        <v>8.9999999999999993E-3</v>
      </c>
      <c r="E4">
        <v>1.5299999999999999E-2</v>
      </c>
      <c r="F4">
        <v>1.9E-2</v>
      </c>
    </row>
    <row r="5" spans="1:6" x14ac:dyDescent="0.25">
      <c r="A5">
        <v>1977</v>
      </c>
      <c r="B5">
        <v>2</v>
      </c>
      <c r="C5">
        <v>5.8999999999999999E-3</v>
      </c>
      <c r="D5">
        <v>1.0999999999999999E-2</v>
      </c>
      <c r="E5">
        <v>1.46E-2</v>
      </c>
      <c r="F5">
        <v>1.9599999999999999E-2</v>
      </c>
    </row>
    <row r="6" spans="1:6" x14ac:dyDescent="0.25">
      <c r="A6">
        <v>1978</v>
      </c>
      <c r="B6">
        <v>2</v>
      </c>
      <c r="C6">
        <v>4.4000000000000003E-3</v>
      </c>
      <c r="D6">
        <v>1.03E-2</v>
      </c>
      <c r="E6">
        <v>1.55E-2</v>
      </c>
      <c r="F6">
        <v>1.9599999999999999E-2</v>
      </c>
    </row>
    <row r="7" spans="1:6" x14ac:dyDescent="0.25">
      <c r="A7">
        <v>1979</v>
      </c>
      <c r="B7">
        <v>2</v>
      </c>
      <c r="C7">
        <v>5.7000000000000002E-3</v>
      </c>
      <c r="D7">
        <v>1.0500000000000001E-2</v>
      </c>
      <c r="E7">
        <v>1.4999999999999999E-2</v>
      </c>
      <c r="F7">
        <v>1.7299999999999999E-2</v>
      </c>
    </row>
    <row r="8" spans="1:6" x14ac:dyDescent="0.25">
      <c r="A8">
        <v>1980</v>
      </c>
      <c r="B8">
        <v>2</v>
      </c>
      <c r="C8">
        <v>5.1000000000000004E-3</v>
      </c>
      <c r="D8">
        <v>5.1999999999999998E-3</v>
      </c>
      <c r="E8">
        <v>6.8999999999999999E-3</v>
      </c>
      <c r="F8">
        <v>8.3000000000000001E-3</v>
      </c>
    </row>
    <row r="9" spans="1:6" x14ac:dyDescent="0.25">
      <c r="A9">
        <v>1981</v>
      </c>
      <c r="B9">
        <v>2</v>
      </c>
      <c r="C9">
        <v>8.2000000000000007E-3</v>
      </c>
      <c r="D9">
        <v>1.26E-2</v>
      </c>
      <c r="E9">
        <v>1.5299999999999999E-2</v>
      </c>
      <c r="F9">
        <v>1.9400000000000001E-2</v>
      </c>
    </row>
    <row r="10" spans="1:6" x14ac:dyDescent="0.25">
      <c r="A10">
        <v>1982</v>
      </c>
      <c r="B10">
        <v>2</v>
      </c>
      <c r="C10">
        <v>7.1000000000000004E-3</v>
      </c>
      <c r="D10">
        <v>1.0999999999999999E-2</v>
      </c>
      <c r="E10">
        <v>1.6E-2</v>
      </c>
      <c r="F10">
        <v>2.1899999999999999E-2</v>
      </c>
    </row>
    <row r="11" spans="1:6" x14ac:dyDescent="0.25">
      <c r="A11">
        <v>1983</v>
      </c>
      <c r="B11">
        <v>2</v>
      </c>
      <c r="C11">
        <v>4.1999999999999997E-3</v>
      </c>
      <c r="D11">
        <v>1.24E-2</v>
      </c>
      <c r="E11">
        <v>1.6899999999999998E-2</v>
      </c>
      <c r="F11">
        <v>2.1100000000000001E-2</v>
      </c>
    </row>
    <row r="12" spans="1:6" x14ac:dyDescent="0.25">
      <c r="A12">
        <v>1984</v>
      </c>
      <c r="B12">
        <v>2</v>
      </c>
      <c r="C12">
        <v>5.3E-3</v>
      </c>
      <c r="D12">
        <v>1.2200000000000001E-2</v>
      </c>
      <c r="E12">
        <v>1.6799999999999999E-2</v>
      </c>
      <c r="F12">
        <v>1.6400000000000001E-2</v>
      </c>
    </row>
    <row r="13" spans="1:6" x14ac:dyDescent="0.25">
      <c r="A13">
        <v>1985</v>
      </c>
      <c r="B13">
        <v>2</v>
      </c>
      <c r="C13">
        <v>5.1000000000000004E-3</v>
      </c>
      <c r="D13">
        <v>9.2999999999999992E-3</v>
      </c>
      <c r="E13">
        <v>1.35E-2</v>
      </c>
      <c r="F13">
        <v>1.9699999999999999E-2</v>
      </c>
    </row>
    <row r="14" spans="1:6" x14ac:dyDescent="0.25">
      <c r="A14">
        <v>1986</v>
      </c>
      <c r="B14">
        <v>2</v>
      </c>
      <c r="C14">
        <v>5.1000000000000004E-3</v>
      </c>
      <c r="D14">
        <v>7.3000000000000001E-3</v>
      </c>
      <c r="E14">
        <v>9.9000000000000008E-3</v>
      </c>
      <c r="F14">
        <v>1.66E-2</v>
      </c>
    </row>
    <row r="15" spans="1:6" x14ac:dyDescent="0.25">
      <c r="A15">
        <v>1987</v>
      </c>
      <c r="B15">
        <v>2</v>
      </c>
      <c r="C15">
        <v>6.0000000000000001E-3</v>
      </c>
      <c r="D15">
        <v>9.2999999999999992E-3</v>
      </c>
      <c r="E15">
        <v>1.12E-2</v>
      </c>
      <c r="F15">
        <v>1.6500000000000001E-2</v>
      </c>
    </row>
    <row r="16" spans="1:6" x14ac:dyDescent="0.25">
      <c r="A16">
        <v>1988</v>
      </c>
      <c r="B16">
        <v>2</v>
      </c>
      <c r="C16">
        <v>4.5999999999999999E-3</v>
      </c>
      <c r="D16">
        <v>8.5000000000000006E-3</v>
      </c>
      <c r="E16">
        <v>1.1299999999999999E-2</v>
      </c>
      <c r="F16">
        <v>1.37E-2</v>
      </c>
    </row>
    <row r="17" spans="1:6" x14ac:dyDescent="0.25">
      <c r="A17">
        <v>1989</v>
      </c>
      <c r="B17">
        <v>2</v>
      </c>
      <c r="C17">
        <v>4.4000000000000003E-3</v>
      </c>
      <c r="D17">
        <v>8.2000000000000007E-3</v>
      </c>
      <c r="E17">
        <v>1.09E-2</v>
      </c>
      <c r="F17">
        <v>1.2999999999999999E-2</v>
      </c>
    </row>
    <row r="18" spans="1:6" x14ac:dyDescent="0.25">
      <c r="A18">
        <v>1990</v>
      </c>
      <c r="B18">
        <v>2</v>
      </c>
      <c r="C18">
        <v>3.8E-3</v>
      </c>
      <c r="D18">
        <v>6.8999999999999999E-3</v>
      </c>
      <c r="E18">
        <v>9.1999999999999998E-3</v>
      </c>
      <c r="F18">
        <v>1.1299999999999999E-2</v>
      </c>
    </row>
    <row r="19" spans="1:6" x14ac:dyDescent="0.25">
      <c r="A19">
        <v>1991</v>
      </c>
      <c r="B19">
        <v>2</v>
      </c>
      <c r="C19">
        <v>4.7999999999999996E-3</v>
      </c>
      <c r="D19">
        <v>1.46E-2</v>
      </c>
      <c r="E19">
        <v>1.89E-2</v>
      </c>
      <c r="F19">
        <v>1.6799999999999999E-2</v>
      </c>
    </row>
    <row r="20" spans="1:6" x14ac:dyDescent="0.25">
      <c r="A20">
        <v>1992</v>
      </c>
      <c r="B20">
        <v>2</v>
      </c>
      <c r="C20">
        <v>5.7999999999999996E-3</v>
      </c>
      <c r="D20">
        <v>1.21E-2</v>
      </c>
      <c r="E20">
        <v>1.5299999999999999E-2</v>
      </c>
      <c r="F20">
        <v>1.78E-2</v>
      </c>
    </row>
    <row r="21" spans="1:6" x14ac:dyDescent="0.25">
      <c r="A21">
        <v>1993</v>
      </c>
      <c r="B21">
        <v>2</v>
      </c>
      <c r="C21">
        <v>7.4999999999999997E-3</v>
      </c>
      <c r="D21">
        <v>1.0699999999999999E-2</v>
      </c>
      <c r="E21">
        <v>1.35E-2</v>
      </c>
      <c r="F21">
        <v>1.6400000000000001E-2</v>
      </c>
    </row>
    <row r="22" spans="1:6" x14ac:dyDescent="0.25">
      <c r="A22">
        <v>1994</v>
      </c>
      <c r="B22">
        <v>2</v>
      </c>
      <c r="C22">
        <v>8.6999999999999994E-3</v>
      </c>
      <c r="D22">
        <v>1.04E-2</v>
      </c>
      <c r="E22">
        <v>1.2500000000000001E-2</v>
      </c>
      <c r="F22">
        <v>1.5100000000000001E-2</v>
      </c>
    </row>
    <row r="23" spans="1:6" x14ac:dyDescent="0.25">
      <c r="A23">
        <v>1995</v>
      </c>
      <c r="B23">
        <v>2</v>
      </c>
      <c r="C23">
        <v>5.1000000000000004E-3</v>
      </c>
      <c r="D23">
        <v>1.01E-2</v>
      </c>
      <c r="E23">
        <v>1.3299999999999999E-2</v>
      </c>
      <c r="F23">
        <v>1.55E-2</v>
      </c>
    </row>
    <row r="24" spans="1:6" x14ac:dyDescent="0.25">
      <c r="A24">
        <v>1996</v>
      </c>
      <c r="B24">
        <v>2</v>
      </c>
      <c r="C24">
        <v>7.9000000000000008E-3</v>
      </c>
      <c r="D24">
        <v>1.15E-2</v>
      </c>
      <c r="E24">
        <v>1.4999999999999999E-2</v>
      </c>
      <c r="F24">
        <v>1.6899999999999998E-2</v>
      </c>
    </row>
    <row r="25" spans="1:6" x14ac:dyDescent="0.25">
      <c r="A25">
        <v>1997</v>
      </c>
      <c r="B25">
        <v>2</v>
      </c>
      <c r="C25">
        <v>5.7999999999999996E-3</v>
      </c>
      <c r="D25">
        <v>1.2E-2</v>
      </c>
      <c r="E25">
        <v>1.61E-2</v>
      </c>
      <c r="F25">
        <v>1.9900000000000001E-2</v>
      </c>
    </row>
    <row r="26" spans="1:6" x14ac:dyDescent="0.25">
      <c r="A26">
        <v>1998</v>
      </c>
      <c r="B26">
        <v>2</v>
      </c>
      <c r="C26">
        <v>5.0000000000000001E-3</v>
      </c>
      <c r="D26">
        <v>1.24E-2</v>
      </c>
      <c r="E26">
        <v>1.5299999999999999E-2</v>
      </c>
      <c r="F26">
        <v>1.77E-2</v>
      </c>
    </row>
    <row r="27" spans="1:6" x14ac:dyDescent="0.25">
      <c r="A27">
        <v>1999</v>
      </c>
      <c r="B27">
        <v>2</v>
      </c>
      <c r="C27">
        <v>4.5999999999999999E-3</v>
      </c>
      <c r="D27">
        <v>1.1599999999999999E-2</v>
      </c>
      <c r="E27">
        <v>1.35E-2</v>
      </c>
      <c r="F27">
        <v>1.6400000000000001E-2</v>
      </c>
    </row>
    <row r="28" spans="1:6" x14ac:dyDescent="0.25">
      <c r="A28">
        <v>2000</v>
      </c>
      <c r="B28">
        <v>2</v>
      </c>
      <c r="C28">
        <v>6.1999999999999998E-3</v>
      </c>
      <c r="D28">
        <v>1.49E-2</v>
      </c>
      <c r="E28">
        <v>1.7399999999999999E-2</v>
      </c>
      <c r="F28">
        <v>1.83E-2</v>
      </c>
    </row>
    <row r="29" spans="1:6" x14ac:dyDescent="0.25">
      <c r="A29">
        <v>2001</v>
      </c>
      <c r="B29">
        <v>2</v>
      </c>
      <c r="C29">
        <v>4.7999999999999996E-3</v>
      </c>
      <c r="D29">
        <v>1.1599999999999999E-2</v>
      </c>
      <c r="E29">
        <v>1.3599999999999999E-2</v>
      </c>
      <c r="F29">
        <v>1.66E-2</v>
      </c>
    </row>
    <row r="30" spans="1:6" x14ac:dyDescent="0.25">
      <c r="A30">
        <v>2002</v>
      </c>
      <c r="B30">
        <v>2</v>
      </c>
      <c r="C30">
        <v>7.7000000000000002E-3</v>
      </c>
      <c r="D30">
        <v>1.2200000000000001E-2</v>
      </c>
      <c r="E30">
        <v>1.4200000000000001E-2</v>
      </c>
      <c r="F30">
        <v>1.5800000000000002E-2</v>
      </c>
    </row>
    <row r="31" spans="1:6" x14ac:dyDescent="0.25">
      <c r="A31">
        <v>2003</v>
      </c>
      <c r="B31">
        <v>2</v>
      </c>
      <c r="C31">
        <v>5.7999999999999996E-3</v>
      </c>
      <c r="D31">
        <v>1.0800000000000001E-2</v>
      </c>
      <c r="E31">
        <v>1.4500000000000001E-2</v>
      </c>
      <c r="F31">
        <v>1.67E-2</v>
      </c>
    </row>
    <row r="32" spans="1:6" x14ac:dyDescent="0.25">
      <c r="A32">
        <v>2004</v>
      </c>
      <c r="B32">
        <v>2</v>
      </c>
      <c r="C32">
        <v>4.1000000000000003E-3</v>
      </c>
      <c r="D32">
        <v>9.4000000000000004E-3</v>
      </c>
      <c r="E32">
        <v>1.26E-2</v>
      </c>
      <c r="F32">
        <v>1.5299999999999999E-2</v>
      </c>
    </row>
    <row r="33" spans="1:6" x14ac:dyDescent="0.25">
      <c r="A33">
        <v>2005</v>
      </c>
      <c r="B33">
        <v>2</v>
      </c>
      <c r="C33">
        <v>6.6E-3</v>
      </c>
      <c r="D33">
        <v>1.03E-2</v>
      </c>
      <c r="E33">
        <v>1.15E-2</v>
      </c>
      <c r="F33">
        <v>1.41E-2</v>
      </c>
    </row>
    <row r="34" spans="1:6" x14ac:dyDescent="0.25">
      <c r="A34">
        <v>2006</v>
      </c>
      <c r="B34">
        <v>2</v>
      </c>
      <c r="C34">
        <v>5.4999999999999997E-3</v>
      </c>
      <c r="D34">
        <v>1.43E-2</v>
      </c>
      <c r="E34">
        <v>1.5800000000000002E-2</v>
      </c>
      <c r="F34">
        <v>1.7999999999999999E-2</v>
      </c>
    </row>
    <row r="35" spans="1:6" x14ac:dyDescent="0.25">
      <c r="A35">
        <v>2007</v>
      </c>
      <c r="B35">
        <v>2</v>
      </c>
      <c r="C35">
        <v>6.4999999999999997E-3</v>
      </c>
      <c r="D35">
        <v>1.01E-2</v>
      </c>
      <c r="E35">
        <v>1.2699999999999999E-2</v>
      </c>
      <c r="F35">
        <v>1.5100000000000001E-2</v>
      </c>
    </row>
    <row r="36" spans="1:6" x14ac:dyDescent="0.25">
      <c r="A36">
        <v>2008</v>
      </c>
      <c r="B36">
        <v>2</v>
      </c>
      <c r="C36">
        <v>4.4000000000000003E-3</v>
      </c>
      <c r="D36">
        <v>7.6E-3</v>
      </c>
      <c r="E36">
        <v>1.26E-2</v>
      </c>
      <c r="F36">
        <v>1.4200000000000001E-2</v>
      </c>
    </row>
    <row r="37" spans="1:6" x14ac:dyDescent="0.25">
      <c r="A37">
        <v>2009</v>
      </c>
      <c r="B37">
        <v>2</v>
      </c>
      <c r="C37">
        <v>4.5999999999999999E-3</v>
      </c>
      <c r="D37">
        <v>9.4999999999999998E-3</v>
      </c>
      <c r="E37">
        <v>1.2999999999999999E-2</v>
      </c>
      <c r="F37">
        <v>1.6E-2</v>
      </c>
    </row>
    <row r="38" spans="1:6" x14ac:dyDescent="0.25">
      <c r="A38">
        <v>2010</v>
      </c>
      <c r="B38">
        <v>2</v>
      </c>
      <c r="C38">
        <v>4.7000000000000002E-3</v>
      </c>
      <c r="D38">
        <v>9.4000000000000004E-3</v>
      </c>
      <c r="E38">
        <v>1.14E-2</v>
      </c>
      <c r="F38">
        <v>1.4800000000000001E-2</v>
      </c>
    </row>
    <row r="39" spans="1:6" x14ac:dyDescent="0.25">
      <c r="A39">
        <v>2011</v>
      </c>
      <c r="B39">
        <v>2</v>
      </c>
      <c r="C39">
        <v>4.4000000000000003E-3</v>
      </c>
      <c r="D39">
        <v>8.8999999999999999E-3</v>
      </c>
      <c r="E39">
        <v>1.14E-2</v>
      </c>
      <c r="F39">
        <v>1.4500000000000001E-2</v>
      </c>
    </row>
    <row r="40" spans="1:6" x14ac:dyDescent="0.25">
      <c r="A40">
        <v>2012</v>
      </c>
      <c r="B40">
        <v>2</v>
      </c>
      <c r="C40">
        <v>7.1999999999999998E-3</v>
      </c>
      <c r="D40">
        <v>8.6999999999999994E-3</v>
      </c>
      <c r="E40">
        <v>1.1900000000000001E-2</v>
      </c>
      <c r="F40">
        <v>1.52E-2</v>
      </c>
    </row>
    <row r="41" spans="1:6" x14ac:dyDescent="0.25">
      <c r="A41">
        <v>2013</v>
      </c>
      <c r="B41">
        <v>2</v>
      </c>
      <c r="C41">
        <v>4.3E-3</v>
      </c>
      <c r="D41">
        <v>9.7000000000000003E-3</v>
      </c>
      <c r="E41">
        <v>1.24E-2</v>
      </c>
      <c r="F41">
        <v>1.5599999999999999E-2</v>
      </c>
    </row>
    <row r="42" spans="1:6" x14ac:dyDescent="0.25">
      <c r="A42">
        <v>2014</v>
      </c>
      <c r="B42">
        <v>2</v>
      </c>
      <c r="C42">
        <v>7.0000000000000001E-3</v>
      </c>
      <c r="D42">
        <v>7.9000000000000008E-3</v>
      </c>
      <c r="E42">
        <v>1.1599999999999999E-2</v>
      </c>
      <c r="F42">
        <v>1.3899999999999999E-2</v>
      </c>
    </row>
    <row r="43" spans="1:6" x14ac:dyDescent="0.25">
      <c r="A43">
        <v>2015</v>
      </c>
      <c r="B43">
        <v>2</v>
      </c>
      <c r="C43">
        <v>7.1999999999999998E-3</v>
      </c>
      <c r="D43">
        <v>8.8000000000000005E-3</v>
      </c>
      <c r="E43">
        <v>1.09E-2</v>
      </c>
      <c r="F43">
        <v>1.55E-2</v>
      </c>
    </row>
    <row r="44" spans="1:6" x14ac:dyDescent="0.25">
      <c r="A44">
        <v>2016</v>
      </c>
      <c r="B44">
        <v>2</v>
      </c>
      <c r="C44">
        <v>5.1000000000000004E-3</v>
      </c>
      <c r="D44">
        <v>7.4000000000000003E-3</v>
      </c>
      <c r="E44">
        <v>1.18E-2</v>
      </c>
      <c r="F44">
        <v>1.4500000000000001E-2</v>
      </c>
    </row>
    <row r="45" spans="1:6" x14ac:dyDescent="0.25">
      <c r="A45">
        <v>2017</v>
      </c>
      <c r="B45">
        <v>2</v>
      </c>
      <c r="C45">
        <v>3.8E-3</v>
      </c>
      <c r="D45">
        <v>7.7999999999999996E-3</v>
      </c>
      <c r="E45">
        <v>9.9000000000000008E-3</v>
      </c>
      <c r="F45">
        <v>1.6199999999999999E-2</v>
      </c>
    </row>
    <row r="46" spans="1:6" x14ac:dyDescent="0.25">
      <c r="A46">
        <v>2018</v>
      </c>
      <c r="B46">
        <v>2</v>
      </c>
      <c r="C46">
        <v>5.3E-3</v>
      </c>
      <c r="D46">
        <v>7.4000000000000003E-3</v>
      </c>
      <c r="E46">
        <v>9.7000000000000003E-3</v>
      </c>
      <c r="F46">
        <v>1.34E-2</v>
      </c>
    </row>
    <row r="47" spans="1:6" x14ac:dyDescent="0.25">
      <c r="A47">
        <v>2019</v>
      </c>
      <c r="B47">
        <v>2</v>
      </c>
      <c r="C47">
        <v>4.1000000000000003E-3</v>
      </c>
      <c r="D47">
        <v>7.6E-3</v>
      </c>
      <c r="E47">
        <v>9.7999999999999997E-3</v>
      </c>
      <c r="F47">
        <v>1.41E-2</v>
      </c>
    </row>
    <row r="48" spans="1:6" x14ac:dyDescent="0.25">
      <c r="A48">
        <v>2020</v>
      </c>
      <c r="B48">
        <v>2</v>
      </c>
      <c r="C48">
        <v>7.1000000000000004E-3</v>
      </c>
      <c r="D48">
        <v>1.0699999999999999E-2</v>
      </c>
      <c r="E48">
        <v>1.41E-2</v>
      </c>
      <c r="F48">
        <v>1.6799999999999999E-2</v>
      </c>
    </row>
    <row r="49" spans="1:6" x14ac:dyDescent="0.25">
      <c r="A49">
        <v>2021</v>
      </c>
      <c r="B49">
        <v>2</v>
      </c>
      <c r="C49">
        <v>6.1000000000000004E-3</v>
      </c>
      <c r="D49">
        <v>8.6999999999999994E-3</v>
      </c>
      <c r="E49">
        <v>1.17E-2</v>
      </c>
      <c r="F49">
        <v>1.5800000000000002E-2</v>
      </c>
    </row>
    <row r="50" spans="1:6" x14ac:dyDescent="0.25">
      <c r="A50">
        <v>2022</v>
      </c>
      <c r="B50">
        <v>2</v>
      </c>
      <c r="C50">
        <v>7.6E-3</v>
      </c>
      <c r="D50">
        <v>1.23E-2</v>
      </c>
      <c r="E50">
        <v>1.66E-2</v>
      </c>
      <c r="F50">
        <v>1.83E-2</v>
      </c>
    </row>
    <row r="51" spans="1:6" x14ac:dyDescent="0.25">
      <c r="A51">
        <v>2023</v>
      </c>
      <c r="B51">
        <v>2</v>
      </c>
      <c r="C51">
        <v>5.1000000000000004E-3</v>
      </c>
      <c r="D51">
        <v>8.3000000000000001E-3</v>
      </c>
      <c r="E51">
        <v>1.0800000000000001E-2</v>
      </c>
      <c r="F51">
        <v>1.3299999999999999E-2</v>
      </c>
    </row>
    <row r="52" spans="1:6" x14ac:dyDescent="0.25">
      <c r="A52">
        <v>2024</v>
      </c>
      <c r="B52">
        <v>2</v>
      </c>
      <c r="C52">
        <v>4.5999999999999999E-3</v>
      </c>
      <c r="D52">
        <v>8.5000000000000006E-3</v>
      </c>
      <c r="E52">
        <v>1.23E-2</v>
      </c>
      <c r="F52">
        <v>1.3299999999999999E-2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E52"/>
  <sheetViews>
    <sheetView topLeftCell="A18" workbookViewId="0">
      <selection activeCell="B2" sqref="B2:E52"/>
    </sheetView>
  </sheetViews>
  <sheetFormatPr defaultRowHeight="15" x14ac:dyDescent="0.25"/>
  <sheetData>
    <row r="1" spans="1:5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>
        <v>1974</v>
      </c>
      <c r="B2">
        <v>1.3949</v>
      </c>
      <c r="C2">
        <v>1.1583000000000001</v>
      </c>
      <c r="D2">
        <v>1.0423</v>
      </c>
      <c r="E2">
        <v>0.99230000000000007</v>
      </c>
    </row>
    <row r="3" spans="1:5" x14ac:dyDescent="0.25">
      <c r="A3">
        <v>1975</v>
      </c>
      <c r="B3">
        <v>1.4238999999999999</v>
      </c>
      <c r="C3">
        <v>1.2021000000000002</v>
      </c>
      <c r="D3">
        <v>1.0812999999999999</v>
      </c>
      <c r="E3">
        <v>1.0313000000000001</v>
      </c>
    </row>
    <row r="4" spans="1:5" x14ac:dyDescent="0.25">
      <c r="A4">
        <v>1976</v>
      </c>
      <c r="B4">
        <v>1.4289999999999998</v>
      </c>
      <c r="C4">
        <v>1.2097000000000002</v>
      </c>
      <c r="D4">
        <v>1.0893999999999999</v>
      </c>
      <c r="E4">
        <v>1.0459999999999998</v>
      </c>
    </row>
    <row r="5" spans="1:5" x14ac:dyDescent="0.25">
      <c r="A5">
        <v>1977</v>
      </c>
      <c r="B5">
        <v>1.3760000000000001</v>
      </c>
      <c r="C5">
        <v>1.179</v>
      </c>
      <c r="D5">
        <v>1.0589999999999999</v>
      </c>
      <c r="E5">
        <v>1.0223</v>
      </c>
    </row>
    <row r="6" spans="1:5" x14ac:dyDescent="0.25">
      <c r="A6">
        <v>1978</v>
      </c>
      <c r="B6">
        <v>1.2557</v>
      </c>
      <c r="C6">
        <v>1.095</v>
      </c>
      <c r="D6">
        <v>0.98760000000000003</v>
      </c>
      <c r="E6">
        <v>0.95100000000000007</v>
      </c>
    </row>
    <row r="7" spans="1:5" x14ac:dyDescent="0.25">
      <c r="A7">
        <v>1979</v>
      </c>
      <c r="B7">
        <v>1.3193000000000001</v>
      </c>
      <c r="C7">
        <v>1.2106999999999999</v>
      </c>
      <c r="D7">
        <v>1.0721000000000001</v>
      </c>
      <c r="E7">
        <v>1.0427</v>
      </c>
    </row>
    <row r="8" spans="1:5" x14ac:dyDescent="0.25">
      <c r="A8">
        <v>1980</v>
      </c>
      <c r="B8">
        <v>1.3673000000000002</v>
      </c>
      <c r="C8">
        <v>1.236</v>
      </c>
      <c r="D8">
        <v>1.0804</v>
      </c>
      <c r="E8">
        <v>1.0367</v>
      </c>
    </row>
    <row r="9" spans="1:5" x14ac:dyDescent="0.25">
      <c r="A9">
        <v>1981</v>
      </c>
      <c r="B9">
        <v>1.3323999999999998</v>
      </c>
      <c r="C9">
        <v>1.2167000000000001</v>
      </c>
      <c r="D9">
        <v>1.0589999999999999</v>
      </c>
      <c r="E9">
        <v>0.98330000000000006</v>
      </c>
    </row>
    <row r="10" spans="1:5" x14ac:dyDescent="0.25">
      <c r="A10">
        <v>1982</v>
      </c>
      <c r="B10">
        <v>1.1804000000000001</v>
      </c>
      <c r="C10">
        <v>1.0303</v>
      </c>
      <c r="D10">
        <v>0.9163</v>
      </c>
      <c r="E10">
        <v>0.82000000000000006</v>
      </c>
    </row>
    <row r="11" spans="1:5" x14ac:dyDescent="0.25">
      <c r="A11">
        <v>1983</v>
      </c>
      <c r="B11">
        <v>1.1584000000000001</v>
      </c>
      <c r="C11">
        <v>0.99829999999999997</v>
      </c>
      <c r="D11">
        <v>0.876</v>
      </c>
      <c r="E11">
        <v>0.7913</v>
      </c>
    </row>
    <row r="12" spans="1:5" x14ac:dyDescent="0.25">
      <c r="A12">
        <v>1984</v>
      </c>
      <c r="B12">
        <v>1.2265999999999999</v>
      </c>
      <c r="C12">
        <v>1.0413999999999999</v>
      </c>
      <c r="D12">
        <v>0.9103</v>
      </c>
      <c r="E12">
        <v>0.8256</v>
      </c>
    </row>
    <row r="13" spans="1:5" x14ac:dyDescent="0.25">
      <c r="A13">
        <v>1985</v>
      </c>
      <c r="B13">
        <v>1.3466</v>
      </c>
      <c r="C13">
        <v>1.1502999999999999</v>
      </c>
      <c r="D13">
        <v>0.97189999999999999</v>
      </c>
      <c r="E13">
        <v>0.89260000000000006</v>
      </c>
    </row>
    <row r="14" spans="1:5" x14ac:dyDescent="0.25">
      <c r="A14">
        <v>1986</v>
      </c>
      <c r="B14">
        <v>1.4400999999999999</v>
      </c>
      <c r="C14">
        <v>1.2313000000000001</v>
      </c>
      <c r="D14">
        <v>1.0419</v>
      </c>
      <c r="E14">
        <v>0.9446</v>
      </c>
    </row>
    <row r="15" spans="1:5" x14ac:dyDescent="0.25">
      <c r="A15">
        <v>1987</v>
      </c>
      <c r="B15">
        <v>1.5121</v>
      </c>
      <c r="C15">
        <v>1.2524</v>
      </c>
      <c r="D15">
        <v>1.1120000000000001</v>
      </c>
      <c r="E15">
        <v>1.0033000000000001</v>
      </c>
    </row>
    <row r="16" spans="1:5" x14ac:dyDescent="0.25">
      <c r="A16">
        <v>1988</v>
      </c>
      <c r="B16">
        <v>1.5674000000000001</v>
      </c>
      <c r="C16">
        <v>1.2739</v>
      </c>
      <c r="D16">
        <v>1.1844000000000001</v>
      </c>
      <c r="E16">
        <v>1.07</v>
      </c>
    </row>
    <row r="17" spans="1:5" x14ac:dyDescent="0.25">
      <c r="A17">
        <v>1989</v>
      </c>
      <c r="B17">
        <v>1.5534000000000001</v>
      </c>
      <c r="C17">
        <v>1.3123</v>
      </c>
      <c r="D17">
        <v>1.2337</v>
      </c>
      <c r="E17">
        <v>1.1327</v>
      </c>
    </row>
    <row r="18" spans="1:5" x14ac:dyDescent="0.25">
      <c r="A18">
        <v>1990</v>
      </c>
      <c r="B18">
        <v>1.5060000000000002</v>
      </c>
      <c r="C18">
        <v>1.3164</v>
      </c>
      <c r="D18">
        <v>1.208</v>
      </c>
      <c r="E18">
        <v>1.155</v>
      </c>
    </row>
    <row r="19" spans="1:5" x14ac:dyDescent="0.25">
      <c r="A19">
        <v>1991</v>
      </c>
      <c r="B19">
        <v>1.4279999999999999</v>
      </c>
      <c r="C19">
        <v>1.2691000000000001</v>
      </c>
      <c r="D19">
        <v>1.1598999999999999</v>
      </c>
      <c r="E19">
        <v>1.121</v>
      </c>
    </row>
    <row r="20" spans="1:5" x14ac:dyDescent="0.25">
      <c r="A20">
        <v>1992</v>
      </c>
      <c r="B20">
        <v>1.3340000000000001</v>
      </c>
      <c r="C20">
        <v>1.1727000000000001</v>
      </c>
      <c r="D20">
        <v>1.0819999999999999</v>
      </c>
      <c r="E20">
        <v>1.0423</v>
      </c>
    </row>
    <row r="21" spans="1:5" x14ac:dyDescent="0.25">
      <c r="A21">
        <v>1993</v>
      </c>
      <c r="B21">
        <v>1.2254</v>
      </c>
      <c r="C21">
        <v>1.1133</v>
      </c>
      <c r="D21">
        <v>1.0333999999999999</v>
      </c>
      <c r="E21">
        <v>0.997</v>
      </c>
    </row>
    <row r="22" spans="1:5" x14ac:dyDescent="0.25">
      <c r="A22">
        <v>1994</v>
      </c>
      <c r="B22">
        <v>1.2589999999999999</v>
      </c>
      <c r="C22">
        <v>1.1093</v>
      </c>
      <c r="D22">
        <v>1.0283</v>
      </c>
      <c r="E22">
        <v>1.0102</v>
      </c>
    </row>
    <row r="23" spans="1:5" x14ac:dyDescent="0.25">
      <c r="A23">
        <v>1995</v>
      </c>
      <c r="B23">
        <v>1.2269999999999999</v>
      </c>
      <c r="C23">
        <v>1.0707</v>
      </c>
      <c r="D23">
        <v>0.995</v>
      </c>
      <c r="E23">
        <v>0.96660000000000001</v>
      </c>
    </row>
    <row r="24" spans="1:5" x14ac:dyDescent="0.25">
      <c r="A24">
        <v>1996</v>
      </c>
      <c r="B24">
        <v>1.2987</v>
      </c>
      <c r="C24">
        <v>1.0433999999999999</v>
      </c>
      <c r="D24">
        <v>0.95000000000000007</v>
      </c>
      <c r="E24">
        <v>0.88869999999999993</v>
      </c>
    </row>
    <row r="25" spans="1:5" x14ac:dyDescent="0.25">
      <c r="A25">
        <v>1997</v>
      </c>
      <c r="B25">
        <v>1.2537000000000003</v>
      </c>
      <c r="C25">
        <v>1.0146999999999999</v>
      </c>
      <c r="D25">
        <v>0.9143</v>
      </c>
      <c r="E25">
        <v>0.83530000000000004</v>
      </c>
    </row>
    <row r="26" spans="1:5" x14ac:dyDescent="0.25">
      <c r="A26">
        <v>1998</v>
      </c>
      <c r="B26">
        <v>1.2947</v>
      </c>
      <c r="C26">
        <v>1.028</v>
      </c>
      <c r="D26">
        <v>0.92530000000000001</v>
      </c>
      <c r="E26">
        <v>0.8660000000000001</v>
      </c>
    </row>
    <row r="27" spans="1:5" x14ac:dyDescent="0.25">
      <c r="A27">
        <v>1999</v>
      </c>
      <c r="B27">
        <v>1.2523</v>
      </c>
      <c r="C27">
        <v>1.0657000000000001</v>
      </c>
      <c r="D27">
        <v>0.98339999999999994</v>
      </c>
      <c r="E27">
        <v>0.95479999999999998</v>
      </c>
    </row>
    <row r="28" spans="1:5" x14ac:dyDescent="0.25">
      <c r="A28">
        <v>2000</v>
      </c>
      <c r="B28">
        <v>1.2020999999999999</v>
      </c>
      <c r="C28">
        <v>1.01</v>
      </c>
      <c r="D28">
        <v>0.94829999999999992</v>
      </c>
      <c r="E28">
        <v>0.92199999999999993</v>
      </c>
    </row>
    <row r="29" spans="1:5" x14ac:dyDescent="0.25">
      <c r="A29">
        <v>2001</v>
      </c>
      <c r="B29">
        <v>1.212</v>
      </c>
      <c r="C29">
        <v>1.0489999999999999</v>
      </c>
      <c r="D29">
        <v>0.98670000000000002</v>
      </c>
      <c r="E29">
        <v>0.95100000000000007</v>
      </c>
    </row>
    <row r="30" spans="1:5" x14ac:dyDescent="0.25">
      <c r="A30">
        <v>2002</v>
      </c>
      <c r="B30">
        <v>1.2222999999999999</v>
      </c>
      <c r="C30">
        <v>1.0289999999999999</v>
      </c>
      <c r="D30">
        <v>0.97030000000000005</v>
      </c>
      <c r="E30">
        <v>0.91300000000000003</v>
      </c>
    </row>
    <row r="31" spans="1:5" x14ac:dyDescent="0.25">
      <c r="A31">
        <v>2003</v>
      </c>
      <c r="B31">
        <v>1.2494000000000001</v>
      </c>
      <c r="C31">
        <v>1.0786000000000002</v>
      </c>
      <c r="D31">
        <v>1.0190999999999999</v>
      </c>
      <c r="E31">
        <v>0.97839999999999994</v>
      </c>
    </row>
    <row r="32" spans="1:5" x14ac:dyDescent="0.25">
      <c r="A32">
        <v>2004</v>
      </c>
      <c r="B32">
        <v>1.2062999999999999</v>
      </c>
      <c r="C32">
        <v>1.0583</v>
      </c>
      <c r="D32">
        <v>1.0014000000000001</v>
      </c>
      <c r="E32">
        <v>0.97139999999999993</v>
      </c>
    </row>
    <row r="33" spans="1:5" x14ac:dyDescent="0.25">
      <c r="A33">
        <v>2005</v>
      </c>
      <c r="B33">
        <v>1.2190000000000001</v>
      </c>
      <c r="C33">
        <v>1.0653000000000001</v>
      </c>
      <c r="D33">
        <v>0.98199999999999998</v>
      </c>
      <c r="E33">
        <v>0.98199999999999998</v>
      </c>
    </row>
    <row r="34" spans="1:5" x14ac:dyDescent="0.25">
      <c r="A34">
        <v>2006</v>
      </c>
      <c r="B34">
        <v>1.2472999999999999</v>
      </c>
      <c r="C34">
        <v>1.095</v>
      </c>
      <c r="D34">
        <v>1.0173000000000001</v>
      </c>
      <c r="E34">
        <v>1.0150000000000001</v>
      </c>
    </row>
    <row r="35" spans="1:5" x14ac:dyDescent="0.25">
      <c r="A35">
        <v>2007</v>
      </c>
      <c r="B35">
        <v>1.2601</v>
      </c>
      <c r="C35">
        <v>1.0843</v>
      </c>
      <c r="D35">
        <v>1.002</v>
      </c>
      <c r="E35">
        <v>0.99970000000000003</v>
      </c>
    </row>
    <row r="36" spans="1:5" x14ac:dyDescent="0.25">
      <c r="A36">
        <v>2008</v>
      </c>
      <c r="B36">
        <v>1.2253000000000001</v>
      </c>
      <c r="C36">
        <v>1.0880000000000001</v>
      </c>
      <c r="D36">
        <v>1.0236000000000001</v>
      </c>
      <c r="E36">
        <v>1.0090000000000001</v>
      </c>
    </row>
    <row r="37" spans="1:5" x14ac:dyDescent="0.25">
      <c r="A37">
        <v>2009</v>
      </c>
      <c r="B37">
        <v>1.2050999999999998</v>
      </c>
      <c r="C37">
        <v>1.0891</v>
      </c>
      <c r="D37">
        <v>1.0108999999999999</v>
      </c>
      <c r="E37">
        <v>0.9909</v>
      </c>
    </row>
    <row r="38" spans="1:5" x14ac:dyDescent="0.25">
      <c r="A38">
        <v>2010</v>
      </c>
      <c r="B38">
        <v>1.3150999999999999</v>
      </c>
      <c r="C38">
        <v>1.1783000000000001</v>
      </c>
      <c r="D38">
        <v>1.0747</v>
      </c>
      <c r="E38">
        <v>1.054</v>
      </c>
    </row>
    <row r="39" spans="1:5" x14ac:dyDescent="0.25">
      <c r="A39">
        <v>2011</v>
      </c>
      <c r="B39">
        <v>1.4100000000000001</v>
      </c>
      <c r="C39">
        <v>1.2847</v>
      </c>
      <c r="D39">
        <v>1.1684000000000001</v>
      </c>
      <c r="E39">
        <v>1.1554</v>
      </c>
    </row>
    <row r="40" spans="1:5" x14ac:dyDescent="0.25">
      <c r="A40">
        <v>2012</v>
      </c>
      <c r="B40">
        <v>1.3924000000000001</v>
      </c>
      <c r="C40">
        <v>1.2430000000000001</v>
      </c>
      <c r="D40">
        <v>1.1097000000000001</v>
      </c>
      <c r="E40">
        <v>1.0730999999999999</v>
      </c>
    </row>
    <row r="41" spans="1:5" x14ac:dyDescent="0.25">
      <c r="A41">
        <v>2013</v>
      </c>
      <c r="B41">
        <v>1.2353999999999998</v>
      </c>
      <c r="C41">
        <v>1.1413</v>
      </c>
      <c r="D41">
        <v>1.0387000000000002</v>
      </c>
      <c r="E41">
        <v>0.97970000000000002</v>
      </c>
    </row>
    <row r="42" spans="1:5" x14ac:dyDescent="0.25">
      <c r="A42">
        <v>2014</v>
      </c>
      <c r="B42">
        <v>1.1986000000000001</v>
      </c>
      <c r="C42">
        <v>1.0863</v>
      </c>
      <c r="D42">
        <v>0.98670000000000002</v>
      </c>
      <c r="E42">
        <v>0.91830000000000001</v>
      </c>
    </row>
    <row r="43" spans="1:5" x14ac:dyDescent="0.25">
      <c r="A43">
        <v>2015</v>
      </c>
      <c r="B43">
        <v>1.2332999999999998</v>
      </c>
      <c r="C43">
        <v>1.1476000000000002</v>
      </c>
      <c r="D43">
        <v>1.0306999999999999</v>
      </c>
      <c r="E43">
        <v>0.99360000000000004</v>
      </c>
    </row>
    <row r="44" spans="1:5" x14ac:dyDescent="0.25">
      <c r="A44">
        <v>2016</v>
      </c>
      <c r="B44">
        <v>1.3229000000000002</v>
      </c>
      <c r="C44">
        <v>1.2262</v>
      </c>
      <c r="D44">
        <v>1.0804</v>
      </c>
      <c r="E44">
        <v>1.0664</v>
      </c>
    </row>
    <row r="45" spans="1:5" x14ac:dyDescent="0.25">
      <c r="A45">
        <v>2017</v>
      </c>
      <c r="B45">
        <v>1.3069999999999999</v>
      </c>
      <c r="C45">
        <v>1.2223000000000002</v>
      </c>
      <c r="D45">
        <v>1.0684</v>
      </c>
      <c r="E45">
        <v>1.0684</v>
      </c>
    </row>
    <row r="46" spans="1:5" x14ac:dyDescent="0.25">
      <c r="A46">
        <v>2018</v>
      </c>
      <c r="B46">
        <v>1.2874000000000001</v>
      </c>
      <c r="C46">
        <v>1.2077</v>
      </c>
      <c r="D46">
        <v>1.0627</v>
      </c>
      <c r="E46">
        <v>1.0627</v>
      </c>
    </row>
    <row r="47" spans="1:5" x14ac:dyDescent="0.25">
      <c r="A47">
        <v>2019</v>
      </c>
      <c r="B47">
        <v>1.3467</v>
      </c>
      <c r="C47">
        <v>1.27</v>
      </c>
      <c r="D47">
        <v>1.1219999999999999</v>
      </c>
      <c r="E47">
        <v>1.1219999999999999</v>
      </c>
    </row>
    <row r="48" spans="1:5" x14ac:dyDescent="0.25">
      <c r="A48">
        <v>2020</v>
      </c>
      <c r="B48">
        <v>1.446</v>
      </c>
      <c r="C48">
        <v>1.3729999999999998</v>
      </c>
      <c r="D48">
        <v>1.2317</v>
      </c>
      <c r="E48">
        <v>1.2317</v>
      </c>
    </row>
    <row r="49" spans="1:5" x14ac:dyDescent="0.25">
      <c r="A49">
        <v>2021</v>
      </c>
      <c r="B49">
        <v>1.4471999999999998</v>
      </c>
      <c r="C49">
        <v>1.3794</v>
      </c>
      <c r="D49">
        <v>1.2520000000000002</v>
      </c>
      <c r="E49">
        <v>1.2520000000000002</v>
      </c>
    </row>
    <row r="50" spans="1:5" x14ac:dyDescent="0.25">
      <c r="A50">
        <v>2022</v>
      </c>
      <c r="B50">
        <v>1.4471999999999998</v>
      </c>
      <c r="C50">
        <v>1.3794</v>
      </c>
      <c r="D50">
        <v>1.2520000000000002</v>
      </c>
      <c r="E50">
        <v>1.2520000000000002</v>
      </c>
    </row>
    <row r="51" spans="1:5" x14ac:dyDescent="0.25">
      <c r="A51">
        <v>2023</v>
      </c>
      <c r="B51">
        <v>1.4471999999999998</v>
      </c>
      <c r="C51">
        <v>1.3794</v>
      </c>
      <c r="D51">
        <v>1.2520000000000002</v>
      </c>
      <c r="E51">
        <v>1.2520000000000002</v>
      </c>
    </row>
    <row r="52" spans="1:5" x14ac:dyDescent="0.25">
      <c r="A52">
        <v>2024</v>
      </c>
      <c r="B52">
        <v>1.4471999999999998</v>
      </c>
      <c r="C52">
        <v>1.3794</v>
      </c>
      <c r="D52">
        <v>1.2520000000000002</v>
      </c>
      <c r="E52">
        <v>1.2520000000000002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E52"/>
  <sheetViews>
    <sheetView topLeftCell="A18" workbookViewId="0">
      <selection activeCell="B2" sqref="B2:E52"/>
    </sheetView>
  </sheetViews>
  <sheetFormatPr defaultRowHeight="15" x14ac:dyDescent="0.25"/>
  <sheetData>
    <row r="1" spans="1:5" x14ac:dyDescent="0.25">
      <c r="A1" s="1" t="s">
        <v>0</v>
      </c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>
        <v>1974</v>
      </c>
      <c r="B2">
        <v>25074100</v>
      </c>
      <c r="C2">
        <v>131919000</v>
      </c>
      <c r="D2">
        <v>2724560</v>
      </c>
      <c r="E2">
        <v>4978830</v>
      </c>
    </row>
    <row r="3" spans="1:5" x14ac:dyDescent="0.25">
      <c r="A3">
        <v>1975</v>
      </c>
      <c r="B3">
        <v>32668800</v>
      </c>
      <c r="C3">
        <v>165674000</v>
      </c>
      <c r="D3">
        <v>1294110</v>
      </c>
      <c r="E3">
        <v>5944570</v>
      </c>
    </row>
    <row r="4" spans="1:5" x14ac:dyDescent="0.25">
      <c r="A4">
        <v>1976</v>
      </c>
      <c r="B4">
        <v>15101300</v>
      </c>
      <c r="C4">
        <v>73923700</v>
      </c>
      <c r="D4">
        <v>1552380</v>
      </c>
      <c r="E4">
        <v>685683</v>
      </c>
    </row>
    <row r="5" spans="1:5" x14ac:dyDescent="0.25">
      <c r="A5">
        <v>1977</v>
      </c>
      <c r="B5">
        <v>26184600</v>
      </c>
      <c r="C5">
        <v>126987000</v>
      </c>
      <c r="D5">
        <v>7566240</v>
      </c>
      <c r="E5">
        <v>976795</v>
      </c>
    </row>
    <row r="6" spans="1:5" x14ac:dyDescent="0.25">
      <c r="A6">
        <v>1978</v>
      </c>
      <c r="B6">
        <v>45249800</v>
      </c>
      <c r="C6">
        <v>233152000</v>
      </c>
      <c r="D6">
        <v>1940230</v>
      </c>
      <c r="E6">
        <v>908210</v>
      </c>
    </row>
    <row r="7" spans="1:5" x14ac:dyDescent="0.25">
      <c r="A7">
        <v>1979</v>
      </c>
      <c r="B7">
        <v>24881200</v>
      </c>
      <c r="C7">
        <v>125247000</v>
      </c>
      <c r="D7">
        <v>4378110</v>
      </c>
      <c r="E7">
        <v>7900520</v>
      </c>
    </row>
    <row r="8" spans="1:5" x14ac:dyDescent="0.25">
      <c r="A8">
        <v>1980</v>
      </c>
      <c r="B8">
        <v>14138100</v>
      </c>
      <c r="C8">
        <v>91984900</v>
      </c>
      <c r="D8">
        <v>3270520</v>
      </c>
      <c r="E8">
        <v>632308</v>
      </c>
    </row>
    <row r="9" spans="1:5" x14ac:dyDescent="0.25">
      <c r="A9">
        <v>1981</v>
      </c>
      <c r="B9">
        <v>40895600</v>
      </c>
      <c r="C9">
        <v>24363900</v>
      </c>
      <c r="D9">
        <v>2713430</v>
      </c>
      <c r="E9">
        <v>24198</v>
      </c>
    </row>
    <row r="10" spans="1:5" x14ac:dyDescent="0.25">
      <c r="A10">
        <v>1982</v>
      </c>
      <c r="B10">
        <v>24809300</v>
      </c>
      <c r="C10">
        <v>8280430</v>
      </c>
      <c r="D10">
        <v>3488130</v>
      </c>
      <c r="E10">
        <v>27879</v>
      </c>
    </row>
    <row r="11" spans="1:5" x14ac:dyDescent="0.25">
      <c r="A11">
        <v>1983</v>
      </c>
      <c r="B11">
        <v>33274800</v>
      </c>
      <c r="C11">
        <v>4842840</v>
      </c>
      <c r="D11">
        <v>1121230</v>
      </c>
      <c r="E11">
        <v>37094</v>
      </c>
    </row>
    <row r="12" spans="1:5" x14ac:dyDescent="0.25">
      <c r="A12">
        <v>1984</v>
      </c>
      <c r="B12">
        <v>16297200</v>
      </c>
      <c r="C12">
        <v>8109380</v>
      </c>
      <c r="D12">
        <v>722709</v>
      </c>
      <c r="E12">
        <v>99737</v>
      </c>
    </row>
    <row r="13" spans="1:5" x14ac:dyDescent="0.25">
      <c r="A13">
        <v>1985</v>
      </c>
      <c r="B13">
        <v>10690900</v>
      </c>
      <c r="C13">
        <v>3335350</v>
      </c>
      <c r="D13">
        <v>1283310</v>
      </c>
      <c r="E13">
        <v>99363</v>
      </c>
    </row>
    <row r="14" spans="1:5" x14ac:dyDescent="0.25">
      <c r="A14">
        <v>1986</v>
      </c>
      <c r="B14">
        <v>37757300</v>
      </c>
      <c r="C14">
        <v>2015000</v>
      </c>
      <c r="D14">
        <v>448552</v>
      </c>
      <c r="E14">
        <v>11819</v>
      </c>
    </row>
    <row r="15" spans="1:5" x14ac:dyDescent="0.25">
      <c r="A15">
        <v>1987</v>
      </c>
      <c r="B15">
        <v>21420500</v>
      </c>
      <c r="C15">
        <v>7857900</v>
      </c>
      <c r="D15">
        <v>356658</v>
      </c>
      <c r="E15">
        <v>69346</v>
      </c>
    </row>
    <row r="16" spans="1:5" x14ac:dyDescent="0.25">
      <c r="A16">
        <v>1988</v>
      </c>
      <c r="B16">
        <v>30008100</v>
      </c>
      <c r="C16">
        <v>3416240</v>
      </c>
      <c r="D16">
        <v>1258740</v>
      </c>
      <c r="E16">
        <v>72618</v>
      </c>
    </row>
    <row r="17" spans="1:5" x14ac:dyDescent="0.25">
      <c r="A17">
        <v>1989</v>
      </c>
      <c r="B17">
        <v>25427000</v>
      </c>
      <c r="C17">
        <v>5716670</v>
      </c>
      <c r="D17">
        <v>568862</v>
      </c>
      <c r="E17">
        <v>13285</v>
      </c>
    </row>
    <row r="18" spans="1:5" x14ac:dyDescent="0.25">
      <c r="A18">
        <v>1990</v>
      </c>
      <c r="B18">
        <v>37310100</v>
      </c>
      <c r="C18">
        <v>3791750</v>
      </c>
      <c r="D18">
        <v>823292</v>
      </c>
      <c r="E18">
        <v>99935</v>
      </c>
    </row>
    <row r="19" spans="1:5" x14ac:dyDescent="0.25">
      <c r="A19">
        <v>1991</v>
      </c>
      <c r="B19">
        <v>66150600</v>
      </c>
      <c r="C19">
        <v>7045160</v>
      </c>
      <c r="D19">
        <v>506146</v>
      </c>
      <c r="E19">
        <v>60732</v>
      </c>
    </row>
    <row r="20" spans="1:5" x14ac:dyDescent="0.25">
      <c r="A20">
        <v>1992</v>
      </c>
      <c r="B20">
        <v>66407100</v>
      </c>
      <c r="C20">
        <v>13254100</v>
      </c>
      <c r="D20">
        <v>1236560</v>
      </c>
      <c r="E20">
        <v>79818</v>
      </c>
    </row>
    <row r="21" spans="1:5" x14ac:dyDescent="0.25">
      <c r="A21">
        <v>1993</v>
      </c>
      <c r="B21">
        <v>88504400</v>
      </c>
      <c r="C21">
        <v>12018300</v>
      </c>
      <c r="D21">
        <v>1827870</v>
      </c>
      <c r="E21">
        <v>13513</v>
      </c>
    </row>
    <row r="22" spans="1:5" x14ac:dyDescent="0.25">
      <c r="A22">
        <v>1994</v>
      </c>
      <c r="B22">
        <v>75220300</v>
      </c>
      <c r="C22">
        <v>20635000</v>
      </c>
      <c r="D22">
        <v>3608010</v>
      </c>
      <c r="E22">
        <v>279799</v>
      </c>
    </row>
    <row r="23" spans="1:5" x14ac:dyDescent="0.25">
      <c r="A23">
        <v>1995</v>
      </c>
      <c r="B23">
        <v>21844200</v>
      </c>
      <c r="C23">
        <v>15052200</v>
      </c>
      <c r="D23">
        <v>3210520</v>
      </c>
      <c r="E23">
        <v>23686</v>
      </c>
    </row>
    <row r="24" spans="1:5" x14ac:dyDescent="0.25">
      <c r="A24">
        <v>1996</v>
      </c>
      <c r="B24">
        <v>39840000</v>
      </c>
      <c r="C24">
        <v>4739910</v>
      </c>
      <c r="D24">
        <v>2116750</v>
      </c>
      <c r="E24">
        <v>25612</v>
      </c>
    </row>
    <row r="25" spans="1:5" x14ac:dyDescent="0.25">
      <c r="A25">
        <v>1997</v>
      </c>
      <c r="B25">
        <v>35398700</v>
      </c>
      <c r="C25">
        <v>9178160</v>
      </c>
      <c r="D25">
        <v>851918</v>
      </c>
      <c r="E25">
        <v>25072</v>
      </c>
    </row>
    <row r="26" spans="1:5" x14ac:dyDescent="0.25">
      <c r="A26">
        <v>1998</v>
      </c>
      <c r="B26">
        <v>77328300</v>
      </c>
      <c r="C26">
        <v>7040770</v>
      </c>
      <c r="D26">
        <v>1454900</v>
      </c>
      <c r="E26">
        <v>12625</v>
      </c>
    </row>
    <row r="27" spans="1:5" x14ac:dyDescent="0.25">
      <c r="A27">
        <v>1999</v>
      </c>
      <c r="B27">
        <v>49617400</v>
      </c>
      <c r="C27">
        <v>17354600</v>
      </c>
      <c r="D27">
        <v>1135260</v>
      </c>
      <c r="E27">
        <v>12244</v>
      </c>
    </row>
    <row r="28" spans="1:5" x14ac:dyDescent="0.25">
      <c r="A28">
        <v>2000</v>
      </c>
      <c r="B28">
        <v>47175000</v>
      </c>
      <c r="C28">
        <v>10177900</v>
      </c>
      <c r="D28">
        <v>2735510</v>
      </c>
      <c r="E28">
        <v>14506</v>
      </c>
    </row>
    <row r="29" spans="1:5" x14ac:dyDescent="0.25">
      <c r="A29">
        <v>2001</v>
      </c>
      <c r="B29">
        <v>40506900</v>
      </c>
      <c r="C29">
        <v>9958470</v>
      </c>
      <c r="D29">
        <v>1391530</v>
      </c>
      <c r="E29">
        <v>20888</v>
      </c>
    </row>
    <row r="30" spans="1:5" x14ac:dyDescent="0.25">
      <c r="A30">
        <v>2002</v>
      </c>
      <c r="B30">
        <v>52198200</v>
      </c>
      <c r="C30">
        <v>8075610</v>
      </c>
      <c r="D30">
        <v>1225070</v>
      </c>
      <c r="E30">
        <v>10717</v>
      </c>
    </row>
    <row r="31" spans="1:5" x14ac:dyDescent="0.25">
      <c r="A31">
        <v>2003</v>
      </c>
      <c r="B31">
        <v>72779400</v>
      </c>
      <c r="C31">
        <v>11413400</v>
      </c>
      <c r="D31">
        <v>1108010</v>
      </c>
      <c r="E31">
        <v>89688</v>
      </c>
    </row>
    <row r="32" spans="1:5" x14ac:dyDescent="0.25">
      <c r="A32">
        <v>2004</v>
      </c>
      <c r="B32">
        <v>12108100</v>
      </c>
      <c r="C32">
        <v>29711800</v>
      </c>
      <c r="D32">
        <v>3681550</v>
      </c>
      <c r="E32">
        <v>210440</v>
      </c>
    </row>
    <row r="33" spans="1:5" x14ac:dyDescent="0.25">
      <c r="A33">
        <v>2005</v>
      </c>
      <c r="B33">
        <v>40898100</v>
      </c>
      <c r="C33">
        <v>25516300</v>
      </c>
      <c r="D33">
        <v>3485310</v>
      </c>
      <c r="E33">
        <v>141127</v>
      </c>
    </row>
    <row r="34" spans="1:5" x14ac:dyDescent="0.25">
      <c r="A34">
        <v>2006</v>
      </c>
      <c r="B34">
        <v>52195000</v>
      </c>
      <c r="C34">
        <v>7829080</v>
      </c>
      <c r="D34">
        <v>3220890</v>
      </c>
      <c r="E34">
        <v>11646</v>
      </c>
    </row>
    <row r="35" spans="1:5" x14ac:dyDescent="0.25">
      <c r="A35">
        <v>2007</v>
      </c>
      <c r="B35">
        <v>39737300</v>
      </c>
      <c r="C35">
        <v>10244200</v>
      </c>
      <c r="D35">
        <v>939818</v>
      </c>
      <c r="E35">
        <v>20133</v>
      </c>
    </row>
    <row r="36" spans="1:5" x14ac:dyDescent="0.25">
      <c r="A36">
        <v>2008</v>
      </c>
      <c r="B36">
        <v>87568900</v>
      </c>
      <c r="C36">
        <v>8362940</v>
      </c>
      <c r="D36">
        <v>1447050</v>
      </c>
      <c r="E36">
        <v>82338</v>
      </c>
    </row>
    <row r="37" spans="1:5" x14ac:dyDescent="0.25">
      <c r="A37">
        <v>2009</v>
      </c>
      <c r="B37">
        <v>67757600</v>
      </c>
      <c r="C37">
        <v>21569500</v>
      </c>
      <c r="D37">
        <v>3081070</v>
      </c>
      <c r="E37">
        <v>327525</v>
      </c>
    </row>
    <row r="38" spans="1:5" x14ac:dyDescent="0.25">
      <c r="A38">
        <v>2010</v>
      </c>
      <c r="B38">
        <v>61384600</v>
      </c>
      <c r="C38">
        <v>15836000</v>
      </c>
      <c r="D38">
        <v>4255120</v>
      </c>
      <c r="E38">
        <v>25790</v>
      </c>
    </row>
    <row r="39" spans="1:5" x14ac:dyDescent="0.25">
      <c r="A39">
        <v>2011</v>
      </c>
      <c r="B39">
        <v>50476300</v>
      </c>
      <c r="C39">
        <v>13323800</v>
      </c>
      <c r="D39">
        <v>2907440</v>
      </c>
      <c r="E39">
        <v>60506</v>
      </c>
    </row>
    <row r="40" spans="1:5" x14ac:dyDescent="0.25">
      <c r="A40">
        <v>2012</v>
      </c>
      <c r="B40">
        <v>41415600</v>
      </c>
      <c r="C40">
        <v>8925520</v>
      </c>
      <c r="D40">
        <v>1905610</v>
      </c>
      <c r="E40">
        <v>40573</v>
      </c>
    </row>
    <row r="41" spans="1:5" x14ac:dyDescent="0.25">
      <c r="A41">
        <v>2013</v>
      </c>
      <c r="B41">
        <v>11565600</v>
      </c>
      <c r="C41">
        <v>17254100</v>
      </c>
      <c r="D41">
        <v>2892030</v>
      </c>
      <c r="E41">
        <v>411602</v>
      </c>
    </row>
    <row r="42" spans="1:5" x14ac:dyDescent="0.25">
      <c r="A42">
        <v>2014</v>
      </c>
      <c r="B42">
        <v>13372600</v>
      </c>
      <c r="C42">
        <v>53385000</v>
      </c>
      <c r="D42">
        <v>0</v>
      </c>
      <c r="E42">
        <v>863891</v>
      </c>
    </row>
    <row r="43" spans="1:5" x14ac:dyDescent="0.25">
      <c r="A43">
        <v>2015</v>
      </c>
      <c r="B43">
        <v>79254100</v>
      </c>
      <c r="C43">
        <v>30613300</v>
      </c>
      <c r="D43">
        <v>1322020</v>
      </c>
      <c r="E43">
        <v>1572850</v>
      </c>
    </row>
    <row r="44" spans="1:5" x14ac:dyDescent="0.25">
      <c r="A44">
        <v>2016</v>
      </c>
      <c r="B44">
        <v>11709800</v>
      </c>
      <c r="C44">
        <v>34718200</v>
      </c>
      <c r="D44">
        <v>1042150</v>
      </c>
      <c r="E44">
        <v>347692</v>
      </c>
    </row>
    <row r="45" spans="1:5" x14ac:dyDescent="0.25">
      <c r="A45">
        <v>2017</v>
      </c>
      <c r="B45">
        <v>15074100</v>
      </c>
      <c r="C45">
        <v>82311200</v>
      </c>
      <c r="D45">
        <v>9342160</v>
      </c>
      <c r="E45">
        <v>340258</v>
      </c>
    </row>
    <row r="46" spans="1:5" x14ac:dyDescent="0.25">
      <c r="A46">
        <v>2018</v>
      </c>
      <c r="B46">
        <v>14611500</v>
      </c>
      <c r="C46">
        <v>79987000</v>
      </c>
      <c r="D46">
        <v>1324180</v>
      </c>
      <c r="E46">
        <v>1334680</v>
      </c>
    </row>
    <row r="47" spans="1:5" x14ac:dyDescent="0.25">
      <c r="A47">
        <v>2019</v>
      </c>
      <c r="B47">
        <v>13177100</v>
      </c>
      <c r="C47">
        <v>59971200</v>
      </c>
      <c r="D47">
        <v>0</v>
      </c>
      <c r="E47">
        <v>1813310</v>
      </c>
    </row>
    <row r="48" spans="1:5" x14ac:dyDescent="0.25">
      <c r="A48">
        <v>2020</v>
      </c>
      <c r="B48">
        <v>92509000</v>
      </c>
      <c r="C48">
        <v>21804100</v>
      </c>
      <c r="D48">
        <v>0</v>
      </c>
      <c r="E48">
        <v>1158150</v>
      </c>
    </row>
    <row r="49" spans="1:5" x14ac:dyDescent="0.25">
      <c r="A49">
        <v>2021</v>
      </c>
      <c r="B49">
        <v>99396400</v>
      </c>
      <c r="C49">
        <v>14612400</v>
      </c>
      <c r="D49">
        <v>2061390</v>
      </c>
      <c r="E49">
        <v>20239</v>
      </c>
    </row>
    <row r="50" spans="1:5" x14ac:dyDescent="0.25">
      <c r="A50">
        <v>2022</v>
      </c>
      <c r="B50">
        <v>11469000</v>
      </c>
      <c r="C50">
        <v>35962900</v>
      </c>
      <c r="D50">
        <v>3894070</v>
      </c>
      <c r="E50">
        <v>329991</v>
      </c>
    </row>
    <row r="51" spans="1:5" x14ac:dyDescent="0.25">
      <c r="A51">
        <v>2023</v>
      </c>
      <c r="B51">
        <v>60524200</v>
      </c>
      <c r="C51">
        <v>12895700</v>
      </c>
      <c r="D51">
        <v>1442120</v>
      </c>
      <c r="E51">
        <v>14876</v>
      </c>
    </row>
    <row r="52" spans="1:5" x14ac:dyDescent="0.25">
      <c r="A52">
        <v>2024</v>
      </c>
      <c r="B52">
        <v>18239400</v>
      </c>
      <c r="C52">
        <v>93071300</v>
      </c>
      <c r="D52">
        <v>5419530</v>
      </c>
      <c r="E52">
        <v>477335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E52"/>
  <sheetViews>
    <sheetView topLeftCell="A18" workbookViewId="0">
      <selection activeCell="B2" sqref="B2:E52"/>
    </sheetView>
  </sheetViews>
  <sheetFormatPr defaultRowHeight="15" x14ac:dyDescent="0.25"/>
  <sheetData>
    <row r="1" spans="1:5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1974</v>
      </c>
      <c r="B2" s="2">
        <v>0</v>
      </c>
      <c r="C2" s="3">
        <v>0.4093</v>
      </c>
      <c r="D2" s="3">
        <v>0.87190000000000001</v>
      </c>
      <c r="E2" s="3">
        <v>0.94679999999999997</v>
      </c>
    </row>
    <row r="3" spans="1:5" x14ac:dyDescent="0.25">
      <c r="A3">
        <v>1975</v>
      </c>
      <c r="B3" s="2">
        <v>0</v>
      </c>
      <c r="C3" s="3">
        <v>0.4093</v>
      </c>
      <c r="D3" s="3">
        <v>0.87190000000000001</v>
      </c>
      <c r="E3" s="3">
        <v>0.94679999999999997</v>
      </c>
    </row>
    <row r="4" spans="1:5" x14ac:dyDescent="0.25">
      <c r="A4">
        <v>1976</v>
      </c>
      <c r="B4" s="2">
        <v>0</v>
      </c>
      <c r="C4" s="3">
        <v>0.4093</v>
      </c>
      <c r="D4" s="3">
        <v>0.87190000000000001</v>
      </c>
      <c r="E4" s="3">
        <v>0.94679999999999997</v>
      </c>
    </row>
    <row r="5" spans="1:5" x14ac:dyDescent="0.25">
      <c r="A5">
        <v>1977</v>
      </c>
      <c r="B5" s="2">
        <v>0</v>
      </c>
      <c r="C5" s="3">
        <v>0.4093</v>
      </c>
      <c r="D5" s="3">
        <v>0.87190000000000001</v>
      </c>
      <c r="E5" s="3">
        <v>0.94679999999999997</v>
      </c>
    </row>
    <row r="6" spans="1:5" x14ac:dyDescent="0.25">
      <c r="A6">
        <v>1978</v>
      </c>
      <c r="B6" s="2">
        <v>0</v>
      </c>
      <c r="C6" s="3">
        <v>0.4093</v>
      </c>
      <c r="D6" s="3">
        <v>0.87190000000000001</v>
      </c>
      <c r="E6" s="3">
        <v>0.94679999999999997</v>
      </c>
    </row>
    <row r="7" spans="1:5" x14ac:dyDescent="0.25">
      <c r="A7">
        <v>1979</v>
      </c>
      <c r="B7" s="2">
        <v>0</v>
      </c>
      <c r="C7" s="3">
        <v>0.4093</v>
      </c>
      <c r="D7" s="3">
        <v>0.87190000000000001</v>
      </c>
      <c r="E7" s="3">
        <v>0.94679999999999997</v>
      </c>
    </row>
    <row r="8" spans="1:5" x14ac:dyDescent="0.25">
      <c r="A8">
        <v>1980</v>
      </c>
      <c r="B8" s="2">
        <v>0</v>
      </c>
      <c r="C8" s="3">
        <v>0.4093</v>
      </c>
      <c r="D8" s="3">
        <v>0.87190000000000001</v>
      </c>
      <c r="E8" s="3">
        <v>0.94679999999999997</v>
      </c>
    </row>
    <row r="9" spans="1:5" x14ac:dyDescent="0.25">
      <c r="A9">
        <v>1981</v>
      </c>
      <c r="B9" s="2">
        <v>0</v>
      </c>
      <c r="C9" s="3">
        <v>0.4093</v>
      </c>
      <c r="D9" s="3">
        <v>0.87190000000000001</v>
      </c>
      <c r="E9" s="3">
        <v>0.94679999999999997</v>
      </c>
    </row>
    <row r="10" spans="1:5" x14ac:dyDescent="0.25">
      <c r="A10">
        <v>1982</v>
      </c>
      <c r="B10" s="2">
        <v>0</v>
      </c>
      <c r="C10" s="3">
        <v>0.4093</v>
      </c>
      <c r="D10" s="3">
        <v>0.87190000000000001</v>
      </c>
      <c r="E10" s="3">
        <v>0.94679999999999997</v>
      </c>
    </row>
    <row r="11" spans="1:5" x14ac:dyDescent="0.25">
      <c r="A11">
        <v>1983</v>
      </c>
      <c r="B11" s="2">
        <v>0</v>
      </c>
      <c r="C11" s="3">
        <v>0.4093</v>
      </c>
      <c r="D11" s="3">
        <v>0.87190000000000001</v>
      </c>
      <c r="E11" s="3">
        <v>0.94679999999999997</v>
      </c>
    </row>
    <row r="12" spans="1:5" x14ac:dyDescent="0.25">
      <c r="A12">
        <v>1984</v>
      </c>
      <c r="B12" s="2">
        <v>0</v>
      </c>
      <c r="C12" s="3">
        <v>0.4093</v>
      </c>
      <c r="D12" s="3">
        <v>0.87190000000000001</v>
      </c>
      <c r="E12" s="3">
        <v>0.94679999999999997</v>
      </c>
    </row>
    <row r="13" spans="1:5" x14ac:dyDescent="0.25">
      <c r="A13">
        <v>1985</v>
      </c>
      <c r="B13" s="2">
        <v>0</v>
      </c>
      <c r="C13" s="3">
        <v>0.4093</v>
      </c>
      <c r="D13" s="3">
        <v>0.87190000000000001</v>
      </c>
      <c r="E13" s="3">
        <v>0.94679999999999997</v>
      </c>
    </row>
    <row r="14" spans="1:5" x14ac:dyDescent="0.25">
      <c r="A14">
        <v>1986</v>
      </c>
      <c r="B14" s="2">
        <v>0</v>
      </c>
      <c r="C14" s="3">
        <v>0.4093</v>
      </c>
      <c r="D14" s="3">
        <v>0.87190000000000001</v>
      </c>
      <c r="E14" s="3">
        <v>0.94679999999999997</v>
      </c>
    </row>
    <row r="15" spans="1:5" x14ac:dyDescent="0.25">
      <c r="A15">
        <v>1987</v>
      </c>
      <c r="B15" s="2">
        <v>0</v>
      </c>
      <c r="C15" s="3">
        <v>0.4093</v>
      </c>
      <c r="D15" s="3">
        <v>0.87190000000000001</v>
      </c>
      <c r="E15" s="3">
        <v>0.94679999999999997</v>
      </c>
    </row>
    <row r="16" spans="1:5" x14ac:dyDescent="0.25">
      <c r="A16">
        <v>1988</v>
      </c>
      <c r="B16" s="2">
        <v>0</v>
      </c>
      <c r="C16" s="3">
        <v>0.4093</v>
      </c>
      <c r="D16" s="3">
        <v>0.87190000000000001</v>
      </c>
      <c r="E16" s="3">
        <v>0.94679999999999997</v>
      </c>
    </row>
    <row r="17" spans="1:5" x14ac:dyDescent="0.25">
      <c r="A17">
        <v>1989</v>
      </c>
      <c r="B17" s="2">
        <v>0</v>
      </c>
      <c r="C17" s="3">
        <v>0.4093</v>
      </c>
      <c r="D17" s="3">
        <v>0.87190000000000001</v>
      </c>
      <c r="E17" s="3">
        <v>0.94679999999999997</v>
      </c>
    </row>
    <row r="18" spans="1:5" x14ac:dyDescent="0.25">
      <c r="A18">
        <v>1990</v>
      </c>
      <c r="B18" s="2">
        <v>0</v>
      </c>
      <c r="C18" s="3">
        <v>0.4093</v>
      </c>
      <c r="D18" s="3">
        <v>0.87190000000000001</v>
      </c>
      <c r="E18" s="3">
        <v>0.94679999999999997</v>
      </c>
    </row>
    <row r="19" spans="1:5" x14ac:dyDescent="0.25">
      <c r="A19">
        <v>1991</v>
      </c>
      <c r="B19" s="2">
        <v>0</v>
      </c>
      <c r="C19" s="3">
        <v>0.4093</v>
      </c>
      <c r="D19" s="3">
        <v>0.87190000000000001</v>
      </c>
      <c r="E19" s="3">
        <v>0.94679999999999997</v>
      </c>
    </row>
    <row r="20" spans="1:5" x14ac:dyDescent="0.25">
      <c r="A20">
        <v>1992</v>
      </c>
      <c r="B20" s="2">
        <v>0</v>
      </c>
      <c r="C20" s="3">
        <v>0.4093</v>
      </c>
      <c r="D20" s="3">
        <v>0.87190000000000001</v>
      </c>
      <c r="E20" s="3">
        <v>0.94679999999999997</v>
      </c>
    </row>
    <row r="21" spans="1:5" x14ac:dyDescent="0.25">
      <c r="A21">
        <v>1993</v>
      </c>
      <c r="B21" s="2">
        <v>0</v>
      </c>
      <c r="C21" s="3">
        <v>0.4093</v>
      </c>
      <c r="D21" s="3">
        <v>0.87190000000000001</v>
      </c>
      <c r="E21" s="3">
        <v>0.94679999999999997</v>
      </c>
    </row>
    <row r="22" spans="1:5" x14ac:dyDescent="0.25">
      <c r="A22">
        <v>1994</v>
      </c>
      <c r="B22" s="2">
        <v>0</v>
      </c>
      <c r="C22" s="3">
        <v>0.4093</v>
      </c>
      <c r="D22" s="3">
        <v>0.87190000000000001</v>
      </c>
      <c r="E22" s="3">
        <v>0.94679999999999997</v>
      </c>
    </row>
    <row r="23" spans="1:5" x14ac:dyDescent="0.25">
      <c r="A23">
        <v>1995</v>
      </c>
      <c r="B23" s="2">
        <v>0</v>
      </c>
      <c r="C23" s="3">
        <v>0.4093</v>
      </c>
      <c r="D23" s="3">
        <v>0.87190000000000001</v>
      </c>
      <c r="E23" s="3">
        <v>0.94679999999999997</v>
      </c>
    </row>
    <row r="24" spans="1:5" x14ac:dyDescent="0.25">
      <c r="A24">
        <v>1996</v>
      </c>
      <c r="B24" s="2">
        <v>0</v>
      </c>
      <c r="C24" s="3">
        <v>0.4093</v>
      </c>
      <c r="D24" s="3">
        <v>0.87190000000000001</v>
      </c>
      <c r="E24" s="3">
        <v>0.94679999999999997</v>
      </c>
    </row>
    <row r="25" spans="1:5" x14ac:dyDescent="0.25">
      <c r="A25">
        <v>1997</v>
      </c>
      <c r="B25" s="2">
        <v>0</v>
      </c>
      <c r="C25" s="3">
        <v>0.4093</v>
      </c>
      <c r="D25" s="3">
        <v>0.87190000000000001</v>
      </c>
      <c r="E25" s="3">
        <v>0.94679999999999997</v>
      </c>
    </row>
    <row r="26" spans="1:5" x14ac:dyDescent="0.25">
      <c r="A26">
        <v>1998</v>
      </c>
      <c r="B26" s="2">
        <v>0</v>
      </c>
      <c r="C26" s="3">
        <v>0.4093</v>
      </c>
      <c r="D26" s="3">
        <v>0.87190000000000001</v>
      </c>
      <c r="E26" s="3">
        <v>0.94679999999999997</v>
      </c>
    </row>
    <row r="27" spans="1:5" x14ac:dyDescent="0.25">
      <c r="A27">
        <v>1999</v>
      </c>
      <c r="B27" s="2">
        <v>0</v>
      </c>
      <c r="C27" s="3">
        <v>0.4093</v>
      </c>
      <c r="D27" s="3">
        <v>0.87190000000000001</v>
      </c>
      <c r="E27" s="3">
        <v>0.94679999999999997</v>
      </c>
    </row>
    <row r="28" spans="1:5" x14ac:dyDescent="0.25">
      <c r="A28">
        <v>2000</v>
      </c>
      <c r="B28" s="2">
        <v>0</v>
      </c>
      <c r="C28" s="3">
        <v>0.4093</v>
      </c>
      <c r="D28" s="3">
        <v>0.87190000000000001</v>
      </c>
      <c r="E28" s="3">
        <v>0.94679999999999997</v>
      </c>
    </row>
    <row r="29" spans="1:5" x14ac:dyDescent="0.25">
      <c r="A29">
        <v>2001</v>
      </c>
      <c r="B29" s="2">
        <v>0</v>
      </c>
      <c r="C29" s="3">
        <v>0.4093</v>
      </c>
      <c r="D29" s="3">
        <v>0.87190000000000001</v>
      </c>
      <c r="E29" s="3">
        <v>0.94679999999999997</v>
      </c>
    </row>
    <row r="30" spans="1:5" x14ac:dyDescent="0.25">
      <c r="A30">
        <v>2002</v>
      </c>
      <c r="B30" s="2">
        <v>0</v>
      </c>
      <c r="C30" s="3">
        <v>0.4093</v>
      </c>
      <c r="D30" s="3">
        <v>0.87190000000000001</v>
      </c>
      <c r="E30" s="3">
        <v>0.94679999999999997</v>
      </c>
    </row>
    <row r="31" spans="1:5" x14ac:dyDescent="0.25">
      <c r="A31">
        <v>2003</v>
      </c>
      <c r="B31" s="2">
        <v>0</v>
      </c>
      <c r="C31" s="3">
        <v>0.4093</v>
      </c>
      <c r="D31" s="3">
        <v>0.87190000000000001</v>
      </c>
      <c r="E31" s="3">
        <v>0.94679999999999997</v>
      </c>
    </row>
    <row r="32" spans="1:5" x14ac:dyDescent="0.25">
      <c r="A32">
        <v>2004</v>
      </c>
      <c r="B32" s="2">
        <v>0</v>
      </c>
      <c r="C32" s="3">
        <v>0.4093</v>
      </c>
      <c r="D32" s="3">
        <v>0.87190000000000001</v>
      </c>
      <c r="E32" s="3">
        <v>0.94679999999999997</v>
      </c>
    </row>
    <row r="33" spans="1:5" x14ac:dyDescent="0.25">
      <c r="A33">
        <v>2005</v>
      </c>
      <c r="B33" s="2">
        <v>0</v>
      </c>
      <c r="C33" s="3">
        <v>0.4093</v>
      </c>
      <c r="D33" s="3">
        <v>0.87190000000000001</v>
      </c>
      <c r="E33" s="3">
        <v>0.94679999999999997</v>
      </c>
    </row>
    <row r="34" spans="1:5" x14ac:dyDescent="0.25">
      <c r="A34">
        <v>2006</v>
      </c>
      <c r="B34" s="2">
        <v>0</v>
      </c>
      <c r="C34" s="3">
        <v>0.4093</v>
      </c>
      <c r="D34" s="3">
        <v>0.87190000000000001</v>
      </c>
      <c r="E34" s="3">
        <v>0.94679999999999997</v>
      </c>
    </row>
    <row r="35" spans="1:5" x14ac:dyDescent="0.25">
      <c r="A35">
        <v>2007</v>
      </c>
      <c r="B35" s="2">
        <v>0</v>
      </c>
      <c r="C35" s="3">
        <v>0.4093</v>
      </c>
      <c r="D35" s="3">
        <v>0.87190000000000001</v>
      </c>
      <c r="E35" s="3">
        <v>0.94679999999999997</v>
      </c>
    </row>
    <row r="36" spans="1:5" x14ac:dyDescent="0.25">
      <c r="A36">
        <v>2008</v>
      </c>
      <c r="B36" s="2">
        <v>0</v>
      </c>
      <c r="C36" s="3">
        <v>0.4093</v>
      </c>
      <c r="D36" s="3">
        <v>0.87190000000000001</v>
      </c>
      <c r="E36" s="3">
        <v>0.94679999999999997</v>
      </c>
    </row>
    <row r="37" spans="1:5" x14ac:dyDescent="0.25">
      <c r="A37">
        <v>2009</v>
      </c>
      <c r="B37" s="2">
        <v>0</v>
      </c>
      <c r="C37" s="3">
        <v>0.4093</v>
      </c>
      <c r="D37" s="3">
        <v>0.87190000000000001</v>
      </c>
      <c r="E37" s="3">
        <v>0.94679999999999997</v>
      </c>
    </row>
    <row r="38" spans="1:5" x14ac:dyDescent="0.25">
      <c r="A38">
        <v>2010</v>
      </c>
      <c r="B38" s="2">
        <v>0</v>
      </c>
      <c r="C38" s="3">
        <v>0.4093</v>
      </c>
      <c r="D38" s="3">
        <v>0.87190000000000001</v>
      </c>
      <c r="E38" s="3">
        <v>0.94679999999999997</v>
      </c>
    </row>
    <row r="39" spans="1:5" x14ac:dyDescent="0.25">
      <c r="A39">
        <v>2011</v>
      </c>
      <c r="B39" s="2">
        <v>0</v>
      </c>
      <c r="C39" s="3">
        <v>0.4093</v>
      </c>
      <c r="D39" s="3">
        <v>0.87190000000000001</v>
      </c>
      <c r="E39" s="3">
        <v>0.94679999999999997</v>
      </c>
    </row>
    <row r="40" spans="1:5" x14ac:dyDescent="0.25">
      <c r="A40">
        <v>2012</v>
      </c>
      <c r="B40" s="2">
        <v>0</v>
      </c>
      <c r="C40" s="3">
        <v>0.4093</v>
      </c>
      <c r="D40" s="3">
        <v>0.87190000000000001</v>
      </c>
      <c r="E40" s="3">
        <v>0.94679999999999997</v>
      </c>
    </row>
    <row r="41" spans="1:5" x14ac:dyDescent="0.25">
      <c r="A41">
        <v>2013</v>
      </c>
      <c r="B41" s="2">
        <v>0</v>
      </c>
      <c r="C41" s="3">
        <v>0.4093</v>
      </c>
      <c r="D41" s="3">
        <v>0.87190000000000001</v>
      </c>
      <c r="E41" s="3">
        <v>0.94679999999999997</v>
      </c>
    </row>
    <row r="42" spans="1:5" x14ac:dyDescent="0.25">
      <c r="A42">
        <v>2014</v>
      </c>
      <c r="B42" s="2">
        <v>0</v>
      </c>
      <c r="C42" s="3">
        <v>0.4093</v>
      </c>
      <c r="D42" s="3">
        <v>0.87190000000000001</v>
      </c>
      <c r="E42" s="3">
        <v>0.94679999999999997</v>
      </c>
    </row>
    <row r="43" spans="1:5" x14ac:dyDescent="0.25">
      <c r="A43">
        <v>2015</v>
      </c>
      <c r="B43" s="2">
        <v>0</v>
      </c>
      <c r="C43" s="3">
        <v>0.4093</v>
      </c>
      <c r="D43" s="3">
        <v>0.87190000000000001</v>
      </c>
      <c r="E43" s="3">
        <v>0.94679999999999997</v>
      </c>
    </row>
    <row r="44" spans="1:5" x14ac:dyDescent="0.25">
      <c r="A44">
        <v>2016</v>
      </c>
      <c r="B44" s="2">
        <v>0</v>
      </c>
      <c r="C44" s="3">
        <v>0.4093</v>
      </c>
      <c r="D44" s="3">
        <v>0.87190000000000001</v>
      </c>
      <c r="E44" s="3">
        <v>0.94679999999999997</v>
      </c>
    </row>
    <row r="45" spans="1:5" x14ac:dyDescent="0.25">
      <c r="A45">
        <v>2017</v>
      </c>
      <c r="B45" s="2">
        <v>0</v>
      </c>
      <c r="C45" s="3">
        <v>0.4093</v>
      </c>
      <c r="D45" s="3">
        <v>0.87190000000000001</v>
      </c>
      <c r="E45" s="3">
        <v>0.94679999999999997</v>
      </c>
    </row>
    <row r="46" spans="1:5" x14ac:dyDescent="0.25">
      <c r="A46">
        <v>2018</v>
      </c>
      <c r="B46" s="2">
        <v>0</v>
      </c>
      <c r="C46" s="3">
        <v>0.4093</v>
      </c>
      <c r="D46" s="3">
        <v>0.87190000000000001</v>
      </c>
      <c r="E46" s="3">
        <v>0.94679999999999997</v>
      </c>
    </row>
    <row r="47" spans="1:5" x14ac:dyDescent="0.25">
      <c r="A47">
        <v>2019</v>
      </c>
      <c r="B47" s="2">
        <v>0</v>
      </c>
      <c r="C47" s="3">
        <v>0.4093</v>
      </c>
      <c r="D47" s="3">
        <v>0.87190000000000001</v>
      </c>
      <c r="E47" s="3">
        <v>0.94679999999999997</v>
      </c>
    </row>
    <row r="48" spans="1:5" x14ac:dyDescent="0.25">
      <c r="A48">
        <v>2020</v>
      </c>
      <c r="B48" s="2">
        <v>0</v>
      </c>
      <c r="C48" s="3">
        <v>0.4093</v>
      </c>
      <c r="D48" s="3">
        <v>0.87190000000000001</v>
      </c>
      <c r="E48" s="3">
        <v>0.94679999999999997</v>
      </c>
    </row>
    <row r="49" spans="1:5" x14ac:dyDescent="0.25">
      <c r="A49">
        <v>2021</v>
      </c>
      <c r="B49" s="2">
        <v>0</v>
      </c>
      <c r="C49" s="3">
        <v>0.4093</v>
      </c>
      <c r="D49" s="3">
        <v>0.87190000000000001</v>
      </c>
      <c r="E49" s="3">
        <v>0.94679999999999997</v>
      </c>
    </row>
    <row r="50" spans="1:5" x14ac:dyDescent="0.25">
      <c r="A50">
        <v>2022</v>
      </c>
      <c r="B50" s="2">
        <v>0</v>
      </c>
      <c r="C50" s="3">
        <v>0.4093</v>
      </c>
      <c r="D50" s="3">
        <v>0.87190000000000001</v>
      </c>
      <c r="E50" s="3">
        <v>0.94679999999999997</v>
      </c>
    </row>
    <row r="51" spans="1:5" x14ac:dyDescent="0.25">
      <c r="A51">
        <v>2023</v>
      </c>
      <c r="B51" s="2">
        <v>0</v>
      </c>
      <c r="C51" s="3">
        <v>0.4093</v>
      </c>
      <c r="D51" s="3">
        <v>0.87190000000000001</v>
      </c>
      <c r="E51" s="3">
        <v>0.94679999999999997</v>
      </c>
    </row>
    <row r="52" spans="1:5" x14ac:dyDescent="0.25">
      <c r="A52">
        <v>2024</v>
      </c>
      <c r="B52" s="2">
        <v>0</v>
      </c>
      <c r="C52" s="3">
        <v>0.4093</v>
      </c>
      <c r="D52" s="3">
        <v>0.87190000000000001</v>
      </c>
      <c r="E52" s="3">
        <v>0.94679999999999997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0AE2-D1F7-4AFE-8F52-E2CCFAC906B8}">
  <sheetPr codeName="Sheet7"/>
  <dimension ref="A1:Z208"/>
  <sheetViews>
    <sheetView tabSelected="1" topLeftCell="A28" workbookViewId="0">
      <selection activeCell="B3" sqref="B3:E53"/>
    </sheetView>
  </sheetViews>
  <sheetFormatPr defaultRowHeight="15" x14ac:dyDescent="0.25"/>
  <sheetData>
    <row r="1" spans="1:26" x14ac:dyDescent="0.25">
      <c r="A1" t="s">
        <v>704</v>
      </c>
    </row>
    <row r="2" spans="1:26" x14ac:dyDescent="0.25">
      <c r="A2" t="s">
        <v>10</v>
      </c>
      <c r="B2">
        <v>0</v>
      </c>
      <c r="C2">
        <v>1</v>
      </c>
      <c r="D2">
        <v>2</v>
      </c>
      <c r="E2">
        <v>3</v>
      </c>
      <c r="H2" t="s">
        <v>703</v>
      </c>
      <c r="O2" t="s">
        <v>699</v>
      </c>
      <c r="W2" t="s">
        <v>700</v>
      </c>
    </row>
    <row r="3" spans="1:26" x14ac:dyDescent="0.25">
      <c r="A3">
        <f>'11.6.3Num'!A2</f>
        <v>1974</v>
      </c>
      <c r="B3">
        <f>C3*$W$208</f>
        <v>0.21569990087871299</v>
      </c>
      <c r="C3" s="4">
        <v>1.1519999999999999</v>
      </c>
      <c r="D3" s="4">
        <v>1.1519999999999999</v>
      </c>
      <c r="E3" s="4">
        <f>D3*$Z$208</f>
        <v>1.8032085270159581</v>
      </c>
      <c r="H3" t="s">
        <v>0</v>
      </c>
      <c r="I3" t="s">
        <v>5</v>
      </c>
      <c r="J3">
        <v>0</v>
      </c>
      <c r="K3">
        <v>1</v>
      </c>
      <c r="L3">
        <v>2</v>
      </c>
      <c r="M3">
        <v>3</v>
      </c>
      <c r="O3">
        <v>0</v>
      </c>
      <c r="P3">
        <v>1</v>
      </c>
      <c r="Q3">
        <v>2</v>
      </c>
      <c r="R3">
        <v>3</v>
      </c>
    </row>
    <row r="4" spans="1:26" x14ac:dyDescent="0.25">
      <c r="A4">
        <f>'11.6.3Num'!A3</f>
        <v>1975</v>
      </c>
      <c r="B4">
        <f t="shared" ref="B4:B53" si="0">C4*$W$208</f>
        <v>0.33160114970156312</v>
      </c>
      <c r="C4" s="4">
        <v>1.7709999999999999</v>
      </c>
      <c r="D4" s="4">
        <v>1.7709999999999999</v>
      </c>
      <c r="E4" s="4">
        <f t="shared" ref="E4:E53" si="1">D4*$Z$208</f>
        <v>2.7721200532510957</v>
      </c>
      <c r="H4">
        <v>1974</v>
      </c>
      <c r="I4">
        <v>1</v>
      </c>
      <c r="J4">
        <v>0</v>
      </c>
      <c r="K4">
        <v>0.13413862021277481</v>
      </c>
      <c r="L4">
        <v>0.19250448728824912</v>
      </c>
      <c r="M4">
        <v>0.86184102040927268</v>
      </c>
      <c r="O4">
        <v>0</v>
      </c>
      <c r="P4">
        <v>0.12553116285502985</v>
      </c>
      <c r="Q4">
        <v>0.17510938332667259</v>
      </c>
      <c r="R4">
        <v>0.57761625102860314</v>
      </c>
      <c r="W4">
        <f>IF($Q4&gt;0,O4/$Q4,"")</f>
        <v>0</v>
      </c>
      <c r="X4">
        <f t="shared" ref="X4:Z4" si="2">IF($Q4&gt;0,P4/$Q4,"")</f>
        <v>0.71687285095880415</v>
      </c>
      <c r="Y4">
        <f t="shared" si="2"/>
        <v>1</v>
      </c>
      <c r="Z4">
        <f t="shared" si="2"/>
        <v>3.2986025080737114</v>
      </c>
    </row>
    <row r="5" spans="1:26" x14ac:dyDescent="0.25">
      <c r="A5">
        <f>'11.6.3Num'!A4</f>
        <v>1976</v>
      </c>
      <c r="B5">
        <f t="shared" si="0"/>
        <v>0.34751650697125985</v>
      </c>
      <c r="C5" s="4">
        <v>1.8560000000000001</v>
      </c>
      <c r="D5" s="4">
        <v>1.8560000000000001</v>
      </c>
      <c r="E5" s="4">
        <f t="shared" si="1"/>
        <v>2.9051692935257107</v>
      </c>
      <c r="H5">
        <v>1974</v>
      </c>
      <c r="I5">
        <v>2</v>
      </c>
      <c r="J5">
        <v>7.5143115804754707E-3</v>
      </c>
      <c r="K5">
        <v>0.19322665577573611</v>
      </c>
      <c r="L5">
        <v>0.17401658622608124</v>
      </c>
      <c r="M5">
        <v>0.18481701475378426</v>
      </c>
      <c r="O5">
        <v>7.4861497243472463E-3</v>
      </c>
      <c r="P5">
        <v>0.17570487828593018</v>
      </c>
      <c r="Q5">
        <v>0.15971703958030503</v>
      </c>
      <c r="R5">
        <v>0.16874362241083218</v>
      </c>
      <c r="W5">
        <f t="shared" ref="W5:W68" si="3">IF($Q5&gt;0,O5/$Q5,"")</f>
        <v>4.6871327843409236E-2</v>
      </c>
      <c r="X5">
        <f t="shared" ref="X5:X68" si="4">IF($Q5&gt;0,P5/$Q5,"")</f>
        <v>1.1001010208280659</v>
      </c>
      <c r="Y5">
        <f t="shared" ref="Y5:Y68" si="5">IF($Q5&gt;0,Q5/$Q5,"")</f>
        <v>1</v>
      </c>
      <c r="Z5">
        <f t="shared" ref="Z5:Z68" si="6">IF($Q5&gt;0,R5/$Q5,"")</f>
        <v>1.0565160915469425</v>
      </c>
    </row>
    <row r="6" spans="1:26" x14ac:dyDescent="0.25">
      <c r="A6">
        <f>'11.6.3Num'!A5</f>
        <v>1977</v>
      </c>
      <c r="B6">
        <f t="shared" si="0"/>
        <v>0.3383417716040229</v>
      </c>
      <c r="C6" s="4">
        <v>1.8069999999999999</v>
      </c>
      <c r="D6" s="4">
        <v>1.8069999999999999</v>
      </c>
      <c r="E6" s="4">
        <f t="shared" si="1"/>
        <v>2.8284703197203442</v>
      </c>
      <c r="H6">
        <v>1974</v>
      </c>
      <c r="I6">
        <v>3</v>
      </c>
      <c r="J6">
        <v>1.647207912989564E-2</v>
      </c>
      <c r="K6">
        <v>0.29340907106860836</v>
      </c>
      <c r="L6">
        <v>0.65449611035996313</v>
      </c>
      <c r="M6">
        <v>0.33253411137109901</v>
      </c>
      <c r="O6">
        <v>1.6337156270257225E-2</v>
      </c>
      <c r="P6">
        <v>0.25428297296623814</v>
      </c>
      <c r="Q6">
        <v>0.48029612998352866</v>
      </c>
      <c r="R6">
        <v>0.28289579296094813</v>
      </c>
      <c r="W6">
        <f t="shared" si="3"/>
        <v>3.4014757251567891E-2</v>
      </c>
      <c r="X6">
        <f t="shared" si="4"/>
        <v>0.52942956874326375</v>
      </c>
      <c r="Y6">
        <f t="shared" si="5"/>
        <v>1</v>
      </c>
      <c r="Z6">
        <f t="shared" si="6"/>
        <v>0.58900285740517999</v>
      </c>
    </row>
    <row r="7" spans="1:26" x14ac:dyDescent="0.25">
      <c r="A7">
        <f>'11.6.3Num'!A6</f>
        <v>1978</v>
      </c>
      <c r="B7">
        <f t="shared" si="0"/>
        <v>0.23049182116466643</v>
      </c>
      <c r="C7" s="4">
        <v>1.2310000000000001</v>
      </c>
      <c r="D7" s="4">
        <v>1.2310000000000001</v>
      </c>
      <c r="E7" s="4">
        <f t="shared" si="1"/>
        <v>1.9268660562123654</v>
      </c>
      <c r="H7">
        <v>1974</v>
      </c>
      <c r="I7">
        <v>4</v>
      </c>
      <c r="J7">
        <v>9.8722018814575603E-3</v>
      </c>
      <c r="K7">
        <v>9.2173231641072315E-2</v>
      </c>
      <c r="L7">
        <v>0.25827951266523785</v>
      </c>
      <c r="M7">
        <v>0.25556494301429383</v>
      </c>
      <c r="O7">
        <v>9.8236316595463613E-3</v>
      </c>
      <c r="P7">
        <v>8.8052842241812423E-2</v>
      </c>
      <c r="Q7">
        <v>0.22762068786795864</v>
      </c>
      <c r="R7">
        <v>0.22552116206297634</v>
      </c>
      <c r="W7">
        <f t="shared" si="3"/>
        <v>4.3157903403072878E-2</v>
      </c>
      <c r="X7">
        <f t="shared" si="4"/>
        <v>0.38684024315439786</v>
      </c>
      <c r="Y7">
        <f t="shared" si="5"/>
        <v>1</v>
      </c>
      <c r="Z7">
        <f t="shared" si="6"/>
        <v>0.99077620832865498</v>
      </c>
    </row>
    <row r="8" spans="1:26" x14ac:dyDescent="0.25">
      <c r="A8">
        <f>'11.6.3Num'!A7</f>
        <v>1979</v>
      </c>
      <c r="B8">
        <f t="shared" si="0"/>
        <v>0.14454889190830419</v>
      </c>
      <c r="C8" s="4">
        <v>0.77200000000000002</v>
      </c>
      <c r="D8" s="4">
        <v>0.77200000000000002</v>
      </c>
      <c r="E8" s="4">
        <f t="shared" si="1"/>
        <v>1.2084001587294444</v>
      </c>
      <c r="H8">
        <v>1975</v>
      </c>
      <c r="I8">
        <v>1</v>
      </c>
      <c r="J8">
        <v>4.8647480201234941E-4</v>
      </c>
      <c r="K8">
        <v>0.29525133655668917</v>
      </c>
      <c r="L8">
        <v>0.55285431446955946</v>
      </c>
      <c r="M8">
        <v>0.32949779137623603</v>
      </c>
      <c r="O8">
        <v>4.8635649233153E-4</v>
      </c>
      <c r="P8">
        <v>0.25565551702554634</v>
      </c>
      <c r="Q8">
        <v>0.42469463780890282</v>
      </c>
      <c r="R8">
        <v>0.28071512619300076</v>
      </c>
      <c r="W8">
        <f t="shared" si="3"/>
        <v>1.1451910361777932E-3</v>
      </c>
      <c r="X8">
        <f t="shared" si="4"/>
        <v>0.60197491153769178</v>
      </c>
      <c r="Y8">
        <f t="shared" si="5"/>
        <v>1</v>
      </c>
      <c r="Z8">
        <f t="shared" si="6"/>
        <v>0.66098109371306069</v>
      </c>
    </row>
    <row r="9" spans="1:26" x14ac:dyDescent="0.25">
      <c r="A9">
        <f>'11.6.3Num'!A8</f>
        <v>1980</v>
      </c>
      <c r="B9">
        <f t="shared" si="0"/>
        <v>0.44862583550815655</v>
      </c>
      <c r="C9" s="4">
        <v>2.3959999999999999</v>
      </c>
      <c r="D9" s="4">
        <v>2.3959999999999999</v>
      </c>
      <c r="E9" s="4">
        <f t="shared" si="1"/>
        <v>3.750423290564441</v>
      </c>
      <c r="H9">
        <v>1975</v>
      </c>
      <c r="I9">
        <v>2</v>
      </c>
      <c r="J9">
        <v>3.610683588010579E-3</v>
      </c>
      <c r="K9">
        <v>0.38263089067227996</v>
      </c>
      <c r="L9">
        <v>0.73654023756133746</v>
      </c>
      <c r="M9">
        <v>0.58920958096523168</v>
      </c>
      <c r="O9">
        <v>3.6041729083827745E-3</v>
      </c>
      <c r="P9">
        <v>0.31793539076173527</v>
      </c>
      <c r="Q9">
        <v>0.52123252486277694</v>
      </c>
      <c r="R9">
        <v>0.44523439122113406</v>
      </c>
      <c r="W9">
        <f t="shared" si="3"/>
        <v>6.9147122185662388E-3</v>
      </c>
      <c r="X9">
        <f t="shared" si="4"/>
        <v>0.60996844133131756</v>
      </c>
      <c r="Y9">
        <f t="shared" si="5"/>
        <v>1</v>
      </c>
      <c r="Z9">
        <f t="shared" si="6"/>
        <v>0.85419533506346201</v>
      </c>
    </row>
    <row r="10" spans="1:26" x14ac:dyDescent="0.25">
      <c r="A10">
        <f>'11.6.3Num'!A9</f>
        <v>1981</v>
      </c>
      <c r="B10">
        <f t="shared" si="0"/>
        <v>0.20877203947896267</v>
      </c>
      <c r="C10" s="4">
        <v>1.115</v>
      </c>
      <c r="D10" s="4">
        <v>1.115</v>
      </c>
      <c r="E10" s="4">
        <f t="shared" si="1"/>
        <v>1.7452929753670083</v>
      </c>
      <c r="H10">
        <v>1975</v>
      </c>
      <c r="I10">
        <v>3</v>
      </c>
      <c r="J10">
        <v>2.3480912883523556E-2</v>
      </c>
      <c r="K10">
        <v>0.23928945911949687</v>
      </c>
      <c r="L10">
        <v>1.5725205580971111</v>
      </c>
      <c r="M10">
        <v>1.0671546734170685</v>
      </c>
      <c r="O10">
        <v>2.3207381354601209E-2</v>
      </c>
      <c r="P10">
        <v>0.21281300906162426</v>
      </c>
      <c r="Q10">
        <f>P10</f>
        <v>0.21281300906162426</v>
      </c>
      <c r="R10">
        <f>Q10</f>
        <v>0.21281300906162426</v>
      </c>
      <c r="W10">
        <f t="shared" si="3"/>
        <v>0.10905057663970649</v>
      </c>
      <c r="X10">
        <f t="shared" si="4"/>
        <v>1</v>
      </c>
      <c r="Y10">
        <f t="shared" si="5"/>
        <v>1</v>
      </c>
      <c r="Z10">
        <f t="shared" si="6"/>
        <v>1</v>
      </c>
    </row>
    <row r="11" spans="1:26" x14ac:dyDescent="0.25">
      <c r="A11">
        <f>'11.6.3Num'!A10</f>
        <v>1982</v>
      </c>
      <c r="B11">
        <f t="shared" si="0"/>
        <v>0.17169861901543387</v>
      </c>
      <c r="C11" s="4">
        <v>0.91700000000000004</v>
      </c>
      <c r="D11" s="4">
        <v>0.91700000000000004</v>
      </c>
      <c r="E11" s="4">
        <f t="shared" si="1"/>
        <v>1.4353665097861406</v>
      </c>
      <c r="H11">
        <v>1975</v>
      </c>
      <c r="I11">
        <v>4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W11" t="str">
        <f t="shared" si="3"/>
        <v/>
      </c>
      <c r="X11" t="str">
        <f t="shared" si="4"/>
        <v/>
      </c>
      <c r="Y11" t="str">
        <f t="shared" si="5"/>
        <v/>
      </c>
      <c r="Z11" t="str">
        <f t="shared" si="6"/>
        <v/>
      </c>
    </row>
    <row r="12" spans="1:26" x14ac:dyDescent="0.25">
      <c r="A12">
        <f>'11.6.3Num'!A11</f>
        <v>1983</v>
      </c>
      <c r="B12">
        <f t="shared" si="0"/>
        <v>0.2926553342651288</v>
      </c>
      <c r="C12" s="4">
        <v>1.5629999999999999</v>
      </c>
      <c r="D12" s="4">
        <v>1.5629999999999999</v>
      </c>
      <c r="E12" s="4">
        <f t="shared" si="1"/>
        <v>2.4465407358732141</v>
      </c>
      <c r="H12">
        <v>1976</v>
      </c>
      <c r="I12">
        <v>1</v>
      </c>
      <c r="J12">
        <v>9.2458294327510855E-3</v>
      </c>
      <c r="K12">
        <v>0.35914395595980564</v>
      </c>
      <c r="L12">
        <v>0.30821602681129345</v>
      </c>
      <c r="M12">
        <v>0.29460723486439921</v>
      </c>
      <c r="O12">
        <v>9.2032181783865408E-3</v>
      </c>
      <c r="P12">
        <v>0.30172617656250911</v>
      </c>
      <c r="Q12">
        <v>0.26524342625652542</v>
      </c>
      <c r="R12">
        <v>0.25517592904928277</v>
      </c>
      <c r="W12">
        <f t="shared" si="3"/>
        <v>3.469725266437259E-2</v>
      </c>
      <c r="X12">
        <f t="shared" si="4"/>
        <v>1.1375444090014886</v>
      </c>
      <c r="Y12">
        <f t="shared" si="5"/>
        <v>1</v>
      </c>
      <c r="Z12">
        <f t="shared" si="6"/>
        <v>0.96204431020467196</v>
      </c>
    </row>
    <row r="13" spans="1:26" x14ac:dyDescent="0.25">
      <c r="A13">
        <f>'11.6.3Num'!A12</f>
        <v>1984</v>
      </c>
      <c r="B13">
        <f t="shared" si="0"/>
        <v>0.1509150348161829</v>
      </c>
      <c r="C13" s="4">
        <v>0.80600000000000005</v>
      </c>
      <c r="D13" s="4">
        <v>0.80600000000000005</v>
      </c>
      <c r="E13" s="4">
        <f t="shared" si="1"/>
        <v>1.2616198548392903</v>
      </c>
      <c r="H13">
        <v>1976</v>
      </c>
      <c r="I13">
        <v>2</v>
      </c>
      <c r="J13">
        <v>4.9265003675180281E-2</v>
      </c>
      <c r="K13">
        <v>0.38969599415125727</v>
      </c>
      <c r="L13">
        <v>0.52351696496665423</v>
      </c>
      <c r="M13">
        <v>0.40248566834134331</v>
      </c>
      <c r="O13">
        <v>4.8071168368868489E-2</v>
      </c>
      <c r="P13">
        <v>0.32273726496223787</v>
      </c>
      <c r="Q13">
        <v>0.40756668745062197</v>
      </c>
      <c r="R13">
        <v>0.33134407819407996</v>
      </c>
      <c r="W13">
        <f t="shared" si="3"/>
        <v>0.11794675533851738</v>
      </c>
      <c r="X13">
        <f t="shared" si="4"/>
        <v>0.79186369960949898</v>
      </c>
      <c r="Y13">
        <f t="shared" si="5"/>
        <v>1</v>
      </c>
      <c r="Z13">
        <f t="shared" si="6"/>
        <v>0.81298125778305519</v>
      </c>
    </row>
    <row r="14" spans="1:26" x14ac:dyDescent="0.25">
      <c r="A14">
        <f>'11.6.3Num'!A13</f>
        <v>1985</v>
      </c>
      <c r="B14">
        <f t="shared" si="0"/>
        <v>0.22056812780826726</v>
      </c>
      <c r="C14" s="4">
        <v>1.1779999999999999</v>
      </c>
      <c r="D14" s="4">
        <v>1.1779999999999999</v>
      </c>
      <c r="E14" s="4">
        <f t="shared" si="1"/>
        <v>1.8439059416881933</v>
      </c>
      <c r="H14">
        <v>1976</v>
      </c>
      <c r="I14">
        <v>3</v>
      </c>
      <c r="J14">
        <v>7.5318406695477028E-2</v>
      </c>
      <c r="K14">
        <v>0.28240437470435675</v>
      </c>
      <c r="L14">
        <v>0.39032322516381479</v>
      </c>
      <c r="M14">
        <v>0.18269781794137094</v>
      </c>
      <c r="O14">
        <v>7.2551866385543118E-2</v>
      </c>
      <c r="P14">
        <v>0.2460312630044077</v>
      </c>
      <c r="Q14">
        <v>0.32316193195722576</v>
      </c>
      <c r="R14">
        <v>0.16698015864172333</v>
      </c>
      <c r="W14">
        <f t="shared" si="3"/>
        <v>0.22450622802671635</v>
      </c>
      <c r="X14">
        <f t="shared" si="4"/>
        <v>0.76132501595816926</v>
      </c>
      <c r="Y14">
        <f t="shared" si="5"/>
        <v>1</v>
      </c>
      <c r="Z14">
        <f t="shared" si="6"/>
        <v>0.51670739072021976</v>
      </c>
    </row>
    <row r="15" spans="1:26" x14ac:dyDescent="0.25">
      <c r="A15">
        <f>'11.6.3Num'!A14</f>
        <v>1986</v>
      </c>
      <c r="B15">
        <f t="shared" si="0"/>
        <v>0.18255850985828573</v>
      </c>
      <c r="C15" s="4">
        <v>0.97499999999999998</v>
      </c>
      <c r="D15" s="4">
        <v>0.97499999999999998</v>
      </c>
      <c r="E15" s="4">
        <f t="shared" si="1"/>
        <v>1.526153050208819</v>
      </c>
      <c r="H15">
        <v>1976</v>
      </c>
      <c r="I15">
        <v>4</v>
      </c>
      <c r="J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0</v>
      </c>
      <c r="R15">
        <v>0</v>
      </c>
      <c r="W15" t="str">
        <f t="shared" si="3"/>
        <v/>
      </c>
      <c r="X15" t="str">
        <f t="shared" si="4"/>
        <v/>
      </c>
      <c r="Y15" t="str">
        <f t="shared" si="5"/>
        <v/>
      </c>
      <c r="Z15" t="str">
        <f t="shared" si="6"/>
        <v/>
      </c>
    </row>
    <row r="16" spans="1:26" x14ac:dyDescent="0.25">
      <c r="A16">
        <f>'11.6.3Num'!A15</f>
        <v>1987</v>
      </c>
      <c r="B16">
        <f t="shared" si="0"/>
        <v>5.9354920641104182E-2</v>
      </c>
      <c r="C16" s="4">
        <v>0.317</v>
      </c>
      <c r="D16" s="4">
        <v>0.317</v>
      </c>
      <c r="E16" s="4">
        <f t="shared" si="1"/>
        <v>0.4961954019653288</v>
      </c>
      <c r="H16">
        <v>1977</v>
      </c>
      <c r="I16">
        <v>1</v>
      </c>
      <c r="J16">
        <v>7.0824772666241926E-3</v>
      </c>
      <c r="K16">
        <v>0.2437338040492498</v>
      </c>
      <c r="L16">
        <v>0.46137731162020423</v>
      </c>
      <c r="M16">
        <v>0.37163423267787882</v>
      </c>
      <c r="O16">
        <v>7.0574556310777359E-3</v>
      </c>
      <c r="P16">
        <v>0.21630377673989232</v>
      </c>
      <c r="Q16">
        <v>0.36958523029994905</v>
      </c>
      <c r="R16">
        <v>0.31039356810199226</v>
      </c>
      <c r="W16">
        <f t="shared" si="3"/>
        <v>1.9095610572289444E-2</v>
      </c>
      <c r="X16">
        <f t="shared" si="4"/>
        <v>0.58526087897057977</v>
      </c>
      <c r="Y16">
        <f t="shared" si="5"/>
        <v>1</v>
      </c>
      <c r="Z16">
        <f t="shared" si="6"/>
        <v>0.83984299873152979</v>
      </c>
    </row>
    <row r="17" spans="1:26" x14ac:dyDescent="0.25">
      <c r="A17">
        <f>'11.6.3Num'!A16</f>
        <v>1988</v>
      </c>
      <c r="B17">
        <f t="shared" si="0"/>
        <v>0.2127040689220642</v>
      </c>
      <c r="C17" s="4">
        <v>1.1359999999999999</v>
      </c>
      <c r="D17" s="4">
        <v>1.1359999999999999</v>
      </c>
      <c r="E17" s="4">
        <f t="shared" si="1"/>
        <v>1.7781639641407365</v>
      </c>
      <c r="H17">
        <v>1977</v>
      </c>
      <c r="I17">
        <v>2</v>
      </c>
      <c r="J17">
        <v>9.6242906135667536E-3</v>
      </c>
      <c r="K17">
        <v>0.20992274373175596</v>
      </c>
      <c r="L17">
        <v>0.89868707742212839</v>
      </c>
      <c r="M17">
        <v>0.58289916726229951</v>
      </c>
      <c r="O17">
        <v>9.5781253500027974E-3</v>
      </c>
      <c r="P17">
        <v>0.189353128896811</v>
      </c>
      <c r="Q17">
        <v>0.59289619520482728</v>
      </c>
      <c r="R17">
        <v>0.44172252170074078</v>
      </c>
      <c r="W17">
        <f t="shared" si="3"/>
        <v>1.6154809943912444E-2</v>
      </c>
      <c r="X17">
        <f t="shared" si="4"/>
        <v>0.31936978248172998</v>
      </c>
      <c r="Y17">
        <f t="shared" si="5"/>
        <v>1</v>
      </c>
      <c r="Z17">
        <f t="shared" si="6"/>
        <v>0.74502505712343003</v>
      </c>
    </row>
    <row r="18" spans="1:26" x14ac:dyDescent="0.25">
      <c r="A18">
        <f>'11.6.3Num'!A17</f>
        <v>1989</v>
      </c>
      <c r="B18">
        <f t="shared" si="0"/>
        <v>5.5235651700712096E-2</v>
      </c>
      <c r="C18" s="4">
        <v>0.29499999999999998</v>
      </c>
      <c r="D18" s="4">
        <v>0.29499999999999998</v>
      </c>
      <c r="E18" s="4">
        <f t="shared" si="1"/>
        <v>0.46175912801189906</v>
      </c>
      <c r="H18">
        <v>1977</v>
      </c>
      <c r="I18">
        <v>3</v>
      </c>
      <c r="J18">
        <v>8.9984207420185897E-2</v>
      </c>
      <c r="K18">
        <v>0.15152746611430309</v>
      </c>
      <c r="L18">
        <v>2.2531605915263695</v>
      </c>
      <c r="M18">
        <v>1.4662274752954854</v>
      </c>
      <c r="O18">
        <v>8.6054381283613424E-2</v>
      </c>
      <c r="P18">
        <v>0.14060572227269763</v>
      </c>
      <c r="Q18">
        <f t="shared" ref="Q18:R18" si="7">P18</f>
        <v>0.14060572227269763</v>
      </c>
      <c r="R18">
        <f t="shared" si="7"/>
        <v>0.14060572227269763</v>
      </c>
      <c r="W18">
        <f t="shared" si="3"/>
        <v>0.61202616716206859</v>
      </c>
      <c r="X18">
        <f t="shared" si="4"/>
        <v>1</v>
      </c>
      <c r="Y18">
        <f t="shared" si="5"/>
        <v>1</v>
      </c>
      <c r="Z18">
        <f t="shared" si="6"/>
        <v>1</v>
      </c>
    </row>
    <row r="19" spans="1:26" x14ac:dyDescent="0.25">
      <c r="A19">
        <f>'11.6.3Num'!A18</f>
        <v>1990</v>
      </c>
      <c r="B19">
        <f t="shared" si="0"/>
        <v>0.26400769117967476</v>
      </c>
      <c r="C19" s="5">
        <v>1.41</v>
      </c>
      <c r="D19" s="5">
        <v>1.41</v>
      </c>
      <c r="E19" s="4">
        <f t="shared" si="1"/>
        <v>2.2070521033789072</v>
      </c>
      <c r="H19">
        <v>1977</v>
      </c>
      <c r="I19">
        <v>4</v>
      </c>
      <c r="J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0</v>
      </c>
      <c r="R19">
        <v>0</v>
      </c>
      <c r="W19" t="str">
        <f t="shared" si="3"/>
        <v/>
      </c>
      <c r="X19" t="str">
        <f t="shared" si="4"/>
        <v/>
      </c>
      <c r="Y19" t="str">
        <f t="shared" si="5"/>
        <v/>
      </c>
      <c r="Z19" t="str">
        <f t="shared" si="6"/>
        <v/>
      </c>
    </row>
    <row r="20" spans="1:26" x14ac:dyDescent="0.25">
      <c r="A20">
        <f>'11.6.3Num'!A19</f>
        <v>1991</v>
      </c>
      <c r="B20">
        <f t="shared" si="0"/>
        <v>0.11440333284452572</v>
      </c>
      <c r="C20" s="4">
        <v>0.61099999999999999</v>
      </c>
      <c r="D20" s="4">
        <v>0.61099999999999999</v>
      </c>
      <c r="E20" s="4">
        <f t="shared" si="1"/>
        <v>0.95638924479752652</v>
      </c>
      <c r="H20">
        <v>1978</v>
      </c>
      <c r="I20">
        <v>1</v>
      </c>
      <c r="J20">
        <v>7.2488777640846195E-4</v>
      </c>
      <c r="K20">
        <v>0.35394913438718661</v>
      </c>
      <c r="L20">
        <v>7.7571029609507264E-2</v>
      </c>
      <c r="M20">
        <v>0.23706101859909437</v>
      </c>
      <c r="O20">
        <v>7.246251087362765E-4</v>
      </c>
      <c r="P20">
        <v>0.29808933043627339</v>
      </c>
      <c r="Q20">
        <v>7.4638705989104048E-2</v>
      </c>
      <c r="R20">
        <v>0.21105685365669913</v>
      </c>
      <c r="W20">
        <f t="shared" si="3"/>
        <v>9.7084361141263516E-3</v>
      </c>
      <c r="X20">
        <f t="shared" si="4"/>
        <v>3.9937633763343814</v>
      </c>
      <c r="Y20">
        <f t="shared" si="5"/>
        <v>1</v>
      </c>
      <c r="Z20">
        <f t="shared" si="6"/>
        <v>2.8277131933062956</v>
      </c>
    </row>
    <row r="21" spans="1:26" x14ac:dyDescent="0.25">
      <c r="A21">
        <f>'11.6.3Num'!A20</f>
        <v>1992</v>
      </c>
      <c r="B21">
        <f t="shared" si="0"/>
        <v>0.14567232889204751</v>
      </c>
      <c r="C21" s="4">
        <v>0.77800000000000002</v>
      </c>
      <c r="D21" s="4">
        <v>0.77800000000000002</v>
      </c>
      <c r="E21" s="4">
        <f t="shared" si="1"/>
        <v>1.2177918698076524</v>
      </c>
      <c r="H21">
        <v>1978</v>
      </c>
      <c r="I21">
        <v>2</v>
      </c>
      <c r="J21">
        <v>1.2193788701828516E-2</v>
      </c>
      <c r="K21">
        <v>0.21638529872552978</v>
      </c>
      <c r="L21">
        <v>0.47424809745425461</v>
      </c>
      <c r="M21">
        <v>0.58491975178691369</v>
      </c>
      <c r="O21">
        <v>1.211974572076413E-2</v>
      </c>
      <c r="P21">
        <v>0.19457508711136651</v>
      </c>
      <c r="Q21">
        <v>0.37764717074012344</v>
      </c>
      <c r="R21">
        <v>0.44284942964404939</v>
      </c>
      <c r="W21">
        <f t="shared" si="3"/>
        <v>3.2092775108076448E-2</v>
      </c>
      <c r="X21">
        <f t="shared" si="4"/>
        <v>0.5152298287579723</v>
      </c>
      <c r="Y21">
        <f t="shared" si="5"/>
        <v>1</v>
      </c>
      <c r="Z21">
        <f t="shared" si="6"/>
        <v>1.17265390543279</v>
      </c>
    </row>
    <row r="22" spans="1:26" x14ac:dyDescent="0.25">
      <c r="A22">
        <f>'11.6.3Num'!A21</f>
        <v>1993</v>
      </c>
      <c r="B22">
        <f t="shared" si="0"/>
        <v>0.26101185922302594</v>
      </c>
      <c r="C22" s="4">
        <v>1.3939999999999999</v>
      </c>
      <c r="D22" s="4">
        <v>1.3939999999999999</v>
      </c>
      <c r="E22" s="4">
        <f t="shared" si="1"/>
        <v>2.1820075405036854</v>
      </c>
      <c r="H22">
        <v>1978</v>
      </c>
      <c r="I22">
        <v>3</v>
      </c>
      <c r="J22">
        <v>1.9429687179373854E-2</v>
      </c>
      <c r="K22">
        <v>0.17138296772592884</v>
      </c>
      <c r="L22">
        <v>1.2321434470001431</v>
      </c>
      <c r="M22">
        <v>0.4398431072981549</v>
      </c>
      <c r="O22">
        <v>1.9242147384689212E-2</v>
      </c>
      <c r="P22">
        <v>0.15750113819171618</v>
      </c>
      <c r="Q22">
        <f>P22</f>
        <v>0.15750113819171618</v>
      </c>
      <c r="R22">
        <v>0.35586252637567239</v>
      </c>
      <c r="W22">
        <f t="shared" si="3"/>
        <v>0.12217148146108608</v>
      </c>
      <c r="X22">
        <f t="shared" si="4"/>
        <v>1</v>
      </c>
      <c r="Y22">
        <f t="shared" si="5"/>
        <v>1</v>
      </c>
      <c r="Z22">
        <f t="shared" si="6"/>
        <v>2.2594282838928024</v>
      </c>
    </row>
    <row r="23" spans="1:26" x14ac:dyDescent="0.25">
      <c r="A23">
        <f>'11.6.3Num'!A22</f>
        <v>1994</v>
      </c>
      <c r="B23">
        <f t="shared" si="0"/>
        <v>0.12732285815757366</v>
      </c>
      <c r="C23" s="5">
        <v>0.68</v>
      </c>
      <c r="D23" s="5">
        <v>0.68</v>
      </c>
      <c r="E23" s="4">
        <f t="shared" si="1"/>
        <v>1.0643939221969199</v>
      </c>
      <c r="H23">
        <v>1978</v>
      </c>
      <c r="I23">
        <v>4</v>
      </c>
      <c r="J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0</v>
      </c>
      <c r="R23">
        <v>0</v>
      </c>
      <c r="W23" t="str">
        <f t="shared" si="3"/>
        <v/>
      </c>
      <c r="X23" t="str">
        <f t="shared" si="4"/>
        <v/>
      </c>
      <c r="Y23" t="str">
        <f t="shared" si="5"/>
        <v/>
      </c>
      <c r="Z23" t="str">
        <f t="shared" si="6"/>
        <v/>
      </c>
    </row>
    <row r="24" spans="1:26" x14ac:dyDescent="0.25">
      <c r="A24">
        <f>'11.6.3Num'!A23</f>
        <v>1995</v>
      </c>
      <c r="B24">
        <f t="shared" si="0"/>
        <v>0.24210066999668045</v>
      </c>
      <c r="C24" s="4">
        <v>1.2929999999999999</v>
      </c>
      <c r="D24" s="4">
        <v>1.2929999999999999</v>
      </c>
      <c r="E24" s="4">
        <f t="shared" si="1"/>
        <v>2.0239137373538489</v>
      </c>
      <c r="H24">
        <v>1979</v>
      </c>
      <c r="I24">
        <v>1</v>
      </c>
      <c r="J24">
        <v>1.0170828041042603E-2</v>
      </c>
      <c r="K24">
        <v>0.21422851863258394</v>
      </c>
      <c r="L24">
        <v>4.3832358966331593E-2</v>
      </c>
      <c r="M24">
        <v>0.25201480174695035</v>
      </c>
      <c r="O24">
        <v>1.011928007936258E-2</v>
      </c>
      <c r="P24">
        <v>0.19283608804771313</v>
      </c>
      <c r="Q24">
        <v>4.2885604328712468E-2</v>
      </c>
      <c r="R24">
        <v>0.2227667664258417</v>
      </c>
      <c r="W24">
        <f t="shared" si="3"/>
        <v>0.23595983402261611</v>
      </c>
      <c r="X24">
        <f t="shared" si="4"/>
        <v>4.4965225759592915</v>
      </c>
      <c r="Y24">
        <f t="shared" si="5"/>
        <v>1</v>
      </c>
      <c r="Z24">
        <f t="shared" si="6"/>
        <v>5.1944415827363422</v>
      </c>
    </row>
    <row r="25" spans="1:26" x14ac:dyDescent="0.25">
      <c r="A25">
        <f>'11.6.3Num'!A24</f>
        <v>1996</v>
      </c>
      <c r="B25">
        <f t="shared" si="0"/>
        <v>0.20633792601418555</v>
      </c>
      <c r="C25" s="4">
        <v>1.1020000000000001</v>
      </c>
      <c r="D25" s="4">
        <v>1.1020000000000001</v>
      </c>
      <c r="E25" s="4">
        <f t="shared" si="1"/>
        <v>1.7249442680308908</v>
      </c>
      <c r="H25">
        <v>1979</v>
      </c>
      <c r="I25">
        <v>2</v>
      </c>
      <c r="J25">
        <v>4.2317894635306979E-3</v>
      </c>
      <c r="K25">
        <v>0.11512670990189448</v>
      </c>
      <c r="L25">
        <v>0.27242016981160733</v>
      </c>
      <c r="M25">
        <v>0.24439200808136891</v>
      </c>
      <c r="O25">
        <v>4.2228480596583351E-3</v>
      </c>
      <c r="P25">
        <v>0.1087467938544977</v>
      </c>
      <c r="Q25">
        <v>0.23846577983104167</v>
      </c>
      <c r="R25">
        <v>0.21681943902988265</v>
      </c>
      <c r="W25">
        <f t="shared" si="3"/>
        <v>1.7708402701009415E-2</v>
      </c>
      <c r="X25">
        <f t="shared" si="4"/>
        <v>0.45602683090021234</v>
      </c>
      <c r="Y25">
        <f t="shared" si="5"/>
        <v>1</v>
      </c>
      <c r="Z25">
        <f t="shared" si="6"/>
        <v>0.90922663697702899</v>
      </c>
    </row>
    <row r="26" spans="1:26" x14ac:dyDescent="0.25">
      <c r="A26">
        <f>'11.6.3Num'!A25</f>
        <v>1997</v>
      </c>
      <c r="B26">
        <f t="shared" si="0"/>
        <v>0.14791920285953408</v>
      </c>
      <c r="C26" s="5">
        <v>0.79</v>
      </c>
      <c r="D26" s="5">
        <v>0.79</v>
      </c>
      <c r="E26" s="4">
        <f t="shared" si="1"/>
        <v>1.2365752919640687</v>
      </c>
      <c r="H26">
        <v>1979</v>
      </c>
      <c r="I26">
        <v>3</v>
      </c>
      <c r="J26">
        <v>2.2705126630762122E-2</v>
      </c>
      <c r="K26">
        <v>0.10206838416608449</v>
      </c>
      <c r="L26">
        <v>8.9024817619787755E-2</v>
      </c>
      <c r="M26">
        <v>0.21606237881650009</v>
      </c>
      <c r="O26">
        <v>2.244930505469156E-2</v>
      </c>
      <c r="P26">
        <v>9.703219914255079E-2</v>
      </c>
      <c r="Q26">
        <v>8.5177130433426562E-2</v>
      </c>
      <c r="R26">
        <v>0.19431495737349103</v>
      </c>
      <c r="W26">
        <f t="shared" si="3"/>
        <v>0.26356024135184586</v>
      </c>
      <c r="X26">
        <f t="shared" si="4"/>
        <v>1.1391813582918247</v>
      </c>
      <c r="Y26">
        <f t="shared" si="5"/>
        <v>1</v>
      </c>
      <c r="Z26">
        <f t="shared" si="6"/>
        <v>2.2813043405514266</v>
      </c>
    </row>
    <row r="27" spans="1:26" x14ac:dyDescent="0.25">
      <c r="A27">
        <f>'11.6.3Num'!A26</f>
        <v>1998</v>
      </c>
      <c r="B27">
        <f t="shared" si="0"/>
        <v>0.27074831308213454</v>
      </c>
      <c r="C27" s="4">
        <v>1.446</v>
      </c>
      <c r="D27" s="4">
        <v>1.446</v>
      </c>
      <c r="E27" s="4">
        <f t="shared" si="1"/>
        <v>2.2634023698481558</v>
      </c>
      <c r="H27">
        <v>1979</v>
      </c>
      <c r="I27">
        <v>4</v>
      </c>
      <c r="J27">
        <v>0</v>
      </c>
      <c r="K27">
        <v>0</v>
      </c>
      <c r="L27">
        <v>0</v>
      </c>
      <c r="M27">
        <v>0</v>
      </c>
      <c r="O27">
        <v>0</v>
      </c>
      <c r="P27">
        <v>0</v>
      </c>
      <c r="Q27">
        <v>0</v>
      </c>
      <c r="R27">
        <v>0</v>
      </c>
      <c r="W27" t="str">
        <f t="shared" si="3"/>
        <v/>
      </c>
      <c r="X27" t="str">
        <f t="shared" si="4"/>
        <v/>
      </c>
      <c r="Y27" t="str">
        <f t="shared" si="5"/>
        <v/>
      </c>
      <c r="Z27" t="str">
        <f t="shared" si="6"/>
        <v/>
      </c>
    </row>
    <row r="28" spans="1:26" x14ac:dyDescent="0.25">
      <c r="A28">
        <f>'11.6.3Num'!A27</f>
        <v>1999</v>
      </c>
      <c r="B28">
        <f t="shared" si="0"/>
        <v>0.14548508939475696</v>
      </c>
      <c r="C28" s="4">
        <v>0.77700000000000002</v>
      </c>
      <c r="D28" s="4">
        <v>0.77700000000000002</v>
      </c>
      <c r="E28" s="4">
        <f t="shared" si="1"/>
        <v>1.2162265846279512</v>
      </c>
      <c r="H28">
        <v>1980</v>
      </c>
      <c r="I28">
        <v>1</v>
      </c>
      <c r="J28">
        <v>0</v>
      </c>
      <c r="K28">
        <v>0.15478146956728767</v>
      </c>
      <c r="L28">
        <v>0.5326785954527109</v>
      </c>
      <c r="M28">
        <v>0.74348090177554005</v>
      </c>
      <c r="O28">
        <v>0</v>
      </c>
      <c r="P28">
        <v>0.14339764928629095</v>
      </c>
      <c r="Q28">
        <v>0.41296955521783674</v>
      </c>
      <c r="R28">
        <v>0.52454398398794633</v>
      </c>
      <c r="W28">
        <f t="shared" si="3"/>
        <v>0</v>
      </c>
      <c r="X28">
        <f t="shared" si="4"/>
        <v>0.34723540143449638</v>
      </c>
      <c r="Y28">
        <f t="shared" si="5"/>
        <v>1</v>
      </c>
      <c r="Z28">
        <f t="shared" si="6"/>
        <v>1.2701759182011743</v>
      </c>
    </row>
    <row r="29" spans="1:26" x14ac:dyDescent="0.25">
      <c r="A29">
        <f>'11.6.3Num'!A28</f>
        <v>2000</v>
      </c>
      <c r="B29">
        <f t="shared" si="0"/>
        <v>0.24659441793165365</v>
      </c>
      <c r="C29" s="4">
        <v>1.3169999999999999</v>
      </c>
      <c r="D29" s="4">
        <v>1.3169999999999999</v>
      </c>
      <c r="E29" s="4">
        <f t="shared" si="1"/>
        <v>2.0614805816666815</v>
      </c>
      <c r="H29">
        <v>1980</v>
      </c>
      <c r="I29">
        <v>2</v>
      </c>
      <c r="J29">
        <v>0</v>
      </c>
      <c r="K29">
        <v>0.28193485213266734</v>
      </c>
      <c r="L29">
        <v>1.2876209040166846</v>
      </c>
      <c r="M29">
        <v>1.6236609229891878</v>
      </c>
      <c r="O29">
        <v>0</v>
      </c>
      <c r="P29">
        <v>0.24567717454428284</v>
      </c>
      <c r="Q29">
        <f t="shared" ref="Q29:R29" si="8">P29</f>
        <v>0.24567717454428284</v>
      </c>
      <c r="R29">
        <f t="shared" si="8"/>
        <v>0.24567717454428284</v>
      </c>
      <c r="W29">
        <f t="shared" si="3"/>
        <v>0</v>
      </c>
      <c r="X29">
        <f t="shared" si="4"/>
        <v>1</v>
      </c>
      <c r="Y29">
        <f t="shared" si="5"/>
        <v>1</v>
      </c>
      <c r="Z29">
        <f t="shared" si="6"/>
        <v>1</v>
      </c>
    </row>
    <row r="30" spans="1:26" x14ac:dyDescent="0.25">
      <c r="A30">
        <f>'11.6.3Num'!A29</f>
        <v>2001</v>
      </c>
      <c r="B30">
        <f t="shared" si="0"/>
        <v>0.24453478346145763</v>
      </c>
      <c r="C30" s="4">
        <v>1.306</v>
      </c>
      <c r="D30" s="4">
        <v>1.306</v>
      </c>
      <c r="E30" s="4">
        <f t="shared" si="1"/>
        <v>2.0442624446899669</v>
      </c>
      <c r="H30">
        <v>1980</v>
      </c>
      <c r="I30">
        <v>3</v>
      </c>
      <c r="J30">
        <v>2.7214448212216164E-2</v>
      </c>
      <c r="K30">
        <v>0.27562744147586327</v>
      </c>
      <c r="L30">
        <v>0.30013016520968921</v>
      </c>
      <c r="M30">
        <v>0.11027682973075464</v>
      </c>
      <c r="O30">
        <v>2.6847471673862588E-2</v>
      </c>
      <c r="P30">
        <v>0.24090431434507587</v>
      </c>
      <c r="Q30">
        <v>0.2592782018017562</v>
      </c>
      <c r="R30">
        <v>0.10441382390312393</v>
      </c>
      <c r="W30">
        <f t="shared" si="3"/>
        <v>0.10354696803393497</v>
      </c>
      <c r="X30">
        <f t="shared" si="4"/>
        <v>0.92913446896423257</v>
      </c>
      <c r="Y30">
        <f t="shared" si="5"/>
        <v>1</v>
      </c>
      <c r="Z30">
        <f t="shared" si="6"/>
        <v>0.40270961144261025</v>
      </c>
    </row>
    <row r="31" spans="1:26" x14ac:dyDescent="0.25">
      <c r="A31">
        <f>'11.6.3Num'!A30</f>
        <v>2002</v>
      </c>
      <c r="B31">
        <f t="shared" si="0"/>
        <v>0.27187175006587783</v>
      </c>
      <c r="C31" s="4">
        <v>1.452</v>
      </c>
      <c r="D31" s="4">
        <v>1.452</v>
      </c>
      <c r="E31" s="4">
        <f t="shared" si="1"/>
        <v>2.272794080926364</v>
      </c>
      <c r="H31">
        <v>1980</v>
      </c>
      <c r="I31">
        <v>4</v>
      </c>
      <c r="J31">
        <v>0</v>
      </c>
      <c r="K31">
        <v>0</v>
      </c>
      <c r="L31">
        <v>0</v>
      </c>
      <c r="M31">
        <v>0</v>
      </c>
      <c r="O31">
        <v>0</v>
      </c>
      <c r="P31">
        <v>0</v>
      </c>
      <c r="Q31">
        <v>0</v>
      </c>
      <c r="R31">
        <v>0</v>
      </c>
      <c r="W31" t="str">
        <f t="shared" si="3"/>
        <v/>
      </c>
      <c r="X31" t="str">
        <f t="shared" si="4"/>
        <v/>
      </c>
      <c r="Y31" t="str">
        <f t="shared" si="5"/>
        <v/>
      </c>
      <c r="Z31" t="str">
        <f t="shared" si="6"/>
        <v/>
      </c>
    </row>
    <row r="32" spans="1:26" x14ac:dyDescent="0.25">
      <c r="A32">
        <f>'11.6.3Num'!A31</f>
        <v>2003</v>
      </c>
      <c r="B32">
        <f t="shared" si="0"/>
        <v>0.21869573283536178</v>
      </c>
      <c r="C32" s="4">
        <v>1.1679999999999999</v>
      </c>
      <c r="D32" s="4">
        <v>1.1679999999999999</v>
      </c>
      <c r="E32" s="4">
        <f t="shared" si="1"/>
        <v>1.82825308989118</v>
      </c>
      <c r="H32">
        <v>1981</v>
      </c>
      <c r="I32">
        <v>1</v>
      </c>
      <c r="J32">
        <v>7.0085830525983715E-3</v>
      </c>
      <c r="K32">
        <v>0.25230822624634514</v>
      </c>
      <c r="L32">
        <v>0.24168946564835742</v>
      </c>
      <c r="M32">
        <v>0.2568550984180844</v>
      </c>
      <c r="O32">
        <v>6.9840802112126621E-3</v>
      </c>
      <c r="P32">
        <v>0.22299479224249963</v>
      </c>
      <c r="Q32">
        <v>0.21469999768104786</v>
      </c>
      <c r="R32">
        <v>0.22651971583758024</v>
      </c>
      <c r="W32">
        <f t="shared" si="3"/>
        <v>3.2529484334638932E-2</v>
      </c>
      <c r="X32">
        <f t="shared" si="4"/>
        <v>1.0386343486308476</v>
      </c>
      <c r="Y32">
        <f t="shared" si="5"/>
        <v>1</v>
      </c>
      <c r="Z32">
        <f t="shared" si="6"/>
        <v>1.0550522509743638</v>
      </c>
    </row>
    <row r="33" spans="1:26" x14ac:dyDescent="0.25">
      <c r="A33">
        <f>'11.6.3Num'!A32</f>
        <v>2004</v>
      </c>
      <c r="B33">
        <f t="shared" si="0"/>
        <v>0.32748188076117107</v>
      </c>
      <c r="C33" s="4">
        <v>1.7490000000000001</v>
      </c>
      <c r="D33" s="4">
        <v>1.7490000000000001</v>
      </c>
      <c r="E33" s="4">
        <f t="shared" si="1"/>
        <v>2.737683779297666</v>
      </c>
      <c r="H33">
        <v>1981</v>
      </c>
      <c r="I33">
        <v>2</v>
      </c>
      <c r="J33">
        <v>9.9355431880202277E-4</v>
      </c>
      <c r="K33">
        <v>0.14532718489240229</v>
      </c>
      <c r="L33">
        <v>1.1149316547690562</v>
      </c>
      <c r="M33">
        <v>0.83495739422941828</v>
      </c>
      <c r="O33">
        <v>9.9306090713380257E-4</v>
      </c>
      <c r="P33">
        <v>0.13526068281990666</v>
      </c>
      <c r="Q33">
        <f>P33</f>
        <v>0.13526068281990666</v>
      </c>
      <c r="R33">
        <v>0.56610703261659068</v>
      </c>
      <c r="W33">
        <f t="shared" si="3"/>
        <v>7.3418297647958588E-3</v>
      </c>
      <c r="X33">
        <f t="shared" si="4"/>
        <v>1</v>
      </c>
      <c r="Y33">
        <f t="shared" si="5"/>
        <v>1</v>
      </c>
      <c r="Z33">
        <f t="shared" si="6"/>
        <v>4.1853036729848245</v>
      </c>
    </row>
    <row r="34" spans="1:26" x14ac:dyDescent="0.25">
      <c r="A34">
        <f>'11.6.3Num'!A33</f>
        <v>2005</v>
      </c>
      <c r="B34">
        <f t="shared" si="0"/>
        <v>0.21738505635432795</v>
      </c>
      <c r="C34" s="4">
        <v>1.161</v>
      </c>
      <c r="D34" s="4">
        <v>1.161</v>
      </c>
      <c r="E34" s="4">
        <f t="shared" si="1"/>
        <v>1.8172960936332705</v>
      </c>
      <c r="H34">
        <v>1981</v>
      </c>
      <c r="I34">
        <v>3</v>
      </c>
      <c r="J34">
        <v>1.3305295041986335E-2</v>
      </c>
      <c r="K34">
        <v>0.27802449809916102</v>
      </c>
      <c r="L34">
        <v>0.33338754896349099</v>
      </c>
      <c r="M34">
        <v>0.11688851913477537</v>
      </c>
      <c r="O34">
        <v>1.3217170876219098E-2</v>
      </c>
      <c r="P34">
        <v>0.24272173059104563</v>
      </c>
      <c r="Q34">
        <v>0.28350753556969766</v>
      </c>
      <c r="R34">
        <v>0.11031562958148344</v>
      </c>
      <c r="W34">
        <f t="shared" si="3"/>
        <v>4.6620174838244398E-2</v>
      </c>
      <c r="X34">
        <f t="shared" si="4"/>
        <v>0.85613855061490873</v>
      </c>
      <c r="Y34">
        <f t="shared" si="5"/>
        <v>1</v>
      </c>
      <c r="Z34">
        <f t="shared" si="6"/>
        <v>0.38911004379410363</v>
      </c>
    </row>
    <row r="35" spans="1:26" x14ac:dyDescent="0.25">
      <c r="A35">
        <f>'11.6.3Num'!A34</f>
        <v>2006</v>
      </c>
      <c r="B35">
        <f t="shared" si="0"/>
        <v>0.25670535078534334</v>
      </c>
      <c r="C35" s="4">
        <v>1.371</v>
      </c>
      <c r="D35" s="4">
        <v>1.371</v>
      </c>
      <c r="E35" s="4">
        <f t="shared" si="1"/>
        <v>2.1460059813705548</v>
      </c>
      <c r="H35">
        <v>1981</v>
      </c>
      <c r="I35">
        <v>4</v>
      </c>
      <c r="J35">
        <v>0</v>
      </c>
      <c r="K35">
        <v>0</v>
      </c>
      <c r="L35">
        <v>0</v>
      </c>
      <c r="M35">
        <v>0</v>
      </c>
      <c r="O35">
        <v>0</v>
      </c>
      <c r="P35">
        <v>0</v>
      </c>
      <c r="Q35">
        <v>0</v>
      </c>
      <c r="R35">
        <v>0</v>
      </c>
      <c r="W35" t="str">
        <f t="shared" si="3"/>
        <v/>
      </c>
      <c r="X35" t="str">
        <f t="shared" si="4"/>
        <v/>
      </c>
      <c r="Y35" t="str">
        <f t="shared" si="5"/>
        <v/>
      </c>
      <c r="Z35" t="str">
        <f t="shared" si="6"/>
        <v/>
      </c>
    </row>
    <row r="36" spans="1:26" x14ac:dyDescent="0.25">
      <c r="A36">
        <f>'11.6.3Num'!A35</f>
        <v>2007</v>
      </c>
      <c r="B36">
        <f t="shared" si="0"/>
        <v>0.23442385060776794</v>
      </c>
      <c r="C36" s="4">
        <v>1.252</v>
      </c>
      <c r="D36" s="4">
        <v>1.252</v>
      </c>
      <c r="E36" s="4">
        <f t="shared" si="1"/>
        <v>1.9597370449860936</v>
      </c>
      <c r="H36">
        <v>1982</v>
      </c>
      <c r="I36">
        <v>1</v>
      </c>
      <c r="J36">
        <v>1.4695346388826809E-2</v>
      </c>
      <c r="K36">
        <v>0.40702924606302998</v>
      </c>
      <c r="L36">
        <v>8.2243081369357748E-2</v>
      </c>
      <c r="M36">
        <v>0.12090035629630734</v>
      </c>
      <c r="O36">
        <v>1.4587896766482089E-2</v>
      </c>
      <c r="P36">
        <v>0.33437527688575319</v>
      </c>
      <c r="Q36">
        <v>7.8951958136814326E-2</v>
      </c>
      <c r="R36">
        <v>0.11387774830299002</v>
      </c>
      <c r="W36">
        <f t="shared" si="3"/>
        <v>0.18476928388784233</v>
      </c>
      <c r="X36">
        <f t="shared" si="4"/>
        <v>4.2351739561205148</v>
      </c>
      <c r="Y36">
        <f t="shared" si="5"/>
        <v>1</v>
      </c>
      <c r="Z36">
        <f t="shared" si="6"/>
        <v>1.4423676244438861</v>
      </c>
    </row>
    <row r="37" spans="1:26" x14ac:dyDescent="0.25">
      <c r="A37">
        <f>'11.6.3Num'!A36</f>
        <v>2008</v>
      </c>
      <c r="B37">
        <f t="shared" si="0"/>
        <v>0.18667777879867783</v>
      </c>
      <c r="C37" s="4">
        <v>0.997</v>
      </c>
      <c r="D37" s="4">
        <v>0.997</v>
      </c>
      <c r="E37" s="4">
        <f t="shared" si="1"/>
        <v>1.5605893241622486</v>
      </c>
      <c r="H37">
        <v>1982</v>
      </c>
      <c r="I37">
        <v>2</v>
      </c>
      <c r="J37">
        <v>3.2992668072053623E-2</v>
      </c>
      <c r="K37">
        <v>0.60637937884868298</v>
      </c>
      <c r="L37">
        <v>0.30702984120431293</v>
      </c>
      <c r="M37">
        <v>0.19847270744707562</v>
      </c>
      <c r="O37">
        <v>3.2454346461957662E-2</v>
      </c>
      <c r="P37">
        <v>0.45467829760890055</v>
      </c>
      <c r="Q37">
        <v>0.26437135146508706</v>
      </c>
      <c r="R37">
        <v>0.18001785015876637</v>
      </c>
      <c r="W37">
        <f t="shared" si="3"/>
        <v>0.12276045147139776</v>
      </c>
      <c r="X37">
        <f t="shared" si="4"/>
        <v>1.7198470828596777</v>
      </c>
      <c r="Y37">
        <f t="shared" si="5"/>
        <v>1</v>
      </c>
      <c r="Z37">
        <f t="shared" si="6"/>
        <v>0.68092797937880789</v>
      </c>
    </row>
    <row r="38" spans="1:26" x14ac:dyDescent="0.25">
      <c r="A38">
        <f>'11.6.3Num'!A37</f>
        <v>2009</v>
      </c>
      <c r="B38">
        <f t="shared" si="0"/>
        <v>0.11627572781743123</v>
      </c>
      <c r="C38" s="4">
        <v>0.621</v>
      </c>
      <c r="D38" s="4">
        <v>0.621</v>
      </c>
      <c r="E38" s="4">
        <f t="shared" si="1"/>
        <v>0.97204209659453999</v>
      </c>
      <c r="H38">
        <v>1982</v>
      </c>
      <c r="I38">
        <v>3</v>
      </c>
      <c r="J38">
        <v>0.13911370207900436</v>
      </c>
      <c r="K38">
        <v>7.5999788174461028E-2</v>
      </c>
      <c r="L38">
        <v>3.1915342331555456E-2</v>
      </c>
      <c r="M38">
        <v>3.0193236714975844E-2</v>
      </c>
      <c r="O38">
        <v>0.12987091265278039</v>
      </c>
      <c r="P38">
        <v>7.3183597117254529E-2</v>
      </c>
      <c r="Q38">
        <v>3.1411422940987421E-2</v>
      </c>
      <c r="R38">
        <v>2.9741974041198938E-2</v>
      </c>
      <c r="W38">
        <f t="shared" si="3"/>
        <v>4.1345122408739208</v>
      </c>
      <c r="X38">
        <f t="shared" si="4"/>
        <v>2.3298402385254691</v>
      </c>
      <c r="Y38">
        <f t="shared" si="5"/>
        <v>1</v>
      </c>
      <c r="Z38">
        <f t="shared" si="6"/>
        <v>0.94685217212461614</v>
      </c>
    </row>
    <row r="39" spans="1:26" x14ac:dyDescent="0.25">
      <c r="A39">
        <f>'11.6.3Num'!A38</f>
        <v>2010</v>
      </c>
      <c r="B39">
        <f t="shared" si="0"/>
        <v>0.13368900106545231</v>
      </c>
      <c r="C39" s="4">
        <v>0.71399999999999997</v>
      </c>
      <c r="D39" s="4">
        <v>0.71399999999999997</v>
      </c>
      <c r="E39" s="4">
        <f t="shared" si="1"/>
        <v>1.1176136183067658</v>
      </c>
      <c r="H39">
        <v>1982</v>
      </c>
      <c r="I39">
        <v>4</v>
      </c>
      <c r="J39">
        <v>0</v>
      </c>
      <c r="K39">
        <v>0</v>
      </c>
      <c r="L39">
        <v>0</v>
      </c>
      <c r="M39">
        <v>0</v>
      </c>
      <c r="O39">
        <v>0</v>
      </c>
      <c r="P39">
        <v>0</v>
      </c>
      <c r="Q39">
        <v>0</v>
      </c>
      <c r="R39">
        <v>0</v>
      </c>
      <c r="W39" t="str">
        <f t="shared" si="3"/>
        <v/>
      </c>
      <c r="X39" t="str">
        <f t="shared" si="4"/>
        <v/>
      </c>
      <c r="Y39" t="str">
        <f t="shared" si="5"/>
        <v/>
      </c>
      <c r="Z39" t="str">
        <f t="shared" si="6"/>
        <v/>
      </c>
    </row>
    <row r="40" spans="1:26" x14ac:dyDescent="0.25">
      <c r="A40">
        <f>'11.6.3Num'!A39</f>
        <v>2011</v>
      </c>
      <c r="B40">
        <f t="shared" si="0"/>
        <v>0.11365437485536353</v>
      </c>
      <c r="C40" s="4">
        <v>0.60699999999999998</v>
      </c>
      <c r="D40" s="4">
        <v>0.60699999999999998</v>
      </c>
      <c r="E40" s="4">
        <f t="shared" si="1"/>
        <v>0.95012810407872106</v>
      </c>
      <c r="H40">
        <v>1983</v>
      </c>
      <c r="I40">
        <v>1</v>
      </c>
      <c r="J40">
        <v>0.11113146178408886</v>
      </c>
      <c r="K40">
        <v>0.25433422344110856</v>
      </c>
      <c r="L40">
        <v>0.30968006719962182</v>
      </c>
      <c r="M40">
        <v>0.1691468598949821</v>
      </c>
      <c r="O40">
        <v>0.10517889358263677</v>
      </c>
      <c r="P40">
        <v>0.22456740901722383</v>
      </c>
      <c r="Q40">
        <v>0.26631835249635982</v>
      </c>
      <c r="R40">
        <v>0.15561511199616251</v>
      </c>
      <c r="W40">
        <f t="shared" si="3"/>
        <v>0.39493670862985086</v>
      </c>
      <c r="X40">
        <f t="shared" si="4"/>
        <v>0.84322919135020302</v>
      </c>
      <c r="Y40">
        <f t="shared" si="5"/>
        <v>1</v>
      </c>
      <c r="Z40">
        <f t="shared" si="6"/>
        <v>0.58431989585955979</v>
      </c>
    </row>
    <row r="41" spans="1:26" x14ac:dyDescent="0.25">
      <c r="A41">
        <f>'11.6.3Num'!A40</f>
        <v>2012</v>
      </c>
      <c r="B41">
        <f t="shared" si="0"/>
        <v>0.20708688400334774</v>
      </c>
      <c r="C41" s="4">
        <v>1.1060000000000001</v>
      </c>
      <c r="D41" s="4">
        <v>1.1060000000000001</v>
      </c>
      <c r="E41" s="4">
        <f t="shared" si="1"/>
        <v>1.7312054087496962</v>
      </c>
      <c r="H41">
        <v>1983</v>
      </c>
      <c r="I41">
        <v>2</v>
      </c>
      <c r="J41">
        <v>7.1398265353961557E-2</v>
      </c>
      <c r="K41">
        <v>0.27552696351727501</v>
      </c>
      <c r="L41">
        <v>0.52502876305485935</v>
      </c>
      <c r="M41">
        <v>0.2456186699519341</v>
      </c>
      <c r="O41">
        <v>6.8909003010333647E-2</v>
      </c>
      <c r="P41">
        <v>0.24082803812823306</v>
      </c>
      <c r="Q41">
        <v>0.40846165032788406</v>
      </c>
      <c r="R41">
        <v>0.21777954777700703</v>
      </c>
      <c r="W41">
        <f t="shared" si="3"/>
        <v>0.16870372764497812</v>
      </c>
      <c r="X41">
        <f t="shared" si="4"/>
        <v>0.58959767198441615</v>
      </c>
      <c r="Y41">
        <f t="shared" si="5"/>
        <v>1</v>
      </c>
      <c r="Z41">
        <f t="shared" si="6"/>
        <v>0.53317012160673849</v>
      </c>
    </row>
    <row r="42" spans="1:26" x14ac:dyDescent="0.25">
      <c r="A42">
        <f>'11.6.3Num'!A41</f>
        <v>2013</v>
      </c>
      <c r="B42">
        <f t="shared" si="0"/>
        <v>0.12170567323885717</v>
      </c>
      <c r="C42" s="5">
        <v>0.65</v>
      </c>
      <c r="D42" s="5">
        <v>0.65</v>
      </c>
      <c r="E42" s="4">
        <f t="shared" si="1"/>
        <v>1.0174353668058793</v>
      </c>
      <c r="H42">
        <v>1983</v>
      </c>
      <c r="I42">
        <v>3</v>
      </c>
      <c r="J42">
        <v>6.9725773661621859E-2</v>
      </c>
      <c r="K42">
        <v>0.22902042492124339</v>
      </c>
      <c r="L42">
        <v>2.4894631784737272E-2</v>
      </c>
      <c r="M42">
        <v>0</v>
      </c>
      <c r="O42">
        <v>6.7350458089640575E-2</v>
      </c>
      <c r="P42">
        <v>0.20468771085167003</v>
      </c>
      <c r="Q42">
        <v>2.45873158925487E-2</v>
      </c>
      <c r="R42">
        <v>0</v>
      </c>
      <c r="W42">
        <f t="shared" si="3"/>
        <v>2.7392358882919563</v>
      </c>
      <c r="X42">
        <f t="shared" si="4"/>
        <v>8.3249311045660583</v>
      </c>
      <c r="Y42">
        <f t="shared" si="5"/>
        <v>1</v>
      </c>
      <c r="Z42">
        <f t="shared" si="6"/>
        <v>0</v>
      </c>
    </row>
    <row r="43" spans="1:26" x14ac:dyDescent="0.25">
      <c r="A43">
        <f>'11.6.3Num'!A42</f>
        <v>2014</v>
      </c>
      <c r="B43">
        <f t="shared" si="0"/>
        <v>9.2683551158821986E-2</v>
      </c>
      <c r="C43" s="4">
        <v>0.495</v>
      </c>
      <c r="D43" s="4">
        <v>0.495</v>
      </c>
      <c r="E43" s="4">
        <f t="shared" si="1"/>
        <v>0.77481616395216957</v>
      </c>
      <c r="H43">
        <v>1983</v>
      </c>
      <c r="I43">
        <v>4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R43">
        <v>0</v>
      </c>
      <c r="W43" t="str">
        <f t="shared" si="3"/>
        <v/>
      </c>
      <c r="X43" t="str">
        <f t="shared" si="4"/>
        <v/>
      </c>
      <c r="Y43" t="str">
        <f t="shared" si="5"/>
        <v/>
      </c>
      <c r="Z43" t="str">
        <f t="shared" si="6"/>
        <v/>
      </c>
    </row>
    <row r="44" spans="1:26" x14ac:dyDescent="0.25">
      <c r="A44">
        <f>'11.6.3Num'!A43</f>
        <v>2015</v>
      </c>
      <c r="B44">
        <f t="shared" si="0"/>
        <v>0.18855017377158331</v>
      </c>
      <c r="C44" s="4">
        <v>1.0069999999999999</v>
      </c>
      <c r="D44" s="4">
        <v>1.0069999999999999</v>
      </c>
      <c r="E44" s="4">
        <f t="shared" si="1"/>
        <v>1.576242175959262</v>
      </c>
      <c r="H44">
        <v>1984</v>
      </c>
      <c r="I44">
        <v>1</v>
      </c>
      <c r="J44">
        <v>3.8265433311022848E-2</v>
      </c>
      <c r="K44">
        <v>0.4293125716899942</v>
      </c>
      <c r="L44">
        <v>0.28020966951195758</v>
      </c>
      <c r="M44">
        <v>1.3472528174185103E-2</v>
      </c>
      <c r="O44">
        <v>3.7542561281371789E-2</v>
      </c>
      <c r="P44">
        <v>0.34904357317229395</v>
      </c>
      <c r="Q44">
        <v>0.24437470674103257</v>
      </c>
      <c r="R44">
        <v>1.3382179861664123E-2</v>
      </c>
      <c r="W44">
        <f t="shared" si="3"/>
        <v>0.15362703359131266</v>
      </c>
      <c r="X44">
        <f t="shared" si="4"/>
        <v>1.4283130108967477</v>
      </c>
      <c r="Y44">
        <f t="shared" si="5"/>
        <v>1</v>
      </c>
      <c r="Z44">
        <f t="shared" si="6"/>
        <v>5.4760904023694296E-2</v>
      </c>
    </row>
    <row r="45" spans="1:26" x14ac:dyDescent="0.25">
      <c r="A45">
        <f>'11.6.3Num'!A44</f>
        <v>2016</v>
      </c>
      <c r="B45">
        <f t="shared" si="0"/>
        <v>0.36043603228430776</v>
      </c>
      <c r="C45" s="4">
        <v>1.925</v>
      </c>
      <c r="D45" s="4">
        <v>1.925</v>
      </c>
      <c r="E45" s="4">
        <f t="shared" si="1"/>
        <v>3.013173970925104</v>
      </c>
      <c r="H45">
        <v>1984</v>
      </c>
      <c r="I45">
        <v>2</v>
      </c>
      <c r="J45">
        <v>3.2021819699089411E-2</v>
      </c>
      <c r="K45">
        <v>0.31264461648116132</v>
      </c>
      <c r="L45">
        <v>0.34267457579745098</v>
      </c>
      <c r="M45">
        <v>4.8156651994746183E-2</v>
      </c>
      <c r="O45">
        <v>3.1514550212438541E-2</v>
      </c>
      <c r="P45">
        <v>0.2684901670810701</v>
      </c>
      <c r="Q45">
        <v>0.29013081741095292</v>
      </c>
      <c r="R45">
        <v>4.7015511537232713E-2</v>
      </c>
      <c r="W45">
        <f t="shared" si="3"/>
        <v>0.10862186407381905</v>
      </c>
      <c r="X45">
        <f t="shared" si="4"/>
        <v>0.92541071464590352</v>
      </c>
      <c r="Y45">
        <f t="shared" si="5"/>
        <v>1</v>
      </c>
      <c r="Z45">
        <f t="shared" si="6"/>
        <v>0.16204935400101966</v>
      </c>
    </row>
    <row r="46" spans="1:26" x14ac:dyDescent="0.25">
      <c r="A46">
        <f>'11.6.3Num'!A45</f>
        <v>2017</v>
      </c>
      <c r="B46">
        <f t="shared" si="0"/>
        <v>0.1945418376848809</v>
      </c>
      <c r="C46" s="4">
        <v>1.0389999999999999</v>
      </c>
      <c r="D46" s="4">
        <v>1.0389999999999999</v>
      </c>
      <c r="E46" s="4">
        <f t="shared" si="1"/>
        <v>1.6263313017097054</v>
      </c>
      <c r="H46">
        <v>1984</v>
      </c>
      <c r="I46">
        <v>3</v>
      </c>
      <c r="J46">
        <v>3.4955129864526709E-2</v>
      </c>
      <c r="K46">
        <v>0.11609655392058359</v>
      </c>
      <c r="L46">
        <v>3.221034736233918E-2</v>
      </c>
      <c r="M46">
        <v>2.354019493874631E-2</v>
      </c>
      <c r="O46">
        <v>3.4351255924537027E-2</v>
      </c>
      <c r="P46">
        <v>0.10961075142585419</v>
      </c>
      <c r="Q46">
        <v>3.1697119300975851E-2</v>
      </c>
      <c r="R46">
        <v>2.3265285912193345E-2</v>
      </c>
      <c r="W46">
        <f t="shared" si="3"/>
        <v>1.0837343166222511</v>
      </c>
      <c r="X46">
        <f t="shared" si="4"/>
        <v>3.4580666585205941</v>
      </c>
      <c r="Y46">
        <f t="shared" si="5"/>
        <v>1</v>
      </c>
      <c r="Z46">
        <f t="shared" si="6"/>
        <v>0.73398739144970448</v>
      </c>
    </row>
    <row r="47" spans="1:26" x14ac:dyDescent="0.25">
      <c r="A47">
        <f>'11.6.3Num'!A46</f>
        <v>2018</v>
      </c>
      <c r="B47">
        <f t="shared" si="0"/>
        <v>0.19060980824177937</v>
      </c>
      <c r="C47" s="4">
        <v>1.018</v>
      </c>
      <c r="D47" s="4">
        <v>1.018</v>
      </c>
      <c r="E47" s="4">
        <f t="shared" si="1"/>
        <v>1.593460312935977</v>
      </c>
      <c r="H47">
        <v>1984</v>
      </c>
      <c r="I47">
        <v>4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W47" t="str">
        <f t="shared" si="3"/>
        <v/>
      </c>
      <c r="X47" t="str">
        <f t="shared" si="4"/>
        <v/>
      </c>
      <c r="Y47" t="str">
        <f t="shared" si="5"/>
        <v/>
      </c>
      <c r="Z47" t="str">
        <f t="shared" si="6"/>
        <v/>
      </c>
    </row>
    <row r="48" spans="1:26" x14ac:dyDescent="0.25">
      <c r="A48">
        <f>'11.6.3Num'!A47</f>
        <v>2019</v>
      </c>
      <c r="B48">
        <f t="shared" si="0"/>
        <v>0.17244757700459606</v>
      </c>
      <c r="C48" s="4">
        <v>0.92100000000000004</v>
      </c>
      <c r="D48" s="4">
        <v>0.92100000000000004</v>
      </c>
      <c r="E48" s="4">
        <f t="shared" si="1"/>
        <v>1.4416276505049459</v>
      </c>
      <c r="H48">
        <v>1985</v>
      </c>
      <c r="I48">
        <v>1</v>
      </c>
      <c r="J48">
        <v>0</v>
      </c>
      <c r="K48">
        <v>0.18288275910413235</v>
      </c>
      <c r="L48">
        <v>0.61779133224312821</v>
      </c>
      <c r="M48">
        <v>0.16686077664657664</v>
      </c>
      <c r="O48">
        <v>0</v>
      </c>
      <c r="P48">
        <v>0.16713420405467949</v>
      </c>
      <c r="Q48">
        <v>0.46086610880064316</v>
      </c>
      <c r="R48">
        <v>0.15368256971387151</v>
      </c>
      <c r="W48">
        <f t="shared" si="3"/>
        <v>0</v>
      </c>
      <c r="X48">
        <f t="shared" si="4"/>
        <v>0.3626524078536153</v>
      </c>
      <c r="Y48">
        <f t="shared" si="5"/>
        <v>1</v>
      </c>
      <c r="Z48">
        <f t="shared" si="6"/>
        <v>0.3334646804769712</v>
      </c>
    </row>
    <row r="49" spans="1:26" x14ac:dyDescent="0.25">
      <c r="A49">
        <f>'11.6.3Num'!A48</f>
        <v>2020</v>
      </c>
      <c r="B49">
        <f t="shared" si="0"/>
        <v>0.28516575437350683</v>
      </c>
      <c r="C49" s="4">
        <v>1.5229999999999999</v>
      </c>
      <c r="D49" s="4">
        <v>1.5229999999999999</v>
      </c>
      <c r="E49" s="4">
        <f t="shared" si="1"/>
        <v>2.3839293286851602</v>
      </c>
      <c r="H49">
        <v>1985</v>
      </c>
      <c r="I49">
        <v>2</v>
      </c>
      <c r="J49">
        <v>0</v>
      </c>
      <c r="K49">
        <v>0.1726967184853164</v>
      </c>
      <c r="L49">
        <v>0.67854220726091119</v>
      </c>
      <c r="M49">
        <v>0.16744663506536639</v>
      </c>
      <c r="O49">
        <v>0</v>
      </c>
      <c r="P49">
        <v>0.15860724497779521</v>
      </c>
      <c r="Q49">
        <v>0.49264392647875843</v>
      </c>
      <c r="R49">
        <v>0.15417824669293001</v>
      </c>
      <c r="W49">
        <f t="shared" si="3"/>
        <v>0</v>
      </c>
      <c r="X49">
        <f t="shared" si="4"/>
        <v>0.32195108160870417</v>
      </c>
      <c r="Y49">
        <f t="shared" si="5"/>
        <v>1</v>
      </c>
      <c r="Z49">
        <f t="shared" si="6"/>
        <v>0.31296081897312861</v>
      </c>
    </row>
    <row r="50" spans="1:26" x14ac:dyDescent="0.25">
      <c r="A50">
        <f>'11.6.3Num'!A49</f>
        <v>2021</v>
      </c>
      <c r="B50">
        <f t="shared" si="0"/>
        <v>0.25970118274199211</v>
      </c>
      <c r="C50" s="4">
        <v>1.387</v>
      </c>
      <c r="D50" s="4">
        <v>1.387</v>
      </c>
      <c r="E50" s="4">
        <f t="shared" si="1"/>
        <v>2.1710505442457761</v>
      </c>
      <c r="H50">
        <v>1985</v>
      </c>
      <c r="I50">
        <v>3</v>
      </c>
      <c r="J50">
        <v>1.2027847389945764E-2</v>
      </c>
      <c r="K50">
        <v>0.11816265868171691</v>
      </c>
      <c r="L50">
        <v>0.35831480214391609</v>
      </c>
      <c r="M50">
        <v>0.47319332529661823</v>
      </c>
      <c r="O50">
        <v>1.1955801973241975E-2</v>
      </c>
      <c r="P50">
        <v>0.11144848975789334</v>
      </c>
      <c r="Q50">
        <v>0.30114696006066788</v>
      </c>
      <c r="R50">
        <v>0.37699038398429419</v>
      </c>
      <c r="W50">
        <f t="shared" si="3"/>
        <v>3.9700888798058616E-2</v>
      </c>
      <c r="X50">
        <f t="shared" si="4"/>
        <v>0.3700800756396192</v>
      </c>
      <c r="Y50">
        <f t="shared" si="5"/>
        <v>1</v>
      </c>
      <c r="Z50">
        <f t="shared" si="6"/>
        <v>1.2518485456680259</v>
      </c>
    </row>
    <row r="51" spans="1:26" x14ac:dyDescent="0.25">
      <c r="A51">
        <f>'11.6.3Num'!A50</f>
        <v>2022</v>
      </c>
      <c r="B51">
        <f t="shared" si="0"/>
        <v>0.10972234541226199</v>
      </c>
      <c r="C51" s="4">
        <v>0.58599999999999997</v>
      </c>
      <c r="D51" s="4">
        <v>0.58599999999999997</v>
      </c>
      <c r="E51" s="4">
        <f t="shared" si="1"/>
        <v>0.91725711530499265</v>
      </c>
      <c r="H51">
        <v>1985</v>
      </c>
      <c r="I51">
        <v>4</v>
      </c>
      <c r="J51">
        <v>0</v>
      </c>
      <c r="K51">
        <v>0</v>
      </c>
      <c r="L51">
        <v>0</v>
      </c>
      <c r="M51">
        <v>0</v>
      </c>
      <c r="O51">
        <v>0</v>
      </c>
      <c r="P51">
        <v>0</v>
      </c>
      <c r="Q51">
        <v>0</v>
      </c>
      <c r="R51">
        <v>0</v>
      </c>
      <c r="W51" t="str">
        <f t="shared" si="3"/>
        <v/>
      </c>
      <c r="X51" t="str">
        <f t="shared" si="4"/>
        <v/>
      </c>
      <c r="Y51" t="str">
        <f t="shared" si="5"/>
        <v/>
      </c>
      <c r="Z51" t="str">
        <f t="shared" si="6"/>
        <v/>
      </c>
    </row>
    <row r="52" spans="1:26" x14ac:dyDescent="0.25">
      <c r="A52">
        <f>'11.6.3Num'!A51</f>
        <v>2023</v>
      </c>
      <c r="B52">
        <f t="shared" si="0"/>
        <v>0.47015837769656976</v>
      </c>
      <c r="C52" s="4">
        <v>2.5110000000000001</v>
      </c>
      <c r="D52" s="4">
        <v>2.5110000000000001</v>
      </c>
      <c r="E52" s="4">
        <f t="shared" si="1"/>
        <v>3.9304310862300968</v>
      </c>
      <c r="H52">
        <v>1986</v>
      </c>
      <c r="I52">
        <v>1</v>
      </c>
      <c r="J52">
        <v>0</v>
      </c>
      <c r="K52">
        <v>4.2185542351645851E-2</v>
      </c>
      <c r="L52">
        <v>0.42858968533454506</v>
      </c>
      <c r="M52">
        <v>1.3606544543604195</v>
      </c>
      <c r="O52">
        <v>0</v>
      </c>
      <c r="P52">
        <v>4.1308113877537411E-2</v>
      </c>
      <c r="Q52">
        <v>0.34857283552893781</v>
      </c>
      <c r="R52">
        <f t="shared" ref="R52:R53" si="9">Q52</f>
        <v>0.34857283552893781</v>
      </c>
      <c r="W52">
        <f t="shared" si="3"/>
        <v>0</v>
      </c>
      <c r="X52">
        <f t="shared" si="4"/>
        <v>0.11850640574115563</v>
      </c>
      <c r="Y52">
        <f t="shared" si="5"/>
        <v>1</v>
      </c>
      <c r="Z52">
        <f t="shared" si="6"/>
        <v>1</v>
      </c>
    </row>
    <row r="53" spans="1:26" x14ac:dyDescent="0.25">
      <c r="A53">
        <f>'11.6.3Num'!A52</f>
        <v>2024</v>
      </c>
      <c r="B53">
        <f t="shared" si="0"/>
        <v>0.11215645887703914</v>
      </c>
      <c r="C53" s="4">
        <v>0.59899999999999998</v>
      </c>
      <c r="D53" s="4">
        <v>0.59899999999999998</v>
      </c>
      <c r="E53" s="4">
        <f t="shared" si="1"/>
        <v>0.93760582264111025</v>
      </c>
      <c r="H53">
        <v>1986</v>
      </c>
      <c r="I53">
        <v>2</v>
      </c>
      <c r="J53">
        <v>0</v>
      </c>
      <c r="K53">
        <v>7.7872456575682383E-2</v>
      </c>
      <c r="L53">
        <v>0.8908755283668337</v>
      </c>
      <c r="M53">
        <v>2.5959725865132413</v>
      </c>
      <c r="O53">
        <v>0</v>
      </c>
      <c r="P53">
        <v>7.4917592802459021E-2</v>
      </c>
      <c r="Q53">
        <v>0.58970363066004949</v>
      </c>
      <c r="R53">
        <f t="shared" si="9"/>
        <v>0.58970363066004949</v>
      </c>
      <c r="W53">
        <f t="shared" si="3"/>
        <v>0</v>
      </c>
      <c r="X53">
        <f t="shared" si="4"/>
        <v>0.12704278710070768</v>
      </c>
      <c r="Y53">
        <f t="shared" si="5"/>
        <v>1</v>
      </c>
      <c r="Z53">
        <f t="shared" si="6"/>
        <v>1</v>
      </c>
    </row>
    <row r="54" spans="1:26" x14ac:dyDescent="0.25">
      <c r="H54">
        <v>1986</v>
      </c>
      <c r="I54">
        <v>3</v>
      </c>
      <c r="J54">
        <v>2.3908307097145913E-2</v>
      </c>
      <c r="K54">
        <v>5.1924505607245194E-2</v>
      </c>
      <c r="L54">
        <v>4.4935632742288071E-3</v>
      </c>
      <c r="M54">
        <v>0</v>
      </c>
      <c r="O54">
        <v>2.3624767667118407E-2</v>
      </c>
      <c r="P54">
        <v>5.0599461445411387E-2</v>
      </c>
      <c r="Q54">
        <v>4.4834823242272392E-3</v>
      </c>
      <c r="R54">
        <v>0</v>
      </c>
      <c r="W54">
        <f t="shared" si="3"/>
        <v>5.2692897972315098</v>
      </c>
      <c r="X54">
        <f t="shared" si="4"/>
        <v>11.28575017949526</v>
      </c>
      <c r="Y54">
        <f t="shared" si="5"/>
        <v>1</v>
      </c>
      <c r="Z54">
        <f t="shared" si="6"/>
        <v>0</v>
      </c>
    </row>
    <row r="55" spans="1:26" x14ac:dyDescent="0.25">
      <c r="H55">
        <v>1986</v>
      </c>
      <c r="I55">
        <v>4</v>
      </c>
      <c r="J55">
        <v>0</v>
      </c>
      <c r="K55">
        <v>0</v>
      </c>
      <c r="L55">
        <v>0</v>
      </c>
      <c r="M55">
        <v>0</v>
      </c>
      <c r="O55">
        <v>0</v>
      </c>
      <c r="P55">
        <v>0</v>
      </c>
      <c r="Q55">
        <v>0</v>
      </c>
      <c r="R55">
        <v>0</v>
      </c>
      <c r="W55" t="str">
        <f t="shared" si="3"/>
        <v/>
      </c>
      <c r="X55" t="str">
        <f t="shared" si="4"/>
        <v/>
      </c>
      <c r="Y55" t="str">
        <f t="shared" si="5"/>
        <v/>
      </c>
      <c r="Z55" t="str">
        <f t="shared" si="6"/>
        <v/>
      </c>
    </row>
    <row r="56" spans="1:26" x14ac:dyDescent="0.25">
      <c r="H56">
        <v>1987</v>
      </c>
      <c r="I56">
        <v>1</v>
      </c>
      <c r="J56">
        <v>6.3231538850916664E-5</v>
      </c>
      <c r="K56">
        <v>0.16070455924881288</v>
      </c>
      <c r="L56">
        <v>0.19594933543546245</v>
      </c>
      <c r="M56">
        <v>2.1182885906040269E-2</v>
      </c>
      <c r="O56">
        <v>6.3229539779330324E-5</v>
      </c>
      <c r="P56">
        <v>0.14845638536760697</v>
      </c>
      <c r="Q56">
        <v>0.17794611737487032</v>
      </c>
      <c r="R56">
        <v>2.0960104402992785E-2</v>
      </c>
      <c r="W56">
        <f t="shared" si="3"/>
        <v>3.5532969593333563E-4</v>
      </c>
      <c r="X56">
        <f t="shared" si="4"/>
        <v>0.83427718209136992</v>
      </c>
      <c r="Y56">
        <f t="shared" si="5"/>
        <v>1</v>
      </c>
      <c r="Z56">
        <f t="shared" si="6"/>
        <v>0.11778905160845497</v>
      </c>
    </row>
    <row r="57" spans="1:26" x14ac:dyDescent="0.25">
      <c r="H57">
        <v>1987</v>
      </c>
      <c r="I57">
        <v>2</v>
      </c>
      <c r="J57">
        <v>2.3085828995588337E-3</v>
      </c>
      <c r="K57">
        <v>0.22782982730755036</v>
      </c>
      <c r="L57">
        <v>0.7502901939673301</v>
      </c>
      <c r="M57">
        <v>1.4103192685951605E-2</v>
      </c>
      <c r="O57">
        <v>2.3059201714937805E-3</v>
      </c>
      <c r="P57">
        <v>0.20374025002769192</v>
      </c>
      <c r="Q57">
        <v>0.52777050529528968</v>
      </c>
      <c r="R57">
        <v>1.4004208541178009E-2</v>
      </c>
      <c r="W57">
        <f t="shared" si="3"/>
        <v>4.3691721086300738E-3</v>
      </c>
      <c r="X57">
        <f t="shared" si="4"/>
        <v>0.38603947735521604</v>
      </c>
      <c r="Y57">
        <f t="shared" si="5"/>
        <v>1</v>
      </c>
      <c r="Z57">
        <f t="shared" si="6"/>
        <v>2.6534655500201929E-2</v>
      </c>
    </row>
    <row r="58" spans="1:26" x14ac:dyDescent="0.25">
      <c r="H58">
        <v>1987</v>
      </c>
      <c r="I58">
        <v>3</v>
      </c>
      <c r="J58">
        <v>1.558881226964689E-2</v>
      </c>
      <c r="K58">
        <v>0.16099275040686492</v>
      </c>
      <c r="L58">
        <v>0.16572538959298541</v>
      </c>
      <c r="M58">
        <v>0.78370799866926477</v>
      </c>
      <c r="O58">
        <v>1.5467935658363352E-2</v>
      </c>
      <c r="P58">
        <v>0.14870175734932367</v>
      </c>
      <c r="Q58">
        <v>0.15272112615829658</v>
      </c>
      <c r="R58">
        <v>0.54329061009579116</v>
      </c>
      <c r="W58">
        <f t="shared" si="3"/>
        <v>0.10128222628695602</v>
      </c>
      <c r="X58">
        <f t="shared" si="4"/>
        <v>0.97368164503444787</v>
      </c>
      <c r="Y58">
        <f t="shared" si="5"/>
        <v>1</v>
      </c>
      <c r="Z58">
        <f t="shared" si="6"/>
        <v>3.5574031161390627</v>
      </c>
    </row>
    <row r="59" spans="1:26" x14ac:dyDescent="0.25">
      <c r="H59">
        <v>1987</v>
      </c>
      <c r="I59">
        <v>4</v>
      </c>
      <c r="J59">
        <v>0</v>
      </c>
      <c r="K59">
        <v>0</v>
      </c>
      <c r="L59">
        <v>0</v>
      </c>
      <c r="M59">
        <v>0</v>
      </c>
      <c r="O59">
        <v>0</v>
      </c>
      <c r="P59">
        <v>0</v>
      </c>
      <c r="Q59">
        <v>0</v>
      </c>
      <c r="R59">
        <v>0</v>
      </c>
      <c r="W59" t="str">
        <f t="shared" si="3"/>
        <v/>
      </c>
      <c r="X59" t="str">
        <f t="shared" si="4"/>
        <v/>
      </c>
      <c r="Y59" t="str">
        <f t="shared" si="5"/>
        <v/>
      </c>
      <c r="Z59" t="str">
        <f t="shared" si="6"/>
        <v/>
      </c>
    </row>
    <row r="60" spans="1:26" x14ac:dyDescent="0.25">
      <c r="H60">
        <v>1988</v>
      </c>
      <c r="I60">
        <v>1</v>
      </c>
      <c r="J60">
        <v>8.0494090510315724E-2</v>
      </c>
      <c r="K60">
        <v>0.27169696663440374</v>
      </c>
      <c r="L60">
        <v>0.86558170262483403</v>
      </c>
      <c r="M60">
        <v>0.2537511006223383</v>
      </c>
      <c r="O60">
        <v>7.7339643980497974E-2</v>
      </c>
      <c r="P60">
        <v>0.23791483666555535</v>
      </c>
      <c r="Q60">
        <v>0.57919330294256421</v>
      </c>
      <c r="R60">
        <v>0.22411510471734097</v>
      </c>
      <c r="W60">
        <f t="shared" si="3"/>
        <v>0.13352993480341979</v>
      </c>
      <c r="X60">
        <f t="shared" si="4"/>
        <v>0.41076931562716673</v>
      </c>
      <c r="Y60">
        <f t="shared" si="5"/>
        <v>1</v>
      </c>
      <c r="Z60">
        <f t="shared" si="6"/>
        <v>0.3869435360849906</v>
      </c>
    </row>
    <row r="61" spans="1:26" x14ac:dyDescent="0.25">
      <c r="H61">
        <v>1988</v>
      </c>
      <c r="I61">
        <v>2</v>
      </c>
      <c r="J61">
        <v>3.878832715166905E-2</v>
      </c>
      <c r="K61">
        <v>9.1944945320000943E-2</v>
      </c>
      <c r="L61">
        <v>0.41945596390040835</v>
      </c>
      <c r="M61">
        <v>0.15872097826985046</v>
      </c>
      <c r="O61">
        <v>3.8045692794313579E-2</v>
      </c>
      <c r="P61">
        <v>8.7844633415447015E-2</v>
      </c>
      <c r="Q61">
        <v>0.34259562574339897</v>
      </c>
      <c r="R61">
        <v>0.14676560330367272</v>
      </c>
      <c r="W61">
        <f t="shared" si="3"/>
        <v>0.11105130928556999</v>
      </c>
      <c r="X61">
        <f t="shared" si="4"/>
        <v>0.25640909227849235</v>
      </c>
      <c r="Y61">
        <f t="shared" si="5"/>
        <v>1</v>
      </c>
      <c r="Z61">
        <f t="shared" si="6"/>
        <v>0.42839310334218578</v>
      </c>
    </row>
    <row r="62" spans="1:26" x14ac:dyDescent="0.25">
      <c r="H62">
        <v>1988</v>
      </c>
      <c r="I62">
        <v>3</v>
      </c>
      <c r="J62">
        <v>9.7890536224937666E-2</v>
      </c>
      <c r="K62">
        <v>0.34501012047149493</v>
      </c>
      <c r="L62">
        <v>0.32234870284693518</v>
      </c>
      <c r="M62">
        <v>0.24415295686971988</v>
      </c>
      <c r="O62">
        <v>9.3251845602342121E-2</v>
      </c>
      <c r="P62">
        <v>0.2917868140198302</v>
      </c>
      <c r="Q62">
        <v>0.27555446993799637</v>
      </c>
      <c r="R62">
        <v>0.21663219638844422</v>
      </c>
      <c r="W62">
        <f t="shared" si="3"/>
        <v>0.33841528908358881</v>
      </c>
      <c r="X62">
        <f t="shared" si="4"/>
        <v>1.0589079323789823</v>
      </c>
      <c r="Y62">
        <f t="shared" si="5"/>
        <v>1</v>
      </c>
      <c r="Z62">
        <f t="shared" si="6"/>
        <v>0.78616832612873055</v>
      </c>
    </row>
    <row r="63" spans="1:26" x14ac:dyDescent="0.25">
      <c r="H63">
        <v>1988</v>
      </c>
      <c r="I63">
        <v>4</v>
      </c>
      <c r="J63">
        <v>0</v>
      </c>
      <c r="K63">
        <v>0</v>
      </c>
      <c r="L63">
        <v>0</v>
      </c>
      <c r="M63">
        <v>0</v>
      </c>
      <c r="O63">
        <v>0</v>
      </c>
      <c r="P63">
        <v>0</v>
      </c>
      <c r="Q63">
        <v>0</v>
      </c>
      <c r="R63">
        <v>0</v>
      </c>
      <c r="W63" t="str">
        <f t="shared" si="3"/>
        <v/>
      </c>
      <c r="X63" t="str">
        <f t="shared" si="4"/>
        <v/>
      </c>
      <c r="Y63" t="str">
        <f t="shared" si="5"/>
        <v/>
      </c>
      <c r="Z63" t="str">
        <f t="shared" si="6"/>
        <v/>
      </c>
    </row>
    <row r="64" spans="1:26" x14ac:dyDescent="0.25">
      <c r="H64">
        <v>1989</v>
      </c>
      <c r="I64">
        <v>1</v>
      </c>
      <c r="J64">
        <v>2.9163826642587945E-4</v>
      </c>
      <c r="K64">
        <v>0.16729632243393711</v>
      </c>
      <c r="L64">
        <v>3.4720094153816592</v>
      </c>
      <c r="M64">
        <v>2.5692197051420354E-2</v>
      </c>
      <c r="O64">
        <v>2.9159574412052081E-4</v>
      </c>
      <c r="P64">
        <v>0.15405109944379092</v>
      </c>
      <c r="Q64">
        <f>P64</f>
        <v>0.15405109944379092</v>
      </c>
      <c r="R64">
        <v>2.5364961017481868E-2</v>
      </c>
      <c r="W64">
        <f t="shared" si="3"/>
        <v>1.8928507824568705E-3</v>
      </c>
      <c r="X64">
        <f t="shared" si="4"/>
        <v>1</v>
      </c>
      <c r="Y64">
        <f t="shared" si="5"/>
        <v>1</v>
      </c>
      <c r="Z64">
        <f t="shared" si="6"/>
        <v>0.16465290484172659</v>
      </c>
    </row>
    <row r="65" spans="8:26" x14ac:dyDescent="0.25">
      <c r="H65">
        <v>1989</v>
      </c>
      <c r="I65">
        <v>2</v>
      </c>
      <c r="J65">
        <v>3.079403783379872E-5</v>
      </c>
      <c r="K65">
        <v>1.3367047599389155E-2</v>
      </c>
      <c r="L65">
        <v>0.15632086516589261</v>
      </c>
      <c r="M65">
        <v>2.5743125757427495E-3</v>
      </c>
      <c r="O65">
        <v>3.079356370228048E-5</v>
      </c>
      <c r="P65">
        <v>1.327810535806917E-2</v>
      </c>
      <c r="Q65">
        <v>0.14471528473342599</v>
      </c>
      <c r="R65">
        <v>2.5710018746597507E-3</v>
      </c>
      <c r="W65">
        <f t="shared" si="3"/>
        <v>2.1278722395498185E-4</v>
      </c>
      <c r="X65">
        <f t="shared" si="4"/>
        <v>9.1753302925314459E-2</v>
      </c>
      <c r="Y65">
        <f t="shared" si="5"/>
        <v>1</v>
      </c>
      <c r="Z65">
        <f t="shared" si="6"/>
        <v>1.7765931770066214E-2</v>
      </c>
    </row>
    <row r="66" spans="8:26" x14ac:dyDescent="0.25">
      <c r="H66">
        <v>1989</v>
      </c>
      <c r="I66">
        <v>3</v>
      </c>
      <c r="J66">
        <v>2.9144762164913893E-2</v>
      </c>
      <c r="K66">
        <v>0.10928469013024936</v>
      </c>
      <c r="L66">
        <v>0.10262120800934502</v>
      </c>
      <c r="M66">
        <v>0.15992324286359302</v>
      </c>
      <c r="O66">
        <v>2.872414970577275E-2</v>
      </c>
      <c r="P66">
        <v>0.10352483646525468</v>
      </c>
      <c r="Q66">
        <v>9.7531243318092153E-2</v>
      </c>
      <c r="R66">
        <v>0.14779080040640646</v>
      </c>
      <c r="W66">
        <f t="shared" si="3"/>
        <v>0.29451228886820097</v>
      </c>
      <c r="X66">
        <f t="shared" si="4"/>
        <v>1.0614530579459014</v>
      </c>
      <c r="Y66">
        <f t="shared" si="5"/>
        <v>1</v>
      </c>
      <c r="Z66">
        <f t="shared" si="6"/>
        <v>1.5153175062517747</v>
      </c>
    </row>
    <row r="67" spans="8:26" x14ac:dyDescent="0.25">
      <c r="H67">
        <v>1989</v>
      </c>
      <c r="I67">
        <v>4</v>
      </c>
      <c r="J67">
        <v>0</v>
      </c>
      <c r="K67">
        <v>0</v>
      </c>
      <c r="L67">
        <v>0</v>
      </c>
      <c r="M67">
        <v>0</v>
      </c>
      <c r="O67">
        <v>0</v>
      </c>
      <c r="P67">
        <v>0</v>
      </c>
      <c r="Q67">
        <v>0</v>
      </c>
      <c r="R67">
        <v>0</v>
      </c>
      <c r="W67" t="str">
        <f t="shared" si="3"/>
        <v/>
      </c>
      <c r="X67" t="str">
        <f t="shared" si="4"/>
        <v/>
      </c>
      <c r="Y67" t="str">
        <f t="shared" si="5"/>
        <v/>
      </c>
      <c r="Z67" t="str">
        <f t="shared" si="6"/>
        <v/>
      </c>
    </row>
    <row r="68" spans="8:26" x14ac:dyDescent="0.25">
      <c r="H68">
        <v>1990</v>
      </c>
      <c r="I68">
        <v>1</v>
      </c>
      <c r="J68">
        <v>2.562480899875308E-5</v>
      </c>
      <c r="K68">
        <v>0.29422121109184202</v>
      </c>
      <c r="L68">
        <v>0.97680762134606469</v>
      </c>
      <c r="M68">
        <v>1.3630716210139247</v>
      </c>
      <c r="O68">
        <v>2.5624480686103901E-5</v>
      </c>
      <c r="P68">
        <v>0.25488835374964292</v>
      </c>
      <c r="Q68">
        <v>0.62348885152080458</v>
      </c>
      <c r="R68">
        <f>Q68</f>
        <v>0.62348885152080458</v>
      </c>
      <c r="W68">
        <f t="shared" si="3"/>
        <v>4.1098538688544399E-5</v>
      </c>
      <c r="X68">
        <f t="shared" si="4"/>
        <v>0.40880980169560865</v>
      </c>
      <c r="Y68">
        <f t="shared" si="5"/>
        <v>1</v>
      </c>
      <c r="Z68">
        <f t="shared" si="6"/>
        <v>1</v>
      </c>
    </row>
    <row r="69" spans="8:26" x14ac:dyDescent="0.25">
      <c r="H69">
        <v>1990</v>
      </c>
      <c r="I69">
        <v>2</v>
      </c>
      <c r="J69">
        <v>3.2832932637543183E-5</v>
      </c>
      <c r="K69">
        <v>0.54276811498648381</v>
      </c>
      <c r="L69">
        <v>2.1211064846980174</v>
      </c>
      <c r="M69">
        <v>2.6788812728273377</v>
      </c>
      <c r="O69">
        <v>3.2832393642712177E-5</v>
      </c>
      <c r="P69">
        <v>0.41886263121264433</v>
      </c>
      <c r="Q69">
        <f>P69</f>
        <v>0.41886263121264433</v>
      </c>
      <c r="R69">
        <f>Q69</f>
        <v>0.41886263121264433</v>
      </c>
      <c r="W69">
        <f t="shared" ref="W69:W132" si="10">IF($Q69&gt;0,O69/$Q69,"")</f>
        <v>7.8384633042244655E-5</v>
      </c>
      <c r="X69">
        <f t="shared" ref="X69:X132" si="11">IF($Q69&gt;0,P69/$Q69,"")</f>
        <v>1</v>
      </c>
      <c r="Y69">
        <f t="shared" ref="Y69:Y132" si="12">IF($Q69&gt;0,Q69/$Q69,"")</f>
        <v>1</v>
      </c>
      <c r="Z69">
        <f t="shared" ref="Z69:Z132" si="13">IF($Q69&gt;0,R69/$Q69,"")</f>
        <v>1</v>
      </c>
    </row>
    <row r="70" spans="8:26" x14ac:dyDescent="0.25">
      <c r="H70">
        <v>1990</v>
      </c>
      <c r="I70">
        <v>3</v>
      </c>
      <c r="J70">
        <v>1.2333364324836027E-2</v>
      </c>
      <c r="K70">
        <v>3.2157090366347257E-2</v>
      </c>
      <c r="L70">
        <v>8.632882341952872E-3</v>
      </c>
      <c r="M70">
        <v>1.6905071521456438E-2</v>
      </c>
      <c r="O70">
        <v>1.2257620100536992E-2</v>
      </c>
      <c r="P70">
        <v>3.1645549025112629E-2</v>
      </c>
      <c r="Q70">
        <v>8.5957260121385382E-3</v>
      </c>
      <c r="R70">
        <v>1.6762982601019716E-2</v>
      </c>
      <c r="W70">
        <f t="shared" si="10"/>
        <v>1.4260133563153683</v>
      </c>
      <c r="X70">
        <f t="shared" si="11"/>
        <v>3.6815446397923872</v>
      </c>
      <c r="Y70">
        <f t="shared" si="12"/>
        <v>1</v>
      </c>
      <c r="Z70">
        <f t="shared" si="13"/>
        <v>1.9501532014105274</v>
      </c>
    </row>
    <row r="71" spans="8:26" x14ac:dyDescent="0.25">
      <c r="H71">
        <v>1990</v>
      </c>
      <c r="I71">
        <v>4</v>
      </c>
      <c r="J71">
        <v>0</v>
      </c>
      <c r="K71">
        <v>0</v>
      </c>
      <c r="L71">
        <v>0</v>
      </c>
      <c r="M71">
        <v>0</v>
      </c>
      <c r="O71">
        <v>0</v>
      </c>
      <c r="P71">
        <v>0</v>
      </c>
      <c r="Q71">
        <v>0</v>
      </c>
      <c r="R71">
        <v>0</v>
      </c>
      <c r="W71" t="str">
        <f t="shared" si="10"/>
        <v/>
      </c>
      <c r="X71" t="str">
        <f t="shared" si="11"/>
        <v/>
      </c>
      <c r="Y71" t="str">
        <f t="shared" si="12"/>
        <v/>
      </c>
      <c r="Z71" t="str">
        <f t="shared" si="13"/>
        <v/>
      </c>
    </row>
    <row r="72" spans="8:26" x14ac:dyDescent="0.25">
      <c r="H72">
        <v>1991</v>
      </c>
      <c r="I72">
        <v>1</v>
      </c>
      <c r="J72">
        <v>3.8686507860704119E-4</v>
      </c>
      <c r="K72">
        <v>0.12969660100722305</v>
      </c>
      <c r="L72">
        <v>2.4358617714588662</v>
      </c>
      <c r="M72">
        <v>7.1558249063752535E-2</v>
      </c>
      <c r="O72">
        <v>3.8679025596155547E-4</v>
      </c>
      <c r="P72">
        <v>0.12163811539128899</v>
      </c>
      <c r="Q72">
        <f>P72</f>
        <v>0.12163811539128899</v>
      </c>
      <c r="R72">
        <v>6.905795048728236E-2</v>
      </c>
      <c r="W72">
        <f t="shared" si="10"/>
        <v>3.179844201937176E-3</v>
      </c>
      <c r="X72">
        <f t="shared" si="11"/>
        <v>1</v>
      </c>
      <c r="Y72">
        <f t="shared" si="12"/>
        <v>1</v>
      </c>
      <c r="Z72">
        <f t="shared" si="13"/>
        <v>0.56773282178151774</v>
      </c>
    </row>
    <row r="73" spans="8:26" x14ac:dyDescent="0.25">
      <c r="H73">
        <v>1991</v>
      </c>
      <c r="I73">
        <v>2</v>
      </c>
      <c r="J73">
        <v>2.3466378233908687E-2</v>
      </c>
      <c r="K73">
        <v>0.41684177506259618</v>
      </c>
      <c r="L73">
        <v>1.2135490550157464</v>
      </c>
      <c r="M73">
        <v>0.15785747217282486</v>
      </c>
      <c r="O73">
        <v>2.3193183912965654E-2</v>
      </c>
      <c r="P73">
        <v>0.34087479826230083</v>
      </c>
      <c r="Q73">
        <f>P73</f>
        <v>0.34087479826230083</v>
      </c>
      <c r="R73">
        <v>0.14602851200431854</v>
      </c>
      <c r="W73">
        <f t="shared" si="10"/>
        <v>6.8040183760134293E-2</v>
      </c>
      <c r="X73">
        <f t="shared" si="11"/>
        <v>1</v>
      </c>
      <c r="Y73">
        <f t="shared" si="12"/>
        <v>1</v>
      </c>
      <c r="Z73">
        <f t="shared" si="13"/>
        <v>0.42839339472656057</v>
      </c>
    </row>
    <row r="74" spans="8:26" x14ac:dyDescent="0.25">
      <c r="H74">
        <v>1991</v>
      </c>
      <c r="I74">
        <v>3</v>
      </c>
      <c r="J74">
        <v>4.7544200735690099E-3</v>
      </c>
      <c r="K74">
        <v>1.4197786055757618E-2</v>
      </c>
      <c r="L74">
        <v>4.0831448097554054E-3</v>
      </c>
      <c r="M74">
        <v>3.3014306199353055E-3</v>
      </c>
      <c r="O74">
        <v>4.7431357090705895E-3</v>
      </c>
      <c r="P74">
        <v>1.4097472794547095E-2</v>
      </c>
      <c r="Q74">
        <v>4.0748201081616253E-3</v>
      </c>
      <c r="R74">
        <v>3.2959868902125988E-3</v>
      </c>
      <c r="W74">
        <f t="shared" si="10"/>
        <v>1.1640110687513217</v>
      </c>
      <c r="X74">
        <f t="shared" si="11"/>
        <v>3.459655253568295</v>
      </c>
      <c r="Y74">
        <f t="shared" si="12"/>
        <v>1</v>
      </c>
      <c r="Z74">
        <f t="shared" si="13"/>
        <v>0.8088668463206341</v>
      </c>
    </row>
    <row r="75" spans="8:26" x14ac:dyDescent="0.25">
      <c r="H75">
        <v>1991</v>
      </c>
      <c r="I75">
        <v>4</v>
      </c>
      <c r="J75">
        <v>0</v>
      </c>
      <c r="K75">
        <v>0</v>
      </c>
      <c r="L75">
        <v>0</v>
      </c>
      <c r="M75">
        <v>0</v>
      </c>
      <c r="O75">
        <v>0</v>
      </c>
      <c r="P75">
        <v>0</v>
      </c>
      <c r="Q75">
        <v>0</v>
      </c>
      <c r="R75">
        <v>0</v>
      </c>
      <c r="W75" t="str">
        <f t="shared" si="10"/>
        <v/>
      </c>
      <c r="X75" t="str">
        <f t="shared" si="11"/>
        <v/>
      </c>
      <c r="Y75" t="str">
        <f t="shared" si="12"/>
        <v/>
      </c>
      <c r="Z75" t="str">
        <f t="shared" si="13"/>
        <v/>
      </c>
    </row>
    <row r="76" spans="8:26" x14ac:dyDescent="0.25">
      <c r="H76">
        <v>1992</v>
      </c>
      <c r="I76">
        <v>1</v>
      </c>
      <c r="J76">
        <v>1.8564640180277275E-4</v>
      </c>
      <c r="K76">
        <v>0.39343847517946345</v>
      </c>
      <c r="L76">
        <v>0.52282989768580723</v>
      </c>
      <c r="M76">
        <v>1.1378921468115646</v>
      </c>
      <c r="O76">
        <v>1.8562917057585171E-4</v>
      </c>
      <c r="P76">
        <v>0.32526717088391432</v>
      </c>
      <c r="Q76">
        <v>0.40715950604099138</v>
      </c>
      <c r="R76">
        <f>Q76</f>
        <v>0.40715950604099138</v>
      </c>
      <c r="W76">
        <f t="shared" si="10"/>
        <v>4.5591265295710234E-4</v>
      </c>
      <c r="X76">
        <f t="shared" si="11"/>
        <v>0.79886915584175888</v>
      </c>
      <c r="Y76">
        <f t="shared" si="12"/>
        <v>1</v>
      </c>
      <c r="Z76">
        <f t="shared" si="13"/>
        <v>1</v>
      </c>
    </row>
    <row r="77" spans="8:26" x14ac:dyDescent="0.25">
      <c r="H77">
        <v>1992</v>
      </c>
      <c r="I77">
        <v>2</v>
      </c>
      <c r="J77">
        <v>3.3579391360261178E-3</v>
      </c>
      <c r="K77">
        <v>8.9416256101885458E-2</v>
      </c>
      <c r="L77">
        <v>0.10688199521252507</v>
      </c>
      <c r="M77">
        <v>0.20660753213560851</v>
      </c>
      <c r="O77">
        <v>3.3523075636614497E-3</v>
      </c>
      <c r="P77">
        <v>8.5535157231573233E-2</v>
      </c>
      <c r="Q77">
        <v>0.10136829042232309</v>
      </c>
      <c r="R77">
        <v>0.18666120330337299</v>
      </c>
      <c r="W77">
        <f t="shared" si="10"/>
        <v>3.3070574138075945E-2</v>
      </c>
      <c r="X77">
        <f t="shared" si="11"/>
        <v>0.8438058575834172</v>
      </c>
      <c r="Y77">
        <f t="shared" si="12"/>
        <v>1</v>
      </c>
      <c r="Z77">
        <f t="shared" si="13"/>
        <v>1.8414161127281563</v>
      </c>
    </row>
    <row r="78" spans="8:26" x14ac:dyDescent="0.25">
      <c r="H78">
        <v>1992</v>
      </c>
      <c r="I78">
        <v>3</v>
      </c>
      <c r="J78">
        <v>2.8044002708263491E-2</v>
      </c>
      <c r="K78">
        <v>0.18603628522199947</v>
      </c>
      <c r="L78">
        <v>0.45941807858544081</v>
      </c>
      <c r="M78">
        <v>0.16207712654879577</v>
      </c>
      <c r="O78">
        <v>2.7654419979002309E-2</v>
      </c>
      <c r="P78">
        <v>0.16975653113321187</v>
      </c>
      <c r="Q78">
        <v>0.36834889011376648</v>
      </c>
      <c r="R78">
        <v>0.14962438452546523</v>
      </c>
      <c r="W78">
        <f t="shared" si="10"/>
        <v>7.5076702336366749E-2</v>
      </c>
      <c r="X78">
        <f t="shared" si="11"/>
        <v>0.46085799547483824</v>
      </c>
      <c r="Y78">
        <f t="shared" si="12"/>
        <v>1</v>
      </c>
      <c r="Z78">
        <f t="shared" si="13"/>
        <v>0.40620289226133666</v>
      </c>
    </row>
    <row r="79" spans="8:26" x14ac:dyDescent="0.25">
      <c r="H79">
        <v>1992</v>
      </c>
      <c r="I79">
        <v>4</v>
      </c>
      <c r="J79">
        <v>0</v>
      </c>
      <c r="K79">
        <v>0</v>
      </c>
      <c r="L79">
        <v>0</v>
      </c>
      <c r="M79">
        <v>0</v>
      </c>
      <c r="O79">
        <v>0</v>
      </c>
      <c r="P79">
        <v>0</v>
      </c>
      <c r="Q79">
        <v>0</v>
      </c>
      <c r="R79">
        <v>0</v>
      </c>
      <c r="W79" t="str">
        <f t="shared" si="10"/>
        <v/>
      </c>
      <c r="X79" t="str">
        <f t="shared" si="11"/>
        <v/>
      </c>
      <c r="Y79" t="str">
        <f t="shared" si="12"/>
        <v/>
      </c>
      <c r="Z79" t="str">
        <f t="shared" si="13"/>
        <v/>
      </c>
    </row>
    <row r="80" spans="8:26" x14ac:dyDescent="0.25">
      <c r="H80">
        <v>1993</v>
      </c>
      <c r="I80">
        <v>1</v>
      </c>
      <c r="J80">
        <v>1.9690010882041651E-3</v>
      </c>
      <c r="K80">
        <v>0.11529121165836954</v>
      </c>
      <c r="L80">
        <v>1.1269961856795168</v>
      </c>
      <c r="M80">
        <v>0.756647097075552</v>
      </c>
      <c r="O80">
        <v>1.9670638772268934E-3</v>
      </c>
      <c r="P80">
        <v>0.10889339451400903</v>
      </c>
      <c r="Q80">
        <f>P80</f>
        <v>0.10889339451400903</v>
      </c>
      <c r="R80">
        <v>0.53076290117569513</v>
      </c>
      <c r="W80">
        <f t="shared" si="10"/>
        <v>1.8064124881090306E-2</v>
      </c>
      <c r="X80">
        <f t="shared" si="11"/>
        <v>1</v>
      </c>
      <c r="Y80">
        <f t="shared" si="12"/>
        <v>1</v>
      </c>
      <c r="Z80">
        <f t="shared" si="13"/>
        <v>4.8741514904966339</v>
      </c>
    </row>
    <row r="81" spans="8:26" x14ac:dyDescent="0.25">
      <c r="H81">
        <v>1993</v>
      </c>
      <c r="I81">
        <v>2</v>
      </c>
      <c r="J81">
        <v>1.6285258134058872E-2</v>
      </c>
      <c r="K81">
        <v>0.40866453658171287</v>
      </c>
      <c r="L81">
        <v>0.72458325810916535</v>
      </c>
      <c r="M81">
        <v>0.23261234728686758</v>
      </c>
      <c r="O81">
        <v>1.6153370231213215E-2</v>
      </c>
      <c r="P81">
        <v>0.33546287717087619</v>
      </c>
      <c r="Q81">
        <v>0.51547355064490541</v>
      </c>
      <c r="R81">
        <v>0.20753928646570896</v>
      </c>
      <c r="W81">
        <f t="shared" si="10"/>
        <v>3.1336952615713932E-2</v>
      </c>
      <c r="X81">
        <f t="shared" si="11"/>
        <v>0.6507858196626789</v>
      </c>
      <c r="Y81">
        <f t="shared" si="12"/>
        <v>1</v>
      </c>
      <c r="Z81">
        <f t="shared" si="13"/>
        <v>0.40261869150426438</v>
      </c>
    </row>
    <row r="82" spans="8:26" x14ac:dyDescent="0.25">
      <c r="H82">
        <v>1993</v>
      </c>
      <c r="I82">
        <v>3</v>
      </c>
      <c r="J82">
        <v>2.8866311730660753E-2</v>
      </c>
      <c r="K82">
        <v>0.2684837028937711</v>
      </c>
      <c r="L82">
        <v>0.62826137321953168</v>
      </c>
      <c r="M82">
        <v>1.1660566518141311</v>
      </c>
      <c r="O82">
        <v>2.8453659866219838E-2</v>
      </c>
      <c r="P82">
        <v>0.2354621175365903</v>
      </c>
      <c r="Q82">
        <v>0.46648141519270547</v>
      </c>
      <c r="R82">
        <f>Q82</f>
        <v>0.46648141519270547</v>
      </c>
      <c r="W82">
        <f t="shared" si="10"/>
        <v>6.0996341846685377E-2</v>
      </c>
      <c r="X82">
        <f t="shared" si="11"/>
        <v>0.50476205453827117</v>
      </c>
      <c r="Y82">
        <f t="shared" si="12"/>
        <v>1</v>
      </c>
      <c r="Z82">
        <f t="shared" si="13"/>
        <v>1</v>
      </c>
    </row>
    <row r="83" spans="8:26" x14ac:dyDescent="0.25">
      <c r="H83">
        <v>1993</v>
      </c>
      <c r="I83">
        <v>4</v>
      </c>
      <c r="J83">
        <v>0</v>
      </c>
      <c r="K83">
        <v>0</v>
      </c>
      <c r="L83">
        <v>0</v>
      </c>
      <c r="M83">
        <v>0</v>
      </c>
      <c r="O83">
        <v>0</v>
      </c>
      <c r="P83">
        <v>0</v>
      </c>
      <c r="Q83">
        <v>0</v>
      </c>
      <c r="R83">
        <v>0</v>
      </c>
      <c r="W83" t="str">
        <f t="shared" si="10"/>
        <v/>
      </c>
      <c r="X83" t="str">
        <f t="shared" si="11"/>
        <v/>
      </c>
      <c r="Y83" t="str">
        <f t="shared" si="12"/>
        <v/>
      </c>
      <c r="Z83" t="str">
        <f t="shared" si="13"/>
        <v/>
      </c>
    </row>
    <row r="84" spans="8:26" x14ac:dyDescent="0.25">
      <c r="H84">
        <v>1994</v>
      </c>
      <c r="I84">
        <v>1</v>
      </c>
      <c r="J84">
        <v>3.7750368750317886E-3</v>
      </c>
      <c r="K84">
        <v>1.0795033071325371</v>
      </c>
      <c r="L84">
        <v>0.14325182025548711</v>
      </c>
      <c r="M84">
        <v>0.3600334525856061</v>
      </c>
      <c r="O84">
        <v>3.7679203811532558E-3</v>
      </c>
      <c r="P84">
        <f>O84</f>
        <v>3.7679203811532558E-3</v>
      </c>
      <c r="Q84">
        <v>0.13346416985596243</v>
      </c>
      <c r="R84">
        <v>0.30234701261562025</v>
      </c>
      <c r="W84">
        <f t="shared" si="10"/>
        <v>2.8231699827898988E-2</v>
      </c>
      <c r="X84">
        <f t="shared" si="11"/>
        <v>2.8231699827898988E-2</v>
      </c>
      <c r="Y84">
        <f t="shared" si="12"/>
        <v>1</v>
      </c>
      <c r="Z84">
        <f t="shared" si="13"/>
        <v>2.2653796366614354</v>
      </c>
    </row>
    <row r="85" spans="8:26" x14ac:dyDescent="0.25">
      <c r="H85">
        <v>1994</v>
      </c>
      <c r="I85">
        <v>2</v>
      </c>
      <c r="J85">
        <v>2.4675533067536289E-2</v>
      </c>
      <c r="K85">
        <v>0.34633496486551973</v>
      </c>
      <c r="L85">
        <v>0.79092395881442035</v>
      </c>
      <c r="M85">
        <v>0.9698002988724358</v>
      </c>
      <c r="O85">
        <v>2.4373580811033135E-2</v>
      </c>
      <c r="P85">
        <v>0.29272446503105953</v>
      </c>
      <c r="Q85">
        <v>0.54657434495264845</v>
      </c>
      <c r="R85">
        <v>0.62084125102693011</v>
      </c>
      <c r="W85">
        <f t="shared" si="10"/>
        <v>4.4593349534443848E-2</v>
      </c>
      <c r="X85">
        <f t="shared" si="11"/>
        <v>0.53556202872350189</v>
      </c>
      <c r="Y85">
        <f t="shared" si="12"/>
        <v>1</v>
      </c>
      <c r="Z85">
        <f t="shared" si="13"/>
        <v>1.1358770435533627</v>
      </c>
    </row>
    <row r="86" spans="8:26" x14ac:dyDescent="0.25">
      <c r="H86">
        <v>1994</v>
      </c>
      <c r="I86">
        <v>3</v>
      </c>
      <c r="J86">
        <v>1.4980288492321201E-2</v>
      </c>
      <c r="K86">
        <v>0.21415635278930517</v>
      </c>
      <c r="L86">
        <v>0.62076562472280861</v>
      </c>
      <c r="M86">
        <v>0.32436159927202413</v>
      </c>
      <c r="O86">
        <v>1.4868642163994639E-2</v>
      </c>
      <c r="P86">
        <v>0.19277783628147427</v>
      </c>
      <c r="Q86">
        <v>0.46246726834001306</v>
      </c>
      <c r="R86">
        <v>0.27701123710304898</v>
      </c>
      <c r="W86">
        <f t="shared" si="10"/>
        <v>3.2150690831297887E-2</v>
      </c>
      <c r="X86">
        <f t="shared" si="11"/>
        <v>0.41684644401631693</v>
      </c>
      <c r="Y86">
        <f t="shared" si="12"/>
        <v>1</v>
      </c>
      <c r="Z86">
        <f t="shared" si="13"/>
        <v>0.59898560626216268</v>
      </c>
    </row>
    <row r="87" spans="8:26" x14ac:dyDescent="0.25">
      <c r="H87">
        <v>1994</v>
      </c>
      <c r="I87">
        <v>4</v>
      </c>
      <c r="J87">
        <v>0</v>
      </c>
      <c r="K87">
        <v>0</v>
      </c>
      <c r="L87">
        <v>0</v>
      </c>
      <c r="M87">
        <v>0</v>
      </c>
      <c r="O87">
        <v>0</v>
      </c>
      <c r="P87">
        <v>0</v>
      </c>
      <c r="Q87">
        <v>0</v>
      </c>
      <c r="R87">
        <v>0</v>
      </c>
      <c r="W87" t="str">
        <f t="shared" si="10"/>
        <v/>
      </c>
      <c r="X87" t="str">
        <f t="shared" si="11"/>
        <v/>
      </c>
      <c r="Y87" t="str">
        <f t="shared" si="12"/>
        <v/>
      </c>
      <c r="Z87" t="str">
        <f t="shared" si="13"/>
        <v/>
      </c>
    </row>
    <row r="88" spans="8:26" x14ac:dyDescent="0.25">
      <c r="H88">
        <v>1995</v>
      </c>
      <c r="I88">
        <v>1</v>
      </c>
      <c r="J88">
        <v>4.9483259941267019E-3</v>
      </c>
      <c r="K88">
        <v>0.74603233360572763</v>
      </c>
      <c r="L88">
        <v>0.39154252592176497</v>
      </c>
      <c r="M88">
        <v>0.66065119882853873</v>
      </c>
      <c r="O88">
        <v>4.9361031981584036E-3</v>
      </c>
      <c r="P88">
        <v>0.52575553135355291</v>
      </c>
      <c r="Q88">
        <v>0.32398669820536286</v>
      </c>
      <c r="R88">
        <v>0.48348512892766815</v>
      </c>
      <c r="W88">
        <f t="shared" si="10"/>
        <v>1.523551190681784E-2</v>
      </c>
      <c r="X88">
        <f t="shared" si="11"/>
        <v>1.6227688799133859</v>
      </c>
      <c r="Y88">
        <f t="shared" si="12"/>
        <v>1</v>
      </c>
      <c r="Z88">
        <f t="shared" si="13"/>
        <v>1.4922993184775917</v>
      </c>
    </row>
    <row r="89" spans="8:26" x14ac:dyDescent="0.25">
      <c r="H89">
        <v>1995</v>
      </c>
      <c r="I89">
        <v>2</v>
      </c>
      <c r="J89">
        <v>2.8017048003589052E-2</v>
      </c>
      <c r="K89">
        <v>0.57270844129097409</v>
      </c>
      <c r="L89">
        <v>0.89183901673249188</v>
      </c>
      <c r="M89">
        <v>2.1357282479745674</v>
      </c>
      <c r="O89">
        <v>2.7628210337816372E-2</v>
      </c>
      <c r="P89">
        <v>0.43600418137158936</v>
      </c>
      <c r="Q89">
        <v>0.59009875605845163</v>
      </c>
      <c r="R89">
        <f>Q89</f>
        <v>0.59009875605845163</v>
      </c>
      <c r="W89">
        <f t="shared" si="10"/>
        <v>4.6819638330299562E-2</v>
      </c>
      <c r="X89">
        <f t="shared" si="11"/>
        <v>0.73886646412181456</v>
      </c>
      <c r="Y89">
        <f t="shared" si="12"/>
        <v>1</v>
      </c>
      <c r="Z89">
        <f t="shared" si="13"/>
        <v>1</v>
      </c>
    </row>
    <row r="90" spans="8:26" x14ac:dyDescent="0.25">
      <c r="H90">
        <v>1995</v>
      </c>
      <c r="I90">
        <v>3</v>
      </c>
      <c r="J90">
        <v>0.11433206980767274</v>
      </c>
      <c r="K90">
        <v>0.52559316575617587</v>
      </c>
      <c r="L90">
        <v>0.53583073006593163</v>
      </c>
      <c r="M90">
        <v>1.8570228299918878</v>
      </c>
      <c r="O90">
        <v>0.10803828685603922</v>
      </c>
      <c r="P90">
        <v>0.40879542197070262</v>
      </c>
      <c r="Q90">
        <v>0.414817040910339</v>
      </c>
      <c r="R90">
        <f>Q90</f>
        <v>0.414817040910339</v>
      </c>
      <c r="W90">
        <f t="shared" si="10"/>
        <v>0.2604480438386601</v>
      </c>
      <c r="X90">
        <f t="shared" si="11"/>
        <v>0.98548367510066226</v>
      </c>
      <c r="Y90">
        <f t="shared" si="12"/>
        <v>1</v>
      </c>
      <c r="Z90">
        <f t="shared" si="13"/>
        <v>1</v>
      </c>
    </row>
    <row r="91" spans="8:26" x14ac:dyDescent="0.25">
      <c r="H91">
        <v>1995</v>
      </c>
      <c r="I91">
        <v>4</v>
      </c>
      <c r="J91">
        <v>0</v>
      </c>
      <c r="K91">
        <v>0</v>
      </c>
      <c r="L91">
        <v>0</v>
      </c>
      <c r="M91">
        <v>0</v>
      </c>
      <c r="O91">
        <v>0</v>
      </c>
      <c r="P91">
        <v>0</v>
      </c>
      <c r="Q91">
        <v>0</v>
      </c>
      <c r="R91">
        <v>0</v>
      </c>
      <c r="W91" t="str">
        <f t="shared" si="10"/>
        <v/>
      </c>
      <c r="X91" t="str">
        <f t="shared" si="11"/>
        <v/>
      </c>
      <c r="Y91" t="str">
        <f t="shared" si="12"/>
        <v/>
      </c>
      <c r="Z91" t="str">
        <f t="shared" si="13"/>
        <v/>
      </c>
    </row>
    <row r="92" spans="8:26" x14ac:dyDescent="0.25">
      <c r="H92">
        <v>1996</v>
      </c>
      <c r="I92">
        <v>1</v>
      </c>
      <c r="J92">
        <v>4.7301136363636365E-3</v>
      </c>
      <c r="K92">
        <v>2.4059478680555055E-2</v>
      </c>
      <c r="L92">
        <v>0.16565012486990605</v>
      </c>
      <c r="M92">
        <v>0.51825261158594493</v>
      </c>
      <c r="O92">
        <v>4.7189442665928061E-3</v>
      </c>
      <c r="P92">
        <v>2.377235670107658E-2</v>
      </c>
      <c r="Q92">
        <v>0.1526573535486021</v>
      </c>
      <c r="R92">
        <v>0.40443968553897081</v>
      </c>
      <c r="W92">
        <f t="shared" si="10"/>
        <v>3.0912001006819616E-2</v>
      </c>
      <c r="X92">
        <f t="shared" si="11"/>
        <v>0.15572362646459795</v>
      </c>
      <c r="Y92">
        <f t="shared" si="12"/>
        <v>1</v>
      </c>
      <c r="Z92">
        <f t="shared" si="13"/>
        <v>2.6493298628435071</v>
      </c>
    </row>
    <row r="93" spans="8:26" x14ac:dyDescent="0.25">
      <c r="H93">
        <v>1996</v>
      </c>
      <c r="I93">
        <v>2</v>
      </c>
      <c r="J93">
        <v>2.7200175702811243E-2</v>
      </c>
      <c r="K93">
        <v>0.16388391340763855</v>
      </c>
      <c r="L93">
        <v>1.0434066375339555</v>
      </c>
      <c r="M93">
        <v>3.5578981891442361</v>
      </c>
      <c r="O93">
        <v>2.6833582246131416E-2</v>
      </c>
      <c r="P93">
        <v>0.15115944483159305</v>
      </c>
      <c r="Q93">
        <f>P93</f>
        <v>0.15115944483159305</v>
      </c>
      <c r="R93">
        <f>Q93</f>
        <v>0.15115944483159305</v>
      </c>
      <c r="W93">
        <f t="shared" si="10"/>
        <v>0.17751839639280725</v>
      </c>
      <c r="X93">
        <f t="shared" si="11"/>
        <v>1</v>
      </c>
      <c r="Y93">
        <f t="shared" si="12"/>
        <v>1</v>
      </c>
      <c r="Z93">
        <f t="shared" si="13"/>
        <v>1</v>
      </c>
    </row>
    <row r="94" spans="8:26" x14ac:dyDescent="0.25">
      <c r="H94">
        <v>1996</v>
      </c>
      <c r="I94">
        <v>3</v>
      </c>
      <c r="J94">
        <v>6.2579763126549753E-2</v>
      </c>
      <c r="K94">
        <v>0.10439871183412343</v>
      </c>
      <c r="L94">
        <v>0.15325763555771449</v>
      </c>
      <c r="M94">
        <v>0.57226368446590725</v>
      </c>
      <c r="O94">
        <v>6.0661864721268999E-2</v>
      </c>
      <c r="P94">
        <v>9.9133960145207589E-2</v>
      </c>
      <c r="Q94">
        <v>0.14209133444087829</v>
      </c>
      <c r="R94">
        <v>0.43575328459205342</v>
      </c>
      <c r="W94">
        <f t="shared" si="10"/>
        <v>0.42692163431338126</v>
      </c>
      <c r="X94">
        <f t="shared" si="11"/>
        <v>0.69767773337687589</v>
      </c>
      <c r="Y94">
        <f t="shared" si="12"/>
        <v>1</v>
      </c>
      <c r="Z94">
        <f t="shared" si="13"/>
        <v>3.0667125923387166</v>
      </c>
    </row>
    <row r="95" spans="8:26" x14ac:dyDescent="0.25">
      <c r="H95">
        <v>1996</v>
      </c>
      <c r="I95">
        <v>4</v>
      </c>
      <c r="J95">
        <v>0</v>
      </c>
      <c r="K95">
        <v>0</v>
      </c>
      <c r="L95">
        <v>0</v>
      </c>
      <c r="M95">
        <v>0</v>
      </c>
      <c r="O95">
        <v>0</v>
      </c>
      <c r="P95">
        <v>0</v>
      </c>
      <c r="Q95">
        <v>0</v>
      </c>
      <c r="R95">
        <v>0</v>
      </c>
      <c r="W95" t="str">
        <f t="shared" si="10"/>
        <v/>
      </c>
      <c r="X95" t="str">
        <f t="shared" si="11"/>
        <v/>
      </c>
      <c r="Y95" t="str">
        <f t="shared" si="12"/>
        <v/>
      </c>
      <c r="Z95" t="str">
        <f t="shared" si="13"/>
        <v/>
      </c>
    </row>
    <row r="96" spans="8:26" x14ac:dyDescent="0.25">
      <c r="H96">
        <v>1997</v>
      </c>
      <c r="I96">
        <v>1</v>
      </c>
      <c r="J96">
        <v>1.1904366226831079E-4</v>
      </c>
      <c r="K96">
        <v>0.13714216312503374</v>
      </c>
      <c r="L96">
        <v>7.7377898123515018E-2</v>
      </c>
      <c r="M96">
        <v>0.43476080031896147</v>
      </c>
      <c r="O96">
        <v>1.1903657685274904E-4</v>
      </c>
      <c r="P96">
        <v>0.12815372706917794</v>
      </c>
      <c r="Q96">
        <v>7.4459972328318802E-2</v>
      </c>
      <c r="R96">
        <v>0.35258048890147098</v>
      </c>
      <c r="W96">
        <f t="shared" si="10"/>
        <v>1.5986653383092482E-3</v>
      </c>
      <c r="X96">
        <f t="shared" si="11"/>
        <v>1.7211089805957152</v>
      </c>
      <c r="Y96">
        <f t="shared" si="12"/>
        <v>1</v>
      </c>
      <c r="Z96">
        <f t="shared" si="13"/>
        <v>4.7351681430504193</v>
      </c>
    </row>
    <row r="97" spans="8:26" x14ac:dyDescent="0.25">
      <c r="H97">
        <v>1997</v>
      </c>
      <c r="I97">
        <v>2</v>
      </c>
      <c r="J97">
        <v>4.1995045015777418E-3</v>
      </c>
      <c r="K97">
        <v>0.47888302230512436</v>
      </c>
      <c r="L97">
        <v>1.2656441112877062</v>
      </c>
      <c r="M97">
        <v>1.1072666430015834</v>
      </c>
      <c r="O97">
        <v>4.1906989132302064E-3</v>
      </c>
      <c r="P97">
        <v>0.38052505479429188</v>
      </c>
      <c r="Q97">
        <f>P97</f>
        <v>0.38052505479429188</v>
      </c>
      <c r="R97">
        <f>Q97</f>
        <v>0.38052505479429188</v>
      </c>
      <c r="W97">
        <f t="shared" si="10"/>
        <v>1.1012938203229895E-2</v>
      </c>
      <c r="X97">
        <f t="shared" si="11"/>
        <v>1</v>
      </c>
      <c r="Y97">
        <f t="shared" si="12"/>
        <v>1</v>
      </c>
      <c r="Z97">
        <f t="shared" si="13"/>
        <v>1</v>
      </c>
    </row>
    <row r="98" spans="8:26" x14ac:dyDescent="0.25">
      <c r="H98">
        <v>1997</v>
      </c>
      <c r="I98">
        <v>3</v>
      </c>
      <c r="J98">
        <v>2.4770480974162751E-2</v>
      </c>
      <c r="K98">
        <v>0.12234022894274416</v>
      </c>
      <c r="L98">
        <v>0.47362587667591155</v>
      </c>
      <c r="M98">
        <v>0.41380992072640854</v>
      </c>
      <c r="O98">
        <v>2.4466210099636454E-2</v>
      </c>
      <c r="P98">
        <v>0.11515273336627052</v>
      </c>
      <c r="Q98">
        <v>0.377259809378651</v>
      </c>
      <c r="R98">
        <v>0.33887339421164586</v>
      </c>
      <c r="W98">
        <f t="shared" si="10"/>
        <v>6.4852416004589616E-2</v>
      </c>
      <c r="X98">
        <f t="shared" si="11"/>
        <v>0.30523456382997094</v>
      </c>
      <c r="Y98">
        <f t="shared" si="12"/>
        <v>1</v>
      </c>
      <c r="Z98">
        <f t="shared" si="13"/>
        <v>0.89824939149964644</v>
      </c>
    </row>
    <row r="99" spans="8:26" x14ac:dyDescent="0.25">
      <c r="H99">
        <v>1997</v>
      </c>
      <c r="I99">
        <v>4</v>
      </c>
      <c r="J99">
        <v>0</v>
      </c>
      <c r="K99">
        <v>0</v>
      </c>
      <c r="L99">
        <v>0</v>
      </c>
      <c r="M99">
        <v>0</v>
      </c>
      <c r="O99">
        <v>0</v>
      </c>
      <c r="P99">
        <v>0</v>
      </c>
      <c r="Q99">
        <v>0</v>
      </c>
      <c r="R99">
        <v>0</v>
      </c>
      <c r="W99" t="str">
        <f t="shared" si="10"/>
        <v/>
      </c>
      <c r="X99" t="str">
        <f t="shared" si="11"/>
        <v/>
      </c>
      <c r="Y99" t="str">
        <f t="shared" si="12"/>
        <v/>
      </c>
      <c r="Z99" t="str">
        <f t="shared" si="13"/>
        <v/>
      </c>
    </row>
    <row r="100" spans="8:26" x14ac:dyDescent="0.25">
      <c r="H100">
        <v>1998</v>
      </c>
      <c r="I100">
        <v>1</v>
      </c>
      <c r="J100">
        <v>7.3583841697852056E-4</v>
      </c>
      <c r="K100">
        <v>0.23655636824201109</v>
      </c>
      <c r="L100">
        <v>0.40746293415713958</v>
      </c>
      <c r="M100">
        <v>0.87764784021633413</v>
      </c>
      <c r="O100">
        <v>7.3556775428262888E-4</v>
      </c>
      <c r="P100">
        <v>0.21065861273841946</v>
      </c>
      <c r="Q100">
        <v>0.33466388781522727</v>
      </c>
      <c r="R100">
        <v>0.58424030430892793</v>
      </c>
      <c r="W100">
        <f t="shared" si="10"/>
        <v>2.1979298665434329E-3</v>
      </c>
      <c r="X100">
        <f t="shared" si="11"/>
        <v>0.62946323283833694</v>
      </c>
      <c r="Y100">
        <f t="shared" si="12"/>
        <v>1</v>
      </c>
      <c r="Z100">
        <f t="shared" si="13"/>
        <v>1.7457524566603235</v>
      </c>
    </row>
    <row r="101" spans="8:26" x14ac:dyDescent="0.25">
      <c r="H101">
        <v>1998</v>
      </c>
      <c r="I101">
        <v>2</v>
      </c>
      <c r="J101">
        <v>7.068419970437731E-2</v>
      </c>
      <c r="K101">
        <v>0.37851428181860791</v>
      </c>
      <c r="L101">
        <v>0.99789951199395144</v>
      </c>
      <c r="M101">
        <v>2.5857636193704754</v>
      </c>
      <c r="O101">
        <v>6.8243905479356437E-2</v>
      </c>
      <c r="P101">
        <v>0.31512181032084519</v>
      </c>
      <c r="Q101">
        <v>0.6313470203549697</v>
      </c>
      <c r="R101">
        <f>Q101</f>
        <v>0.6313470203549697</v>
      </c>
      <c r="W101">
        <f t="shared" si="10"/>
        <v>0.10809254384535918</v>
      </c>
      <c r="X101">
        <f t="shared" si="11"/>
        <v>0.49912615433532975</v>
      </c>
      <c r="Y101">
        <f t="shared" si="12"/>
        <v>1</v>
      </c>
      <c r="Z101">
        <f t="shared" si="13"/>
        <v>1</v>
      </c>
    </row>
    <row r="102" spans="8:26" x14ac:dyDescent="0.25">
      <c r="H102">
        <v>1998</v>
      </c>
      <c r="I102">
        <v>3</v>
      </c>
      <c r="J102">
        <v>3.1712410758790679E-2</v>
      </c>
      <c r="K102">
        <v>0.28011653779048235</v>
      </c>
      <c r="L102">
        <v>1.185553203752767</v>
      </c>
      <c r="M102">
        <v>7.0535677775506027</v>
      </c>
      <c r="O102">
        <v>3.1214845792502555E-2</v>
      </c>
      <c r="P102">
        <v>0.24430433077961478</v>
      </c>
      <c r="Q102">
        <f>P102</f>
        <v>0.24430433077961478</v>
      </c>
      <c r="R102">
        <f>Q102</f>
        <v>0.24430433077961478</v>
      </c>
      <c r="W102">
        <f t="shared" si="10"/>
        <v>0.12777033339069724</v>
      </c>
      <c r="X102">
        <f t="shared" si="11"/>
        <v>1</v>
      </c>
      <c r="Y102">
        <f t="shared" si="12"/>
        <v>1</v>
      </c>
      <c r="Z102">
        <f t="shared" si="13"/>
        <v>1</v>
      </c>
    </row>
    <row r="103" spans="8:26" x14ac:dyDescent="0.25">
      <c r="H103">
        <v>1998</v>
      </c>
      <c r="I103">
        <v>4</v>
      </c>
      <c r="J103">
        <v>0</v>
      </c>
      <c r="K103">
        <v>0</v>
      </c>
      <c r="L103">
        <v>0</v>
      </c>
      <c r="M103">
        <v>0</v>
      </c>
      <c r="O103">
        <v>0</v>
      </c>
      <c r="P103">
        <v>0</v>
      </c>
      <c r="Q103">
        <v>0</v>
      </c>
      <c r="R103">
        <v>0</v>
      </c>
      <c r="W103" t="str">
        <f t="shared" si="10"/>
        <v/>
      </c>
      <c r="X103" t="str">
        <f t="shared" si="11"/>
        <v/>
      </c>
      <c r="Y103" t="str">
        <f t="shared" si="12"/>
        <v/>
      </c>
      <c r="Z103" t="str">
        <f t="shared" si="13"/>
        <v/>
      </c>
    </row>
    <row r="104" spans="8:26" x14ac:dyDescent="0.25">
      <c r="H104">
        <v>1999</v>
      </c>
      <c r="I104">
        <v>1</v>
      </c>
      <c r="J104">
        <v>1.114092464305417E-5</v>
      </c>
      <c r="K104">
        <v>0.52006107906345433</v>
      </c>
      <c r="L104">
        <v>0.21926064950142482</v>
      </c>
      <c r="M104">
        <v>0.30553115606502673</v>
      </c>
      <c r="O104">
        <v>1.1140862583136624E-5</v>
      </c>
      <c r="P104">
        <v>0.40551576367912801</v>
      </c>
      <c r="Q104">
        <v>0.19688763996596392</v>
      </c>
      <c r="R104">
        <v>0.26326804919664426</v>
      </c>
      <c r="W104">
        <f t="shared" si="10"/>
        <v>5.6584875439933916E-5</v>
      </c>
      <c r="X104">
        <f t="shared" si="11"/>
        <v>2.0596303747113316</v>
      </c>
      <c r="Y104">
        <f t="shared" si="12"/>
        <v>1</v>
      </c>
      <c r="Z104">
        <f t="shared" si="13"/>
        <v>1.3371486866425721</v>
      </c>
    </row>
    <row r="105" spans="8:26" x14ac:dyDescent="0.25">
      <c r="H105">
        <v>1999</v>
      </c>
      <c r="I105">
        <v>2</v>
      </c>
      <c r="J105">
        <v>1.8251057088843833E-3</v>
      </c>
      <c r="K105">
        <v>0.14152230532538923</v>
      </c>
      <c r="L105">
        <v>0.22455737011785845</v>
      </c>
      <c r="M105">
        <v>0.36618452969185161</v>
      </c>
      <c r="O105">
        <v>1.8234412162391189E-3</v>
      </c>
      <c r="P105">
        <v>0.13196418645231645</v>
      </c>
      <c r="Q105">
        <v>0.20113025586614985</v>
      </c>
      <c r="R105">
        <v>0.30662515884187214</v>
      </c>
      <c r="W105">
        <f t="shared" si="10"/>
        <v>9.065971742474194E-3</v>
      </c>
      <c r="X105">
        <f t="shared" si="11"/>
        <v>0.65611305412019794</v>
      </c>
      <c r="Y105">
        <f t="shared" si="12"/>
        <v>1</v>
      </c>
      <c r="Z105">
        <f t="shared" si="13"/>
        <v>1.5245103603205679</v>
      </c>
    </row>
    <row r="106" spans="8:26" x14ac:dyDescent="0.25">
      <c r="H106">
        <v>1999</v>
      </c>
      <c r="I106">
        <v>3</v>
      </c>
      <c r="J106">
        <v>5.6072184960421413E-2</v>
      </c>
      <c r="K106">
        <v>0.2914073339940535</v>
      </c>
      <c r="L106">
        <v>1.2088746996948863</v>
      </c>
      <c r="M106">
        <v>3.2709871137245088</v>
      </c>
      <c r="O106">
        <v>5.4529115351318658E-2</v>
      </c>
      <c r="P106">
        <v>0.25278874852280508</v>
      </c>
      <c r="Q106">
        <f t="shared" ref="Q106:R106" si="14">P106</f>
        <v>0.25278874852280508</v>
      </c>
      <c r="R106">
        <f t="shared" si="14"/>
        <v>0.25278874852280508</v>
      </c>
      <c r="W106">
        <f t="shared" si="10"/>
        <v>0.21571021522897948</v>
      </c>
      <c r="X106">
        <f t="shared" si="11"/>
        <v>1</v>
      </c>
      <c r="Y106">
        <f t="shared" si="12"/>
        <v>1</v>
      </c>
      <c r="Z106">
        <f t="shared" si="13"/>
        <v>1</v>
      </c>
    </row>
    <row r="107" spans="8:26" x14ac:dyDescent="0.25">
      <c r="H107">
        <v>1999</v>
      </c>
      <c r="I107">
        <v>4</v>
      </c>
      <c r="J107">
        <v>0</v>
      </c>
      <c r="K107">
        <v>0</v>
      </c>
      <c r="L107">
        <v>0</v>
      </c>
      <c r="M107">
        <v>0</v>
      </c>
      <c r="O107">
        <v>0</v>
      </c>
      <c r="P107">
        <v>0</v>
      </c>
      <c r="Q107">
        <v>0</v>
      </c>
      <c r="R107">
        <v>0</v>
      </c>
      <c r="W107" t="str">
        <f t="shared" si="10"/>
        <v/>
      </c>
      <c r="X107" t="str">
        <f t="shared" si="11"/>
        <v/>
      </c>
      <c r="Y107" t="str">
        <f t="shared" si="12"/>
        <v/>
      </c>
      <c r="Z107" t="str">
        <f t="shared" si="13"/>
        <v/>
      </c>
    </row>
    <row r="108" spans="8:26" x14ac:dyDescent="0.25">
      <c r="H108">
        <v>2000</v>
      </c>
      <c r="I108">
        <v>1</v>
      </c>
      <c r="J108">
        <v>8.7339057637192896E-5</v>
      </c>
      <c r="K108">
        <v>0.47225732473052107</v>
      </c>
      <c r="L108">
        <v>0.26816994078961343</v>
      </c>
      <c r="M108">
        <v>0.2143684289324049</v>
      </c>
      <c r="O108">
        <v>8.7335243692754361E-5</v>
      </c>
      <c r="P108">
        <v>0.37640697363740572</v>
      </c>
      <c r="Q108">
        <v>0.23522219688484436</v>
      </c>
      <c r="R108">
        <v>0.19294901069293424</v>
      </c>
      <c r="W108">
        <f t="shared" si="10"/>
        <v>3.7128827487105864E-4</v>
      </c>
      <c r="X108">
        <f t="shared" si="11"/>
        <v>1.6002187660107601</v>
      </c>
      <c r="Y108">
        <f t="shared" si="12"/>
        <v>1</v>
      </c>
      <c r="Z108">
        <f t="shared" si="13"/>
        <v>0.82028402611763118</v>
      </c>
    </row>
    <row r="109" spans="8:26" x14ac:dyDescent="0.25">
      <c r="H109">
        <v>2000</v>
      </c>
      <c r="I109">
        <v>2</v>
      </c>
      <c r="J109">
        <v>1.7362162162162162E-3</v>
      </c>
      <c r="K109">
        <v>7.8736772811680206E-2</v>
      </c>
      <c r="L109">
        <v>0.14068820804895613</v>
      </c>
      <c r="M109">
        <v>0.34347577326338863</v>
      </c>
      <c r="O109">
        <v>1.7347098647515491E-3</v>
      </c>
      <c r="P109">
        <v>7.571681110820272E-2</v>
      </c>
      <c r="Q109">
        <v>0.13123985810623362</v>
      </c>
      <c r="R109">
        <v>0.29069933502334355</v>
      </c>
      <c r="W109">
        <f t="shared" si="10"/>
        <v>1.3217858429467122E-2</v>
      </c>
      <c r="X109">
        <f t="shared" si="11"/>
        <v>0.57693457003674042</v>
      </c>
      <c r="Y109">
        <f t="shared" si="12"/>
        <v>1</v>
      </c>
      <c r="Z109">
        <f t="shared" si="13"/>
        <v>2.2150232346947041</v>
      </c>
    </row>
    <row r="110" spans="8:26" x14ac:dyDescent="0.25">
      <c r="H110">
        <v>2000</v>
      </c>
      <c r="I110">
        <v>3</v>
      </c>
      <c r="J110">
        <v>3.3408677110318197E-2</v>
      </c>
      <c r="K110">
        <v>0.48276660876743427</v>
      </c>
      <c r="L110">
        <v>1.5434947811917898</v>
      </c>
      <c r="M110">
        <v>4.1763647554566541</v>
      </c>
      <c r="O110">
        <v>3.2856770486943465E-2</v>
      </c>
      <c r="P110">
        <v>0.38292617381072525</v>
      </c>
      <c r="Q110">
        <f t="shared" ref="Q110:R110" si="15">P110</f>
        <v>0.38292617381072525</v>
      </c>
      <c r="R110">
        <f t="shared" si="15"/>
        <v>0.38292617381072525</v>
      </c>
      <c r="W110">
        <f t="shared" si="10"/>
        <v>8.5804451965156292E-2</v>
      </c>
      <c r="X110">
        <f t="shared" si="11"/>
        <v>1</v>
      </c>
      <c r="Y110">
        <f t="shared" si="12"/>
        <v>1</v>
      </c>
      <c r="Z110">
        <f t="shared" si="13"/>
        <v>1</v>
      </c>
    </row>
    <row r="111" spans="8:26" x14ac:dyDescent="0.25">
      <c r="H111">
        <v>2000</v>
      </c>
      <c r="I111">
        <v>4</v>
      </c>
      <c r="J111">
        <v>0</v>
      </c>
      <c r="K111">
        <v>0</v>
      </c>
      <c r="L111">
        <v>0</v>
      </c>
      <c r="M111">
        <v>0</v>
      </c>
      <c r="O111">
        <v>0</v>
      </c>
      <c r="P111">
        <v>0</v>
      </c>
      <c r="Q111">
        <v>0</v>
      </c>
      <c r="R111">
        <v>0</v>
      </c>
      <c r="W111" t="str">
        <f t="shared" si="10"/>
        <v/>
      </c>
      <c r="X111" t="str">
        <f t="shared" si="11"/>
        <v/>
      </c>
      <c r="Y111" t="str">
        <f t="shared" si="12"/>
        <v/>
      </c>
      <c r="Z111" t="str">
        <f t="shared" si="13"/>
        <v/>
      </c>
    </row>
    <row r="112" spans="8:26" x14ac:dyDescent="0.25">
      <c r="H112">
        <v>2001</v>
      </c>
      <c r="I112">
        <v>1</v>
      </c>
      <c r="J112">
        <v>2.1717325455479982E-4</v>
      </c>
      <c r="K112">
        <v>0.28620192236121933</v>
      </c>
      <c r="L112">
        <v>9.4834944220042322E-2</v>
      </c>
      <c r="M112">
        <v>1.6610140950884155E-2</v>
      </c>
      <c r="O112">
        <v>2.1714967415054076E-4</v>
      </c>
      <c r="P112">
        <v>0.24888906545997247</v>
      </c>
      <c r="Q112">
        <v>9.0476955884905896E-2</v>
      </c>
      <c r="R112">
        <v>1.6472953179301308E-2</v>
      </c>
      <c r="W112">
        <f t="shared" si="10"/>
        <v>2.4000550419354619E-3</v>
      </c>
      <c r="X112">
        <f t="shared" si="11"/>
        <v>2.7508558729206114</v>
      </c>
      <c r="Y112">
        <f t="shared" si="12"/>
        <v>1</v>
      </c>
      <c r="Z112">
        <f t="shared" si="13"/>
        <v>0.18206794225323247</v>
      </c>
    </row>
    <row r="113" spans="8:26" x14ac:dyDescent="0.25">
      <c r="H113">
        <v>2001</v>
      </c>
      <c r="I113">
        <v>2</v>
      </c>
      <c r="J113">
        <v>1.3590573457855328E-2</v>
      </c>
      <c r="K113">
        <v>0.39838880872262505</v>
      </c>
      <c r="L113">
        <v>1.0985835734766767</v>
      </c>
      <c r="M113">
        <v>2.3865185752585218</v>
      </c>
      <c r="O113">
        <v>1.3498638568280596E-2</v>
      </c>
      <c r="P113">
        <v>0.32859906963125951</v>
      </c>
      <c r="Q113">
        <f t="shared" ref="Q113:R113" si="16">P113</f>
        <v>0.32859906963125951</v>
      </c>
      <c r="R113">
        <f t="shared" si="16"/>
        <v>0.32859906963125951</v>
      </c>
      <c r="W113">
        <f t="shared" si="10"/>
        <v>4.1079357234420105E-2</v>
      </c>
      <c r="X113">
        <f t="shared" si="11"/>
        <v>1</v>
      </c>
      <c r="Y113">
        <f t="shared" si="12"/>
        <v>1</v>
      </c>
      <c r="Z113">
        <f t="shared" si="13"/>
        <v>1</v>
      </c>
    </row>
    <row r="114" spans="8:26" x14ac:dyDescent="0.25">
      <c r="H114">
        <v>2001</v>
      </c>
      <c r="I114">
        <v>3</v>
      </c>
      <c r="J114">
        <v>5.0130042202375111E-3</v>
      </c>
      <c r="K114">
        <v>9.4187393912763068E-2</v>
      </c>
      <c r="L114">
        <v>0.13805517212676965</v>
      </c>
      <c r="M114">
        <v>0.22022715336134455</v>
      </c>
      <c r="O114">
        <v>5.0004600846034197E-3</v>
      </c>
      <c r="P114">
        <v>8.9887803225805918E-2</v>
      </c>
      <c r="Q114">
        <v>0.12894936729587958</v>
      </c>
      <c r="R114">
        <v>0.19766347617714541</v>
      </c>
      <c r="W114">
        <f t="shared" si="10"/>
        <v>3.8778477083409493E-2</v>
      </c>
      <c r="X114">
        <f t="shared" si="11"/>
        <v>0.69707828049714027</v>
      </c>
      <c r="Y114">
        <f t="shared" si="12"/>
        <v>1</v>
      </c>
      <c r="Z114">
        <f t="shared" si="13"/>
        <v>1.5328766656419377</v>
      </c>
    </row>
    <row r="115" spans="8:26" x14ac:dyDescent="0.25">
      <c r="H115">
        <v>2001</v>
      </c>
      <c r="I115">
        <v>4</v>
      </c>
      <c r="J115">
        <v>0</v>
      </c>
      <c r="K115">
        <v>0</v>
      </c>
      <c r="L115">
        <v>0</v>
      </c>
      <c r="M115">
        <v>0</v>
      </c>
      <c r="O115">
        <v>0</v>
      </c>
      <c r="P115">
        <v>0</v>
      </c>
      <c r="Q115">
        <v>0</v>
      </c>
      <c r="R115">
        <v>0</v>
      </c>
      <c r="W115" t="str">
        <f t="shared" si="10"/>
        <v/>
      </c>
      <c r="X115" t="str">
        <f t="shared" si="11"/>
        <v/>
      </c>
      <c r="Y115" t="str">
        <f t="shared" si="12"/>
        <v/>
      </c>
      <c r="Z115" t="str">
        <f t="shared" si="13"/>
        <v/>
      </c>
    </row>
    <row r="116" spans="8:26" x14ac:dyDescent="0.25">
      <c r="H116">
        <v>2002</v>
      </c>
      <c r="I116">
        <v>1</v>
      </c>
      <c r="J116">
        <v>8.1127619671426488E-4</v>
      </c>
      <c r="K116">
        <v>0.38330483667281606</v>
      </c>
      <c r="L116">
        <v>0.18901407376087639</v>
      </c>
      <c r="M116">
        <v>0.43855776603042651</v>
      </c>
      <c r="O116">
        <v>8.1094720115537644E-4</v>
      </c>
      <c r="P116">
        <v>0.31839491061406233</v>
      </c>
      <c r="Q116">
        <v>0.17222514329263849</v>
      </c>
      <c r="R116">
        <v>0.35503405758022644</v>
      </c>
      <c r="W116">
        <f t="shared" si="10"/>
        <v>4.7086458205318222E-3</v>
      </c>
      <c r="X116">
        <f t="shared" si="11"/>
        <v>1.8487132861492683</v>
      </c>
      <c r="Y116">
        <f t="shared" si="12"/>
        <v>1</v>
      </c>
      <c r="Z116">
        <f t="shared" si="13"/>
        <v>2.0614531118546719</v>
      </c>
    </row>
    <row r="117" spans="8:26" x14ac:dyDescent="0.25">
      <c r="H117">
        <v>2002</v>
      </c>
      <c r="I117">
        <v>2</v>
      </c>
      <c r="J117">
        <v>1.7764865455130636E-2</v>
      </c>
      <c r="K117">
        <v>0.53575271713220429</v>
      </c>
      <c r="L117">
        <v>0.54009648428253076</v>
      </c>
      <c r="M117">
        <v>0.55072734228475984</v>
      </c>
      <c r="O117">
        <v>1.7608000501254661E-2</v>
      </c>
      <c r="P117">
        <v>0.41477138729016982</v>
      </c>
      <c r="Q117">
        <v>0.41730797096065908</v>
      </c>
      <c r="R117">
        <v>0.42346967703882488</v>
      </c>
      <c r="W117">
        <f t="shared" si="10"/>
        <v>4.2194258740661877E-2</v>
      </c>
      <c r="X117">
        <f t="shared" si="11"/>
        <v>0.99392155471018218</v>
      </c>
      <c r="Y117">
        <f t="shared" si="12"/>
        <v>1</v>
      </c>
      <c r="Z117">
        <f t="shared" si="13"/>
        <v>1.0147653687610647</v>
      </c>
    </row>
    <row r="118" spans="8:26" x14ac:dyDescent="0.25">
      <c r="H118">
        <v>2002</v>
      </c>
      <c r="I118">
        <v>3</v>
      </c>
      <c r="J118">
        <v>3.2850091798670655E-2</v>
      </c>
      <c r="K118">
        <v>0.2734641706327578</v>
      </c>
      <c r="L118">
        <v>0.87678886782311838</v>
      </c>
      <c r="M118">
        <v>2.3893979057591621</v>
      </c>
      <c r="O118">
        <v>3.2316387573749883E-2</v>
      </c>
      <c r="P118">
        <v>0.2392604073141853</v>
      </c>
      <c r="Q118">
        <v>0.58388302478346077</v>
      </c>
      <c r="R118">
        <f>Q118</f>
        <v>0.58388302478346077</v>
      </c>
      <c r="W118">
        <f t="shared" si="10"/>
        <v>5.5347366171049003E-2</v>
      </c>
      <c r="X118">
        <f t="shared" si="11"/>
        <v>0.40977455613291303</v>
      </c>
      <c r="Y118">
        <f t="shared" si="12"/>
        <v>1</v>
      </c>
      <c r="Z118">
        <f t="shared" si="13"/>
        <v>1</v>
      </c>
    </row>
    <row r="119" spans="8:26" x14ac:dyDescent="0.25">
      <c r="H119">
        <v>2002</v>
      </c>
      <c r="I119">
        <v>4</v>
      </c>
      <c r="J119">
        <v>0</v>
      </c>
      <c r="K119">
        <v>0</v>
      </c>
      <c r="L119">
        <v>0</v>
      </c>
      <c r="M119">
        <v>0</v>
      </c>
      <c r="O119">
        <v>0</v>
      </c>
      <c r="P119">
        <v>0</v>
      </c>
      <c r="Q119">
        <v>0</v>
      </c>
      <c r="R119">
        <v>0</v>
      </c>
      <c r="W119" t="str">
        <f t="shared" si="10"/>
        <v/>
      </c>
      <c r="X119" t="str">
        <f t="shared" si="11"/>
        <v/>
      </c>
      <c r="Y119" t="str">
        <f t="shared" si="12"/>
        <v/>
      </c>
      <c r="Z119" t="str">
        <f t="shared" si="13"/>
        <v/>
      </c>
    </row>
    <row r="120" spans="8:26" x14ac:dyDescent="0.25">
      <c r="H120">
        <v>2003</v>
      </c>
      <c r="I120">
        <v>1</v>
      </c>
      <c r="J120">
        <v>1.8407111789961908E-3</v>
      </c>
      <c r="K120">
        <v>0.18195981110035409</v>
      </c>
      <c r="L120">
        <v>0.24045381006309657</v>
      </c>
      <c r="M120">
        <v>0.37086986573492037</v>
      </c>
      <c r="O120">
        <v>1.8390181091507696E-3</v>
      </c>
      <c r="P120">
        <v>0.16636515739044633</v>
      </c>
      <c r="Q120">
        <v>0.21372903758448603</v>
      </c>
      <c r="R120">
        <v>0.30986625423682823</v>
      </c>
      <c r="W120">
        <f t="shared" si="10"/>
        <v>8.6044373283804022E-3</v>
      </c>
      <c r="X120">
        <f t="shared" si="11"/>
        <v>0.77839286262019036</v>
      </c>
      <c r="Y120">
        <f t="shared" si="12"/>
        <v>1</v>
      </c>
      <c r="Z120">
        <f t="shared" si="13"/>
        <v>1.4498088689251671</v>
      </c>
    </row>
    <row r="121" spans="8:26" x14ac:dyDescent="0.25">
      <c r="H121">
        <v>2003</v>
      </c>
      <c r="I121">
        <v>2</v>
      </c>
      <c r="J121">
        <v>3.8274978908867066E-2</v>
      </c>
      <c r="K121">
        <v>0.59809355669651465</v>
      </c>
      <c r="L121">
        <v>1.0071253869549914</v>
      </c>
      <c r="M121">
        <v>2.435108375702435</v>
      </c>
      <c r="O121">
        <v>3.7551748469175306E-2</v>
      </c>
      <c r="P121">
        <v>0.45014108766827821</v>
      </c>
      <c r="Q121">
        <f t="shared" ref="Q121:R121" si="17">P121</f>
        <v>0.45014108766827821</v>
      </c>
      <c r="R121">
        <f t="shared" si="17"/>
        <v>0.45014108766827821</v>
      </c>
      <c r="W121">
        <f t="shared" si="10"/>
        <v>8.3422174731243956E-2</v>
      </c>
      <c r="X121">
        <f t="shared" si="11"/>
        <v>1</v>
      </c>
      <c r="Y121">
        <f t="shared" si="12"/>
        <v>1</v>
      </c>
      <c r="Z121">
        <f t="shared" si="13"/>
        <v>1</v>
      </c>
    </row>
    <row r="122" spans="8:26" x14ac:dyDescent="0.25">
      <c r="H122">
        <v>2003</v>
      </c>
      <c r="I122">
        <v>3</v>
      </c>
      <c r="J122">
        <v>1.3782176266326055E-2</v>
      </c>
      <c r="K122">
        <v>5.9293757509614542E-3</v>
      </c>
      <c r="L122">
        <v>7.6464953349033471E-2</v>
      </c>
      <c r="M122">
        <v>0.89534489768261283</v>
      </c>
      <c r="O122">
        <v>1.3687636892808053E-2</v>
      </c>
      <c r="P122">
        <v>5.9118316947904814E-3</v>
      </c>
      <c r="Q122">
        <v>7.3614619575007589E-2</v>
      </c>
      <c r="R122">
        <v>0.59153330487297628</v>
      </c>
      <c r="W122">
        <f t="shared" si="10"/>
        <v>0.18593639377381299</v>
      </c>
      <c r="X122">
        <f t="shared" si="11"/>
        <v>8.0307848208965929E-2</v>
      </c>
      <c r="Y122">
        <f t="shared" si="12"/>
        <v>1</v>
      </c>
      <c r="Z122">
        <f t="shared" si="13"/>
        <v>8.0355411504945664</v>
      </c>
    </row>
    <row r="123" spans="8:26" x14ac:dyDescent="0.25">
      <c r="H123">
        <v>2003</v>
      </c>
      <c r="I123">
        <v>4</v>
      </c>
      <c r="J123">
        <v>0</v>
      </c>
      <c r="K123">
        <v>0</v>
      </c>
      <c r="L123">
        <v>0</v>
      </c>
      <c r="M123">
        <v>0</v>
      </c>
      <c r="O123">
        <v>0</v>
      </c>
      <c r="P123">
        <v>0</v>
      </c>
      <c r="Q123">
        <v>0</v>
      </c>
      <c r="R123">
        <v>0</v>
      </c>
      <c r="W123" t="str">
        <f t="shared" si="10"/>
        <v/>
      </c>
      <c r="X123" t="str">
        <f t="shared" si="11"/>
        <v/>
      </c>
      <c r="Y123" t="str">
        <f t="shared" si="12"/>
        <v/>
      </c>
      <c r="Z123" t="str">
        <f t="shared" si="13"/>
        <v/>
      </c>
    </row>
    <row r="124" spans="8:26" x14ac:dyDescent="0.25">
      <c r="H124">
        <v>2004</v>
      </c>
      <c r="I124">
        <v>1</v>
      </c>
      <c r="J124">
        <v>1.2766695431895999E-3</v>
      </c>
      <c r="K124">
        <v>0.1419395997549795</v>
      </c>
      <c r="L124">
        <v>0.19869348508101206</v>
      </c>
      <c r="M124">
        <v>0.3749904961034024</v>
      </c>
      <c r="O124">
        <v>1.2758549473218528E-3</v>
      </c>
      <c r="P124">
        <v>0.13232633739495392</v>
      </c>
      <c r="Q124">
        <v>0.18019886389505091</v>
      </c>
      <c r="R124">
        <v>0.31270418925175003</v>
      </c>
      <c r="W124">
        <f t="shared" si="10"/>
        <v>7.080260772703427E-3</v>
      </c>
      <c r="X124">
        <f t="shared" si="11"/>
        <v>0.73433502595233735</v>
      </c>
      <c r="Y124">
        <f t="shared" si="12"/>
        <v>1</v>
      </c>
      <c r="Z124">
        <f t="shared" si="13"/>
        <v>1.7353283061422138</v>
      </c>
    </row>
    <row r="125" spans="8:26" x14ac:dyDescent="0.25">
      <c r="H125">
        <v>2004</v>
      </c>
      <c r="I125">
        <v>2</v>
      </c>
      <c r="J125">
        <v>0.2048777099627522</v>
      </c>
      <c r="K125">
        <v>0.36609995748134977</v>
      </c>
      <c r="L125">
        <v>0.20467534277330898</v>
      </c>
      <c r="M125">
        <v>0.65574675962293794</v>
      </c>
      <c r="O125">
        <v>0.18525305424620386</v>
      </c>
      <c r="P125">
        <v>0.30656651611911168</v>
      </c>
      <c r="Q125">
        <v>0.18508815951260504</v>
      </c>
      <c r="R125">
        <v>0.48094569097437656</v>
      </c>
      <c r="W125">
        <f t="shared" si="10"/>
        <v>1.0008908983374898</v>
      </c>
      <c r="X125">
        <f t="shared" si="11"/>
        <v>1.6563270007460071</v>
      </c>
      <c r="Y125">
        <f t="shared" si="12"/>
        <v>1</v>
      </c>
      <c r="Z125">
        <f t="shared" si="13"/>
        <v>2.5984681691192826</v>
      </c>
    </row>
    <row r="126" spans="8:26" x14ac:dyDescent="0.25">
      <c r="H126">
        <v>2004</v>
      </c>
      <c r="I126">
        <v>3</v>
      </c>
      <c r="J126">
        <v>5.971789444859632E-2</v>
      </c>
      <c r="K126">
        <v>4.6590227558663357E-2</v>
      </c>
      <c r="L126">
        <v>0.14697412096857426</v>
      </c>
      <c r="M126">
        <v>0.9166083099906629</v>
      </c>
      <c r="O126">
        <v>5.7969751934709213E-2</v>
      </c>
      <c r="P126">
        <v>4.5521563574472346E-2</v>
      </c>
      <c r="Q126">
        <v>0.13668368108262241</v>
      </c>
      <c r="R126">
        <v>0.60012701107756627</v>
      </c>
      <c r="W126">
        <f t="shared" si="10"/>
        <v>0.42411611595145521</v>
      </c>
      <c r="X126">
        <f t="shared" si="11"/>
        <v>0.333043149071728</v>
      </c>
      <c r="Y126">
        <f t="shared" si="12"/>
        <v>1</v>
      </c>
      <c r="Z126">
        <f t="shared" si="13"/>
        <v>4.3906266375340159</v>
      </c>
    </row>
    <row r="127" spans="8:26" x14ac:dyDescent="0.25">
      <c r="H127">
        <v>2004</v>
      </c>
      <c r="I127">
        <v>4</v>
      </c>
      <c r="J127">
        <v>0</v>
      </c>
      <c r="K127">
        <v>0</v>
      </c>
      <c r="L127">
        <v>0</v>
      </c>
      <c r="M127">
        <v>0</v>
      </c>
      <c r="O127">
        <v>0</v>
      </c>
      <c r="P127">
        <v>0</v>
      </c>
      <c r="Q127">
        <v>0</v>
      </c>
      <c r="R127">
        <v>0</v>
      </c>
      <c r="W127" t="str">
        <f t="shared" si="10"/>
        <v/>
      </c>
      <c r="X127" t="str">
        <f t="shared" si="11"/>
        <v/>
      </c>
      <c r="Y127" t="str">
        <f t="shared" si="12"/>
        <v/>
      </c>
      <c r="Z127" t="str">
        <f t="shared" si="13"/>
        <v/>
      </c>
    </row>
    <row r="128" spans="8:26" x14ac:dyDescent="0.25">
      <c r="H128">
        <v>2005</v>
      </c>
      <c r="I128">
        <v>1</v>
      </c>
      <c r="J128">
        <v>1.5924152986206963E-3</v>
      </c>
      <c r="K128">
        <v>0.26333499598410925</v>
      </c>
      <c r="L128">
        <v>0.13749766878699457</v>
      </c>
      <c r="M128">
        <v>0.62963146669312042</v>
      </c>
      <c r="O128">
        <v>1.5911480781154452E-3</v>
      </c>
      <c r="P128">
        <v>0.23151558500707625</v>
      </c>
      <c r="Q128">
        <v>0.12846361826826258</v>
      </c>
      <c r="R128">
        <v>0.46721188500356081</v>
      </c>
      <c r="W128">
        <f t="shared" si="10"/>
        <v>1.2385982113572029E-2</v>
      </c>
      <c r="X128">
        <f t="shared" si="11"/>
        <v>1.8021879511724219</v>
      </c>
      <c r="Y128">
        <f t="shared" si="12"/>
        <v>1</v>
      </c>
      <c r="Z128">
        <f t="shared" si="13"/>
        <v>3.6369198633959638</v>
      </c>
    </row>
    <row r="129" spans="8:26" x14ac:dyDescent="0.25">
      <c r="H129">
        <v>2005</v>
      </c>
      <c r="I129">
        <v>2</v>
      </c>
      <c r="J129">
        <v>2.0537482181323827E-2</v>
      </c>
      <c r="K129">
        <v>0.30974494734738189</v>
      </c>
      <c r="L129">
        <v>0.150407741153532</v>
      </c>
      <c r="M129">
        <v>0.34276343400743009</v>
      </c>
      <c r="O129">
        <v>2.0328024456293337E-2</v>
      </c>
      <c r="P129">
        <v>0.26636595232589999</v>
      </c>
      <c r="Q129">
        <v>0.13964289810025099</v>
      </c>
      <c r="R129">
        <v>0.29019389231343418</v>
      </c>
      <c r="W129">
        <f t="shared" si="10"/>
        <v>0.14557148793703531</v>
      </c>
      <c r="X129">
        <f t="shared" si="11"/>
        <v>1.9074794060394915</v>
      </c>
      <c r="Y129">
        <f t="shared" si="12"/>
        <v>1</v>
      </c>
      <c r="Z129">
        <f t="shared" si="13"/>
        <v>2.0781142203529832</v>
      </c>
    </row>
    <row r="130" spans="8:26" x14ac:dyDescent="0.25">
      <c r="H130">
        <v>2005</v>
      </c>
      <c r="I130">
        <v>3</v>
      </c>
      <c r="J130">
        <v>3.6832274404119847E-2</v>
      </c>
      <c r="K130">
        <v>0.36078853979054099</v>
      </c>
      <c r="L130">
        <v>0.43174268695038676</v>
      </c>
      <c r="M130">
        <v>1.8201859982061086</v>
      </c>
      <c r="O130">
        <v>3.6162217941143271E-2</v>
      </c>
      <c r="P130">
        <v>0.30287360262417007</v>
      </c>
      <c r="Q130">
        <v>0.35062355177637849</v>
      </c>
      <c r="R130">
        <f>Q130</f>
        <v>0.35062355177637849</v>
      </c>
      <c r="W130">
        <f t="shared" si="10"/>
        <v>0.10313687645320213</v>
      </c>
      <c r="X130">
        <f t="shared" si="11"/>
        <v>0.86381419927357728</v>
      </c>
      <c r="Y130">
        <f t="shared" si="12"/>
        <v>1</v>
      </c>
      <c r="Z130">
        <f t="shared" si="13"/>
        <v>1</v>
      </c>
    </row>
    <row r="131" spans="8:26" x14ac:dyDescent="0.25">
      <c r="H131">
        <v>2005</v>
      </c>
      <c r="I131">
        <v>4</v>
      </c>
      <c r="J131">
        <v>0</v>
      </c>
      <c r="K131">
        <v>0</v>
      </c>
      <c r="L131">
        <v>0</v>
      </c>
      <c r="M131">
        <v>0</v>
      </c>
      <c r="O131">
        <v>0</v>
      </c>
      <c r="P131">
        <v>0</v>
      </c>
      <c r="Q131">
        <v>0</v>
      </c>
      <c r="R131">
        <v>0</v>
      </c>
      <c r="W131" t="str">
        <f t="shared" si="10"/>
        <v/>
      </c>
      <c r="X131" t="str">
        <f t="shared" si="11"/>
        <v/>
      </c>
      <c r="Y131" t="str">
        <f t="shared" si="12"/>
        <v/>
      </c>
      <c r="Z131" t="str">
        <f t="shared" si="13"/>
        <v/>
      </c>
    </row>
    <row r="132" spans="8:26" x14ac:dyDescent="0.25">
      <c r="H132">
        <v>2006</v>
      </c>
      <c r="I132">
        <v>1</v>
      </c>
      <c r="J132">
        <v>0</v>
      </c>
      <c r="K132">
        <v>0.11376009431856553</v>
      </c>
      <c r="L132">
        <v>0.16425486391353458</v>
      </c>
      <c r="M132">
        <v>1.010631631929821</v>
      </c>
      <c r="O132">
        <v>0</v>
      </c>
      <c r="P132">
        <v>0.10752796068578141</v>
      </c>
      <c r="Q132">
        <v>0.15147426427013277</v>
      </c>
      <c r="R132">
        <f t="shared" ref="R132:R133" si="18">Q132</f>
        <v>0.15147426427013277</v>
      </c>
      <c r="W132">
        <f t="shared" si="10"/>
        <v>0</v>
      </c>
      <c r="X132">
        <f t="shared" si="11"/>
        <v>0.70987610472245377</v>
      </c>
      <c r="Y132">
        <f t="shared" si="12"/>
        <v>1</v>
      </c>
      <c r="Z132">
        <f t="shared" si="13"/>
        <v>1</v>
      </c>
    </row>
    <row r="133" spans="8:26" x14ac:dyDescent="0.25">
      <c r="H133">
        <v>2006</v>
      </c>
      <c r="I133">
        <v>2</v>
      </c>
      <c r="J133">
        <v>6.1252801992528021E-3</v>
      </c>
      <c r="K133">
        <v>6.2998589872628713E-2</v>
      </c>
      <c r="L133">
        <v>0.3116644778306617</v>
      </c>
      <c r="M133">
        <v>2.0223926090652289</v>
      </c>
      <c r="O133">
        <v>6.1065589143682875E-3</v>
      </c>
      <c r="P133">
        <v>6.105520228004091E-2</v>
      </c>
      <c r="Q133">
        <v>0.26777283453535583</v>
      </c>
      <c r="R133">
        <f t="shared" si="18"/>
        <v>0.26777283453535583</v>
      </c>
      <c r="W133">
        <f t="shared" ref="W133:W196" si="19">IF($Q133&gt;0,O133/$Q133,"")</f>
        <v>2.2804997844402316E-2</v>
      </c>
      <c r="X133">
        <f t="shared" ref="X133:X196" si="20">IF($Q133&gt;0,P133/$Q133,"")</f>
        <v>0.22801118861061831</v>
      </c>
      <c r="Y133">
        <f t="shared" ref="Y133:Y196" si="21">IF($Q133&gt;0,Q133/$Q133,"")</f>
        <v>1</v>
      </c>
      <c r="Z133">
        <f t="shared" ref="Z133:Z196" si="22">IF($Q133&gt;0,R133/$Q133,"")</f>
        <v>1</v>
      </c>
    </row>
    <row r="134" spans="8:26" x14ac:dyDescent="0.25">
      <c r="H134">
        <v>2006</v>
      </c>
      <c r="I134">
        <v>3</v>
      </c>
      <c r="J134">
        <v>4.7378833369075704E-3</v>
      </c>
      <c r="K134">
        <v>2.9677680970828856E-2</v>
      </c>
      <c r="L134">
        <v>0.18567119107777297</v>
      </c>
      <c r="M134">
        <v>0.34385909734234943</v>
      </c>
      <c r="O134">
        <v>4.7266772723113526E-3</v>
      </c>
      <c r="P134">
        <v>2.9241622974260473E-2</v>
      </c>
      <c r="Q134">
        <v>0.16945335876458556</v>
      </c>
      <c r="R134">
        <v>0.29097117494273006</v>
      </c>
      <c r="W134">
        <f t="shared" si="19"/>
        <v>2.7893677096586366E-2</v>
      </c>
      <c r="X134">
        <f t="shared" si="20"/>
        <v>0.17256443417497927</v>
      </c>
      <c r="Y134">
        <f t="shared" si="21"/>
        <v>1</v>
      </c>
      <c r="Z134">
        <f t="shared" si="22"/>
        <v>1.7171165981251755</v>
      </c>
    </row>
    <row r="135" spans="8:26" x14ac:dyDescent="0.25">
      <c r="H135">
        <v>2006</v>
      </c>
      <c r="I135">
        <v>4</v>
      </c>
      <c r="J135">
        <v>0</v>
      </c>
      <c r="K135">
        <v>0</v>
      </c>
      <c r="L135">
        <v>0</v>
      </c>
      <c r="M135">
        <v>0</v>
      </c>
      <c r="O135">
        <v>0</v>
      </c>
      <c r="P135">
        <v>0</v>
      </c>
      <c r="Q135">
        <v>0</v>
      </c>
      <c r="R135">
        <v>0</v>
      </c>
      <c r="W135" t="str">
        <f t="shared" si="19"/>
        <v/>
      </c>
      <c r="X135" t="str">
        <f t="shared" si="20"/>
        <v/>
      </c>
      <c r="Y135" t="str">
        <f t="shared" si="21"/>
        <v/>
      </c>
      <c r="Z135" t="str">
        <f t="shared" si="22"/>
        <v/>
      </c>
    </row>
    <row r="136" spans="8:26" x14ac:dyDescent="0.25">
      <c r="H136">
        <v>2007</v>
      </c>
      <c r="I136">
        <v>1</v>
      </c>
      <c r="J136">
        <v>0</v>
      </c>
      <c r="K136">
        <v>7.4988618447857439E-2</v>
      </c>
      <c r="L136">
        <v>7.7639334324555692E-2</v>
      </c>
      <c r="M136">
        <v>0.13617466545930174</v>
      </c>
      <c r="O136">
        <v>0</v>
      </c>
      <c r="P136">
        <v>7.2245954450492533E-2</v>
      </c>
      <c r="Q136">
        <v>7.4701910370005065E-2</v>
      </c>
      <c r="R136">
        <v>0.12730980965700622</v>
      </c>
      <c r="W136">
        <f t="shared" si="19"/>
        <v>0</v>
      </c>
      <c r="X136">
        <f t="shared" si="20"/>
        <v>0.96712325150256573</v>
      </c>
      <c r="Y136">
        <f t="shared" si="21"/>
        <v>1</v>
      </c>
      <c r="Z136">
        <f t="shared" si="22"/>
        <v>1.7042376697788537</v>
      </c>
    </row>
    <row r="137" spans="8:26" x14ac:dyDescent="0.25">
      <c r="H137">
        <v>2007</v>
      </c>
      <c r="I137">
        <v>2</v>
      </c>
      <c r="J137">
        <v>1.5349281405631484E-2</v>
      </c>
      <c r="K137">
        <v>0.40869916635754866</v>
      </c>
      <c r="L137">
        <v>1.7893336794996477</v>
      </c>
      <c r="M137">
        <v>1.2653809284930242</v>
      </c>
      <c r="O137">
        <v>1.5232081596304736E-2</v>
      </c>
      <c r="P137">
        <v>0.33548588954401537</v>
      </c>
      <c r="Q137">
        <f t="shared" ref="Q137:R137" si="23">P137</f>
        <v>0.33548588954401537</v>
      </c>
      <c r="R137">
        <f t="shared" si="23"/>
        <v>0.33548588954401537</v>
      </c>
      <c r="W137">
        <f t="shared" si="19"/>
        <v>4.540304695678208E-2</v>
      </c>
      <c r="X137">
        <f t="shared" si="20"/>
        <v>1</v>
      </c>
      <c r="Y137">
        <f t="shared" si="21"/>
        <v>1</v>
      </c>
      <c r="Z137">
        <f t="shared" si="22"/>
        <v>1</v>
      </c>
    </row>
    <row r="138" spans="8:26" x14ac:dyDescent="0.25">
      <c r="H138">
        <v>2007</v>
      </c>
      <c r="I138">
        <v>3</v>
      </c>
      <c r="J138">
        <v>1.4475889146984399E-2</v>
      </c>
      <c r="K138">
        <v>5.7137806982885897E-2</v>
      </c>
      <c r="L138">
        <v>6.6408122211196394E-2</v>
      </c>
      <c r="M138">
        <v>0.35518959032225272</v>
      </c>
      <c r="O138">
        <v>1.4371617213039256E-2</v>
      </c>
      <c r="P138">
        <v>5.5536093323358182E-2</v>
      </c>
      <c r="Q138">
        <v>6.4251113554561479E-2</v>
      </c>
      <c r="R138">
        <v>0.29895947988961591</v>
      </c>
      <c r="W138">
        <f t="shared" si="19"/>
        <v>0.22367888146926831</v>
      </c>
      <c r="X138">
        <f t="shared" si="20"/>
        <v>0.86436001262760098</v>
      </c>
      <c r="Y138">
        <f t="shared" si="21"/>
        <v>1</v>
      </c>
      <c r="Z138">
        <f t="shared" si="22"/>
        <v>4.6529851912331788</v>
      </c>
    </row>
    <row r="139" spans="8:26" x14ac:dyDescent="0.25">
      <c r="H139">
        <v>2007</v>
      </c>
      <c r="I139">
        <v>4</v>
      </c>
      <c r="J139">
        <v>0</v>
      </c>
      <c r="K139">
        <v>0</v>
      </c>
      <c r="L139">
        <v>0</v>
      </c>
      <c r="M139">
        <v>0</v>
      </c>
      <c r="O139">
        <v>0</v>
      </c>
      <c r="P139">
        <v>0</v>
      </c>
      <c r="Q139">
        <v>0</v>
      </c>
      <c r="R139">
        <v>0</v>
      </c>
      <c r="W139" t="str">
        <f t="shared" si="19"/>
        <v/>
      </c>
      <c r="X139" t="str">
        <f t="shared" si="20"/>
        <v/>
      </c>
      <c r="Y139" t="str">
        <f t="shared" si="21"/>
        <v/>
      </c>
      <c r="Z139" t="str">
        <f t="shared" si="22"/>
        <v/>
      </c>
    </row>
    <row r="140" spans="8:26" x14ac:dyDescent="0.25">
      <c r="H140">
        <v>2008</v>
      </c>
      <c r="I140">
        <v>1</v>
      </c>
      <c r="J140">
        <v>8.2391998236996066E-5</v>
      </c>
      <c r="K140">
        <v>2.433773117474218E-2</v>
      </c>
      <c r="L140">
        <v>0.426398664208685</v>
      </c>
      <c r="M140">
        <v>1.7771514488497044</v>
      </c>
      <c r="O140">
        <v>8.2388604109473462E-5</v>
      </c>
      <c r="P140">
        <v>2.4043956689279389E-2</v>
      </c>
      <c r="Q140">
        <v>0.34714398009501235</v>
      </c>
      <c r="R140">
        <f t="shared" ref="R140:R141" si="24">Q140</f>
        <v>0.34714398009501235</v>
      </c>
      <c r="W140">
        <f t="shared" si="19"/>
        <v>2.3733265974228886E-4</v>
      </c>
      <c r="X140">
        <f t="shared" si="20"/>
        <v>6.9262202624682204E-2</v>
      </c>
      <c r="Y140">
        <f t="shared" si="21"/>
        <v>1</v>
      </c>
      <c r="Z140">
        <f t="shared" si="22"/>
        <v>1</v>
      </c>
    </row>
    <row r="141" spans="8:26" x14ac:dyDescent="0.25">
      <c r="H141">
        <v>2008</v>
      </c>
      <c r="I141">
        <v>2</v>
      </c>
      <c r="J141">
        <v>2.3834797513729189E-2</v>
      </c>
      <c r="K141">
        <v>0.22740364034657667</v>
      </c>
      <c r="L141">
        <v>0.69564009536643512</v>
      </c>
      <c r="M141">
        <v>3.1694478855449488</v>
      </c>
      <c r="O141">
        <v>2.3552992092467195E-2</v>
      </c>
      <c r="P141">
        <v>0.20340082217998179</v>
      </c>
      <c r="Q141">
        <v>0.50124490503742658</v>
      </c>
      <c r="R141">
        <f t="shared" si="24"/>
        <v>0.50124490503742658</v>
      </c>
      <c r="W141">
        <f t="shared" si="19"/>
        <v>4.6988990522923234E-2</v>
      </c>
      <c r="X141">
        <f t="shared" si="20"/>
        <v>0.40579130109022138</v>
      </c>
      <c r="Y141">
        <f t="shared" si="21"/>
        <v>1</v>
      </c>
      <c r="Z141">
        <f t="shared" si="22"/>
        <v>1</v>
      </c>
    </row>
    <row r="142" spans="8:26" x14ac:dyDescent="0.25">
      <c r="H142">
        <v>2008</v>
      </c>
      <c r="I142">
        <v>3</v>
      </c>
      <c r="J142">
        <v>1.4220017819072771E-2</v>
      </c>
      <c r="K142">
        <v>2.5696456777363937E-2</v>
      </c>
      <c r="L142">
        <v>7.455130990506742E-2</v>
      </c>
      <c r="M142">
        <v>0.71825709779179814</v>
      </c>
      <c r="O142">
        <v>1.4119390902543771E-2</v>
      </c>
      <c r="P142">
        <v>2.5369112686800421E-2</v>
      </c>
      <c r="Q142">
        <v>7.1840150956565485E-2</v>
      </c>
      <c r="R142">
        <v>0.51239864272293167</v>
      </c>
      <c r="W142">
        <f t="shared" si="19"/>
        <v>0.19653899267389272</v>
      </c>
      <c r="X142">
        <f t="shared" si="20"/>
        <v>0.35313278645723578</v>
      </c>
      <c r="Y142">
        <f t="shared" si="21"/>
        <v>1</v>
      </c>
      <c r="Z142">
        <f t="shared" si="22"/>
        <v>7.132482823327134</v>
      </c>
    </row>
    <row r="143" spans="8:26" x14ac:dyDescent="0.25">
      <c r="H143">
        <v>2008</v>
      </c>
      <c r="I143">
        <v>4</v>
      </c>
      <c r="J143">
        <v>0</v>
      </c>
      <c r="K143">
        <v>0</v>
      </c>
      <c r="L143">
        <v>0</v>
      </c>
      <c r="M143">
        <v>0</v>
      </c>
      <c r="O143">
        <v>0</v>
      </c>
      <c r="P143">
        <v>0</v>
      </c>
      <c r="Q143">
        <v>0</v>
      </c>
      <c r="R143">
        <v>0</v>
      </c>
      <c r="W143" t="str">
        <f t="shared" si="19"/>
        <v/>
      </c>
      <c r="X143" t="str">
        <f t="shared" si="20"/>
        <v/>
      </c>
      <c r="Y143" t="str">
        <f t="shared" si="21"/>
        <v/>
      </c>
      <c r="Z143" t="str">
        <f t="shared" si="22"/>
        <v/>
      </c>
    </row>
    <row r="144" spans="8:26" x14ac:dyDescent="0.25">
      <c r="H144">
        <v>2009</v>
      </c>
      <c r="I144">
        <v>1</v>
      </c>
      <c r="J144">
        <v>0</v>
      </c>
      <c r="K144">
        <v>0.11940039192357491</v>
      </c>
      <c r="L144">
        <v>7.1378449694424334E-2</v>
      </c>
      <c r="M144">
        <v>0.11918784825585833</v>
      </c>
      <c r="O144">
        <v>0</v>
      </c>
      <c r="P144">
        <v>0.11254759915678536</v>
      </c>
      <c r="Q144">
        <v>6.8890552645336611E-2</v>
      </c>
      <c r="R144">
        <v>0.11235895672191887</v>
      </c>
      <c r="W144">
        <f t="shared" si="19"/>
        <v>0</v>
      </c>
      <c r="X144">
        <f t="shared" si="20"/>
        <v>1.633716015259808</v>
      </c>
      <c r="Y144">
        <f t="shared" si="21"/>
        <v>1</v>
      </c>
      <c r="Z144">
        <f t="shared" si="22"/>
        <v>1.6309777234676424</v>
      </c>
    </row>
    <row r="145" spans="8:26" x14ac:dyDescent="0.25">
      <c r="H145">
        <v>2009</v>
      </c>
      <c r="I145">
        <v>2</v>
      </c>
      <c r="J145">
        <v>3.415292159108351E-3</v>
      </c>
      <c r="K145">
        <v>0.37849403092329448</v>
      </c>
      <c r="L145">
        <v>0.35695660571722893</v>
      </c>
      <c r="M145">
        <v>0.80722771171446539</v>
      </c>
      <c r="O145">
        <v>3.4094666826307574E-3</v>
      </c>
      <c r="P145">
        <v>0.31510794078388871</v>
      </c>
      <c r="Q145">
        <v>0.30019713548087923</v>
      </c>
      <c r="R145">
        <v>0.55390694789386041</v>
      </c>
      <c r="W145">
        <f t="shared" si="19"/>
        <v>1.1357425770133373E-2</v>
      </c>
      <c r="X145">
        <f t="shared" si="20"/>
        <v>1.0496700452491801</v>
      </c>
      <c r="Y145">
        <f t="shared" si="21"/>
        <v>1</v>
      </c>
      <c r="Z145">
        <f t="shared" si="22"/>
        <v>1.8451440151371497</v>
      </c>
    </row>
    <row r="146" spans="8:26" x14ac:dyDescent="0.25">
      <c r="H146">
        <v>2009</v>
      </c>
      <c r="I146">
        <v>3</v>
      </c>
      <c r="J146">
        <v>3.4555287598132278E-3</v>
      </c>
      <c r="K146">
        <v>0.23543656975935456</v>
      </c>
      <c r="L146">
        <v>0.6544077634681662</v>
      </c>
      <c r="M146">
        <v>1.0454406580493536</v>
      </c>
      <c r="O146">
        <v>3.4495652912648334E-3</v>
      </c>
      <c r="P146">
        <v>0.20977421436910582</v>
      </c>
      <c r="Q146">
        <v>0.4802502137337088</v>
      </c>
      <c r="R146">
        <f>Q146</f>
        <v>0.4802502137337088</v>
      </c>
      <c r="W146">
        <f t="shared" si="19"/>
        <v>7.1828500906770303E-3</v>
      </c>
      <c r="X146">
        <f t="shared" si="20"/>
        <v>0.4368019177716021</v>
      </c>
      <c r="Y146">
        <f t="shared" si="21"/>
        <v>1</v>
      </c>
      <c r="Z146">
        <f t="shared" si="22"/>
        <v>1</v>
      </c>
    </row>
    <row r="147" spans="8:26" x14ac:dyDescent="0.25">
      <c r="H147">
        <v>2009</v>
      </c>
      <c r="I147">
        <v>4</v>
      </c>
      <c r="J147">
        <v>0</v>
      </c>
      <c r="K147">
        <v>0</v>
      </c>
      <c r="L147">
        <v>0</v>
      </c>
      <c r="M147">
        <v>0</v>
      </c>
      <c r="O147">
        <v>0</v>
      </c>
      <c r="P147">
        <v>0</v>
      </c>
      <c r="Q147">
        <v>0</v>
      </c>
      <c r="R147">
        <v>0</v>
      </c>
      <c r="W147" t="str">
        <f t="shared" si="19"/>
        <v/>
      </c>
      <c r="X147" t="str">
        <f t="shared" si="20"/>
        <v/>
      </c>
      <c r="Y147" t="str">
        <f t="shared" si="21"/>
        <v/>
      </c>
      <c r="Z147" t="str">
        <f t="shared" si="22"/>
        <v/>
      </c>
    </row>
    <row r="148" spans="8:26" x14ac:dyDescent="0.25">
      <c r="H148">
        <v>2010</v>
      </c>
      <c r="I148">
        <v>1</v>
      </c>
      <c r="J148">
        <v>1.2252874697724918E-4</v>
      </c>
      <c r="K148">
        <v>5.5148172203225786E-2</v>
      </c>
      <c r="L148">
        <v>7.5960241250694394E-2</v>
      </c>
      <c r="M148">
        <v>0.16948705882352941</v>
      </c>
      <c r="O148">
        <v>1.2252124063694136E-4</v>
      </c>
      <c r="P148">
        <v>5.3655084446680434E-2</v>
      </c>
      <c r="Q148">
        <v>7.3146943654862961E-2</v>
      </c>
      <c r="R148">
        <v>0.15590232197330967</v>
      </c>
      <c r="W148">
        <f t="shared" si="19"/>
        <v>1.6750015040279253E-3</v>
      </c>
      <c r="X148">
        <f t="shared" si="20"/>
        <v>0.73352462544227348</v>
      </c>
      <c r="Y148">
        <f t="shared" si="21"/>
        <v>1</v>
      </c>
      <c r="Z148">
        <f t="shared" si="22"/>
        <v>2.1313579786589614</v>
      </c>
    </row>
    <row r="149" spans="8:26" x14ac:dyDescent="0.25">
      <c r="H149">
        <v>2010</v>
      </c>
      <c r="I149">
        <v>2</v>
      </c>
      <c r="J149">
        <v>5.6969174678991145E-3</v>
      </c>
      <c r="K149">
        <v>0.19609857287193735</v>
      </c>
      <c r="L149">
        <v>0.70768650472842132</v>
      </c>
      <c r="M149">
        <v>8.365175009015088</v>
      </c>
      <c r="O149">
        <v>5.680720805194106E-3</v>
      </c>
      <c r="P149">
        <v>0.17806878943509796</v>
      </c>
      <c r="Q149">
        <v>0.50721706929382038</v>
      </c>
      <c r="R149">
        <f>Q149</f>
        <v>0.50721706929382038</v>
      </c>
      <c r="W149">
        <f t="shared" si="19"/>
        <v>1.1199782399088351E-2</v>
      </c>
      <c r="X149">
        <f t="shared" si="20"/>
        <v>0.35107018319201394</v>
      </c>
      <c r="Y149">
        <f t="shared" si="21"/>
        <v>1</v>
      </c>
      <c r="Z149">
        <f t="shared" si="22"/>
        <v>1</v>
      </c>
    </row>
    <row r="150" spans="8:26" x14ac:dyDescent="0.25">
      <c r="H150">
        <v>2010</v>
      </c>
      <c r="I150">
        <v>3</v>
      </c>
      <c r="J150">
        <v>6.9606505612186597E-3</v>
      </c>
      <c r="K150">
        <v>0.2401573901703318</v>
      </c>
      <c r="L150">
        <v>0.34329871526259992</v>
      </c>
      <c r="M150">
        <v>0.7718382089857394</v>
      </c>
      <c r="O150">
        <v>6.9364813434404926E-3</v>
      </c>
      <c r="P150">
        <v>0.2134959366839575</v>
      </c>
      <c r="Q150">
        <v>0.29057373654686525</v>
      </c>
      <c r="R150">
        <v>0.53783726468713677</v>
      </c>
      <c r="W150">
        <f t="shared" si="19"/>
        <v>2.3871673420566491E-2</v>
      </c>
      <c r="X150">
        <f t="shared" si="20"/>
        <v>0.73473927554882013</v>
      </c>
      <c r="Y150">
        <f t="shared" si="21"/>
        <v>1</v>
      </c>
      <c r="Z150">
        <f t="shared" si="22"/>
        <v>1.8509493358853222</v>
      </c>
    </row>
    <row r="151" spans="8:26" x14ac:dyDescent="0.25">
      <c r="H151">
        <v>2010</v>
      </c>
      <c r="I151">
        <v>4</v>
      </c>
      <c r="J151">
        <v>0</v>
      </c>
      <c r="K151">
        <v>0</v>
      </c>
      <c r="L151">
        <v>0</v>
      </c>
      <c r="M151">
        <v>0</v>
      </c>
      <c r="O151">
        <v>0</v>
      </c>
      <c r="P151">
        <v>0</v>
      </c>
      <c r="Q151">
        <v>0</v>
      </c>
      <c r="R151">
        <v>0</v>
      </c>
      <c r="W151" t="str">
        <f t="shared" si="19"/>
        <v/>
      </c>
      <c r="X151" t="str">
        <f t="shared" si="20"/>
        <v/>
      </c>
      <c r="Y151" t="str">
        <f t="shared" si="21"/>
        <v/>
      </c>
      <c r="Z151" t="str">
        <f t="shared" si="22"/>
        <v/>
      </c>
    </row>
    <row r="152" spans="8:26" x14ac:dyDescent="0.25">
      <c r="H152">
        <v>2011</v>
      </c>
      <c r="I152">
        <v>1</v>
      </c>
      <c r="J152">
        <v>2.8584726100668252E-5</v>
      </c>
      <c r="K152">
        <v>6.9477605765180236E-2</v>
      </c>
      <c r="L152">
        <v>0.18046515198035001</v>
      </c>
      <c r="M152">
        <v>0.22788221970554925</v>
      </c>
      <c r="O152">
        <v>2.8584317561253236E-5</v>
      </c>
      <c r="P152">
        <v>6.7118975692645799E-2</v>
      </c>
      <c r="Q152">
        <v>0.16511822583351277</v>
      </c>
      <c r="R152">
        <v>0.20378196689259009</v>
      </c>
      <c r="W152">
        <f t="shared" si="19"/>
        <v>1.7311424839359981E-4</v>
      </c>
      <c r="X152">
        <f t="shared" si="20"/>
        <v>0.4064904122717577</v>
      </c>
      <c r="Y152">
        <f t="shared" si="21"/>
        <v>1</v>
      </c>
      <c r="Z152">
        <f t="shared" si="22"/>
        <v>1.2341579245047221</v>
      </c>
    </row>
    <row r="153" spans="8:26" x14ac:dyDescent="0.25">
      <c r="H153">
        <v>2011</v>
      </c>
      <c r="I153">
        <v>2</v>
      </c>
      <c r="J153">
        <v>8.3208159076635958E-3</v>
      </c>
      <c r="K153">
        <v>0.31778163887179334</v>
      </c>
      <c r="L153">
        <v>1.0036213988938723</v>
      </c>
      <c r="M153">
        <v>1.6515552925893666</v>
      </c>
      <c r="O153">
        <v>8.2862937362137012E-3</v>
      </c>
      <c r="P153">
        <v>0.27223831407175125</v>
      </c>
      <c r="Q153">
        <f t="shared" ref="Q153:R153" si="25">P153</f>
        <v>0.27223831407175125</v>
      </c>
      <c r="R153">
        <f t="shared" si="25"/>
        <v>0.27223831407175125</v>
      </c>
      <c r="W153">
        <f t="shared" si="19"/>
        <v>3.0437647119831053E-2</v>
      </c>
      <c r="X153">
        <f t="shared" si="20"/>
        <v>1</v>
      </c>
      <c r="Y153">
        <f t="shared" si="21"/>
        <v>1</v>
      </c>
      <c r="Z153">
        <f t="shared" si="22"/>
        <v>1</v>
      </c>
    </row>
    <row r="154" spans="8:26" x14ac:dyDescent="0.25">
      <c r="H154">
        <v>2011</v>
      </c>
      <c r="I154">
        <v>3</v>
      </c>
      <c r="J154">
        <v>1.6522398341995198E-3</v>
      </c>
      <c r="K154">
        <v>2.9642216233823921E-2</v>
      </c>
      <c r="L154">
        <v>6.6201074867713899E-2</v>
      </c>
      <c r="M154">
        <v>0.14438018589811472</v>
      </c>
      <c r="O154">
        <v>1.6508756373948552E-3</v>
      </c>
      <c r="P154">
        <v>2.9207194673232184E-2</v>
      </c>
      <c r="Q154">
        <v>6.405734917494843E-2</v>
      </c>
      <c r="R154">
        <v>0.13444138768160929</v>
      </c>
      <c r="W154">
        <f t="shared" si="19"/>
        <v>2.5771838183408318E-2</v>
      </c>
      <c r="X154">
        <f t="shared" si="20"/>
        <v>0.45595384525612781</v>
      </c>
      <c r="Y154">
        <f t="shared" si="21"/>
        <v>1</v>
      </c>
      <c r="Z154">
        <f t="shared" si="22"/>
        <v>2.0987660184693793</v>
      </c>
    </row>
    <row r="155" spans="8:26" x14ac:dyDescent="0.25">
      <c r="H155">
        <v>2011</v>
      </c>
      <c r="I155">
        <v>4</v>
      </c>
      <c r="J155">
        <v>0</v>
      </c>
      <c r="K155">
        <v>0</v>
      </c>
      <c r="L155">
        <v>0</v>
      </c>
      <c r="M155">
        <v>0</v>
      </c>
      <c r="O155">
        <v>0</v>
      </c>
      <c r="P155">
        <v>0</v>
      </c>
      <c r="Q155">
        <v>0</v>
      </c>
      <c r="R155">
        <v>0</v>
      </c>
      <c r="W155" t="str">
        <f t="shared" si="19"/>
        <v/>
      </c>
      <c r="X155" t="str">
        <f t="shared" si="20"/>
        <v/>
      </c>
      <c r="Y155" t="str">
        <f t="shared" si="21"/>
        <v/>
      </c>
      <c r="Z155" t="str">
        <f t="shared" si="22"/>
        <v/>
      </c>
    </row>
    <row r="156" spans="8:26" x14ac:dyDescent="0.25">
      <c r="H156">
        <v>2012</v>
      </c>
      <c r="I156">
        <v>1</v>
      </c>
      <c r="J156">
        <v>2.0543193962721221E-3</v>
      </c>
      <c r="K156">
        <v>0.12219616544842789</v>
      </c>
      <c r="L156">
        <v>0.14577985538470148</v>
      </c>
      <c r="M156">
        <v>0.12281590787267484</v>
      </c>
      <c r="O156">
        <v>2.0522107263888367E-3</v>
      </c>
      <c r="P156">
        <v>0.1150252499944735</v>
      </c>
      <c r="Q156">
        <v>0.1356520362085768</v>
      </c>
      <c r="R156">
        <v>0.11557353647569391</v>
      </c>
      <c r="W156">
        <f t="shared" si="19"/>
        <v>1.5128491866007704E-2</v>
      </c>
      <c r="X156">
        <f t="shared" si="20"/>
        <v>0.84794340880819641</v>
      </c>
      <c r="Y156">
        <f t="shared" si="21"/>
        <v>1</v>
      </c>
      <c r="Z156">
        <f t="shared" si="22"/>
        <v>0.85198526838174071</v>
      </c>
    </row>
    <row r="157" spans="8:26" x14ac:dyDescent="0.25">
      <c r="H157">
        <v>2012</v>
      </c>
      <c r="I157">
        <v>2</v>
      </c>
      <c r="J157">
        <v>4.5175730884014723E-3</v>
      </c>
      <c r="K157">
        <v>0.42084102662926082</v>
      </c>
      <c r="L157">
        <v>0.88698631934131333</v>
      </c>
      <c r="M157">
        <v>0.69273843529953982</v>
      </c>
      <c r="O157">
        <v>4.5073842038815259E-3</v>
      </c>
      <c r="P157">
        <v>0.34350554174912828</v>
      </c>
      <c r="Q157">
        <v>0.58810479523000636</v>
      </c>
      <c r="R157">
        <v>0.49979558559593384</v>
      </c>
      <c r="W157">
        <f t="shared" si="19"/>
        <v>7.6642534467325652E-3</v>
      </c>
      <c r="X157">
        <f t="shared" si="20"/>
        <v>0.58408900001365249</v>
      </c>
      <c r="Y157">
        <f t="shared" si="21"/>
        <v>1</v>
      </c>
      <c r="Z157">
        <f t="shared" si="22"/>
        <v>0.84984103113878706</v>
      </c>
    </row>
    <row r="158" spans="8:26" x14ac:dyDescent="0.25">
      <c r="H158">
        <v>2012</v>
      </c>
      <c r="I158">
        <v>3</v>
      </c>
      <c r="J158">
        <v>2.7429533024821203E-3</v>
      </c>
      <c r="K158">
        <v>9.3194629496771555E-2</v>
      </c>
      <c r="L158">
        <v>0.13482717269389066</v>
      </c>
      <c r="M158">
        <v>0.23270726588060991</v>
      </c>
      <c r="O158">
        <v>2.7391948432836655E-3</v>
      </c>
      <c r="P158">
        <v>8.8983827579106278E-2</v>
      </c>
      <c r="Q158">
        <v>0.12613307329526025</v>
      </c>
      <c r="R158">
        <v>0.20761450215249355</v>
      </c>
      <c r="W158">
        <f t="shared" si="19"/>
        <v>2.1716705791125741E-2</v>
      </c>
      <c r="X158">
        <f t="shared" si="20"/>
        <v>0.70547577454810229</v>
      </c>
      <c r="Y158">
        <f t="shared" si="21"/>
        <v>1</v>
      </c>
      <c r="Z158">
        <f t="shared" si="22"/>
        <v>1.6459957466230641</v>
      </c>
    </row>
    <row r="159" spans="8:26" x14ac:dyDescent="0.25">
      <c r="H159">
        <v>2012</v>
      </c>
      <c r="I159">
        <v>4</v>
      </c>
      <c r="J159">
        <v>0</v>
      </c>
      <c r="K159">
        <v>0</v>
      </c>
      <c r="L159">
        <v>0</v>
      </c>
      <c r="M159">
        <v>0</v>
      </c>
      <c r="O159">
        <v>0</v>
      </c>
      <c r="P159">
        <v>0</v>
      </c>
      <c r="Q159">
        <v>0</v>
      </c>
      <c r="R159">
        <v>0</v>
      </c>
      <c r="W159" t="str">
        <f t="shared" si="19"/>
        <v/>
      </c>
      <c r="X159" t="str">
        <f t="shared" si="20"/>
        <v/>
      </c>
      <c r="Y159" t="str">
        <f t="shared" si="21"/>
        <v/>
      </c>
      <c r="Z159" t="str">
        <f t="shared" si="22"/>
        <v/>
      </c>
    </row>
    <row r="160" spans="8:26" x14ac:dyDescent="0.25">
      <c r="H160">
        <v>2013</v>
      </c>
      <c r="I160">
        <v>1</v>
      </c>
      <c r="J160">
        <v>5.3355097860354951E-5</v>
      </c>
      <c r="K160">
        <v>0.11437072927594021</v>
      </c>
      <c r="L160">
        <v>0.14230765241024471</v>
      </c>
      <c r="M160">
        <v>0.1766390833863781</v>
      </c>
      <c r="O160">
        <v>5.3353674502432114E-5</v>
      </c>
      <c r="P160">
        <v>0.10807276895505014</v>
      </c>
      <c r="Q160">
        <v>0.13264562822885551</v>
      </c>
      <c r="R160">
        <v>0.16191779226271685</v>
      </c>
      <c r="W160">
        <f t="shared" si="19"/>
        <v>4.0222716130817527E-4</v>
      </c>
      <c r="X160">
        <f t="shared" si="20"/>
        <v>0.81474806518757292</v>
      </c>
      <c r="Y160">
        <f t="shared" si="21"/>
        <v>1</v>
      </c>
      <c r="Z160">
        <f t="shared" si="22"/>
        <v>1.2206794481259318</v>
      </c>
    </row>
    <row r="161" spans="8:26" x14ac:dyDescent="0.25">
      <c r="H161">
        <v>2013</v>
      </c>
      <c r="I161">
        <v>2</v>
      </c>
      <c r="J161">
        <v>3.9948554333540847E-3</v>
      </c>
      <c r="K161">
        <v>0.24142240389829739</v>
      </c>
      <c r="L161">
        <v>0.52657160412738102</v>
      </c>
      <c r="M161">
        <v>0.66461133530583794</v>
      </c>
      <c r="O161">
        <v>3.9868866133470071E-3</v>
      </c>
      <c r="P161">
        <v>0.21449024608103839</v>
      </c>
      <c r="Q161">
        <v>0.40937359631497094</v>
      </c>
      <c r="R161">
        <v>0.48552655348183105</v>
      </c>
      <c r="W161">
        <f t="shared" si="19"/>
        <v>9.7389930597270545E-3</v>
      </c>
      <c r="X161">
        <f t="shared" si="20"/>
        <v>0.52394743581852843</v>
      </c>
      <c r="Y161">
        <f t="shared" si="21"/>
        <v>1</v>
      </c>
      <c r="Z161">
        <f t="shared" si="22"/>
        <v>1.1860231286344813</v>
      </c>
    </row>
    <row r="162" spans="8:26" x14ac:dyDescent="0.25">
      <c r="H162">
        <v>2013</v>
      </c>
      <c r="I162">
        <v>3</v>
      </c>
      <c r="J162">
        <v>2.3002328997984542E-3</v>
      </c>
      <c r="K162">
        <v>2.6387464426166039E-4</v>
      </c>
      <c r="L162">
        <v>3.4895726378716316E-3</v>
      </c>
      <c r="M162">
        <v>4.5839628234304181E-2</v>
      </c>
      <c r="O162">
        <v>2.2975893913852463E-3</v>
      </c>
      <c r="P162">
        <v>2.6383983240974018E-4</v>
      </c>
      <c r="Q162">
        <v>3.4834911552558134E-3</v>
      </c>
      <c r="R162">
        <v>4.4804863761427227E-2</v>
      </c>
      <c r="W162">
        <f t="shared" si="19"/>
        <v>0.65956515718970465</v>
      </c>
      <c r="X162">
        <f t="shared" si="20"/>
        <v>7.5740060947668705E-2</v>
      </c>
      <c r="Y162">
        <f t="shared" si="21"/>
        <v>1</v>
      </c>
      <c r="Z162">
        <f t="shared" si="22"/>
        <v>12.862057563667602</v>
      </c>
    </row>
    <row r="163" spans="8:26" x14ac:dyDescent="0.25">
      <c r="H163">
        <v>2013</v>
      </c>
      <c r="I163">
        <v>4</v>
      </c>
      <c r="J163">
        <v>0</v>
      </c>
      <c r="K163">
        <v>0</v>
      </c>
      <c r="L163">
        <v>0</v>
      </c>
      <c r="M163">
        <v>0</v>
      </c>
      <c r="O163">
        <v>0</v>
      </c>
      <c r="P163">
        <v>0</v>
      </c>
      <c r="Q163">
        <v>0</v>
      </c>
      <c r="R163">
        <v>0</v>
      </c>
      <c r="W163" t="str">
        <f t="shared" si="19"/>
        <v/>
      </c>
      <c r="X163" t="str">
        <f t="shared" si="20"/>
        <v/>
      </c>
      <c r="Y163" t="str">
        <f t="shared" si="21"/>
        <v/>
      </c>
      <c r="Z163" t="str">
        <f t="shared" si="22"/>
        <v/>
      </c>
    </row>
    <row r="164" spans="8:26" x14ac:dyDescent="0.25">
      <c r="H164">
        <v>2014</v>
      </c>
      <c r="I164">
        <v>1</v>
      </c>
      <c r="J164">
        <v>1.2753163089880044E-2</v>
      </c>
      <c r="K164">
        <v>0.17793412007118103</v>
      </c>
      <c r="L164">
        <v>0.17230081640277337</v>
      </c>
      <c r="M164">
        <v>0.21963860863700796</v>
      </c>
      <c r="O164">
        <v>1.2672186108563022E-2</v>
      </c>
      <c r="P164">
        <v>0.16300243698767292</v>
      </c>
      <c r="Q164">
        <v>0.1582740698858407</v>
      </c>
      <c r="R164">
        <v>0.19719112626301649</v>
      </c>
      <c r="W164">
        <f t="shared" si="19"/>
        <v>8.0064827534309102E-2</v>
      </c>
      <c r="X164">
        <f t="shared" si="20"/>
        <v>1.0298745530789895</v>
      </c>
      <c r="Y164">
        <f t="shared" si="21"/>
        <v>1</v>
      </c>
      <c r="Z164">
        <f t="shared" si="22"/>
        <v>1.2458839682662217</v>
      </c>
    </row>
    <row r="165" spans="8:26" x14ac:dyDescent="0.25">
      <c r="H165">
        <v>2014</v>
      </c>
      <c r="I165">
        <v>2</v>
      </c>
      <c r="J165">
        <v>9.0863407265602807E-3</v>
      </c>
      <c r="K165">
        <v>0.13252816790692801</v>
      </c>
      <c r="L165">
        <v>0.16241441495747749</v>
      </c>
      <c r="M165">
        <v>0.32528128926292738</v>
      </c>
      <c r="O165">
        <v>9.0451846796116842E-3</v>
      </c>
      <c r="P165">
        <v>0.12412173789864167</v>
      </c>
      <c r="Q165">
        <v>0.14991115799818755</v>
      </c>
      <c r="R165">
        <v>0.27767585696285813</v>
      </c>
      <c r="W165">
        <f t="shared" si="19"/>
        <v>6.0336967577296959E-2</v>
      </c>
      <c r="X165">
        <f t="shared" si="20"/>
        <v>0.82796864193486064</v>
      </c>
      <c r="Y165">
        <f t="shared" si="21"/>
        <v>1</v>
      </c>
      <c r="Z165">
        <f t="shared" si="22"/>
        <v>1.8522694419198287</v>
      </c>
    </row>
    <row r="166" spans="8:26" x14ac:dyDescent="0.25">
      <c r="H166">
        <v>2014</v>
      </c>
      <c r="I166">
        <v>3</v>
      </c>
      <c r="J166">
        <v>1.7863730790281657E-2</v>
      </c>
      <c r="K166">
        <v>0.11840868781713852</v>
      </c>
      <c r="L166">
        <v>0.15779460575374402</v>
      </c>
      <c r="M166">
        <v>0.13780941183947126</v>
      </c>
      <c r="O166">
        <v>1.770512021456927E-2</v>
      </c>
      <c r="P166">
        <v>0.11166707242778062</v>
      </c>
      <c r="Q166">
        <v>0.14597482418730845</v>
      </c>
      <c r="R166">
        <v>0.1287352713350699</v>
      </c>
      <c r="W166">
        <f t="shared" si="19"/>
        <v>0.12128886137140224</v>
      </c>
      <c r="X166">
        <f t="shared" si="20"/>
        <v>0.7649748718621121</v>
      </c>
      <c r="Y166">
        <f t="shared" si="21"/>
        <v>1</v>
      </c>
      <c r="Z166">
        <f t="shared" si="22"/>
        <v>0.88190050614400795</v>
      </c>
    </row>
    <row r="167" spans="8:26" x14ac:dyDescent="0.25">
      <c r="H167">
        <v>2014</v>
      </c>
      <c r="I167">
        <v>4</v>
      </c>
      <c r="J167">
        <v>0</v>
      </c>
      <c r="K167">
        <v>0</v>
      </c>
      <c r="L167">
        <v>0</v>
      </c>
      <c r="M167">
        <v>0</v>
      </c>
      <c r="O167">
        <v>0</v>
      </c>
      <c r="P167">
        <v>0</v>
      </c>
      <c r="Q167">
        <v>0</v>
      </c>
      <c r="R167">
        <v>0</v>
      </c>
      <c r="W167" t="str">
        <f t="shared" si="19"/>
        <v/>
      </c>
      <c r="X167" t="str">
        <f t="shared" si="20"/>
        <v/>
      </c>
      <c r="Y167" t="str">
        <f t="shared" si="21"/>
        <v/>
      </c>
      <c r="Z167" t="str">
        <f t="shared" si="22"/>
        <v/>
      </c>
    </row>
    <row r="168" spans="8:26" x14ac:dyDescent="0.25">
      <c r="H168">
        <v>2015</v>
      </c>
      <c r="I168">
        <v>1</v>
      </c>
      <c r="J168">
        <v>1.3683464938317787E-2</v>
      </c>
      <c r="K168">
        <v>0.21054929311785922</v>
      </c>
      <c r="L168">
        <v>0.22139354926551791</v>
      </c>
      <c r="M168">
        <v>0.20364967643148349</v>
      </c>
      <c r="O168">
        <v>1.3590271884179161E-2</v>
      </c>
      <c r="P168">
        <v>0.18986088011403002</v>
      </c>
      <c r="Q168">
        <v>0.19859877264327974</v>
      </c>
      <c r="R168">
        <v>0.18425190307953498</v>
      </c>
      <c r="W168">
        <f t="shared" si="19"/>
        <v>6.8430794930388686E-2</v>
      </c>
      <c r="X168">
        <f t="shared" si="20"/>
        <v>0.9560022833326135</v>
      </c>
      <c r="Y168">
        <f t="shared" si="21"/>
        <v>1</v>
      </c>
      <c r="Z168">
        <f t="shared" si="22"/>
        <v>0.92775952553586827</v>
      </c>
    </row>
    <row r="169" spans="8:26" x14ac:dyDescent="0.25">
      <c r="H169">
        <v>2015</v>
      </c>
      <c r="I169">
        <v>2</v>
      </c>
      <c r="J169">
        <v>7.7645825263298685E-3</v>
      </c>
      <c r="K169">
        <v>0.35481578268269021</v>
      </c>
      <c r="L169">
        <v>0.27570326433551318</v>
      </c>
      <c r="M169">
        <v>0.59223262963668588</v>
      </c>
      <c r="O169">
        <v>7.7345160236986787E-3</v>
      </c>
      <c r="P169">
        <v>0.29869737660250228</v>
      </c>
      <c r="Q169">
        <v>0.24096186896870453</v>
      </c>
      <c r="R169">
        <v>0.44690894225779287</v>
      </c>
      <c r="W169">
        <f t="shared" si="19"/>
        <v>3.2098506111368254E-2</v>
      </c>
      <c r="X169">
        <f t="shared" si="20"/>
        <v>1.2396043319256305</v>
      </c>
      <c r="Y169">
        <f t="shared" si="21"/>
        <v>1</v>
      </c>
      <c r="Z169">
        <f t="shared" si="22"/>
        <v>1.8546874000045053</v>
      </c>
    </row>
    <row r="170" spans="8:26" x14ac:dyDescent="0.25">
      <c r="H170">
        <v>2015</v>
      </c>
      <c r="I170">
        <v>3</v>
      </c>
      <c r="J170">
        <v>6.4992216636094334E-3</v>
      </c>
      <c r="K170">
        <v>0.10556302170970058</v>
      </c>
      <c r="L170">
        <v>0.31410349791770209</v>
      </c>
      <c r="M170">
        <v>0.63222546896788523</v>
      </c>
      <c r="O170">
        <v>6.4781474026405217E-3</v>
      </c>
      <c r="P170">
        <v>0.10018223699401696</v>
      </c>
      <c r="Q170">
        <v>0.26955657512637254</v>
      </c>
      <c r="R170">
        <v>0.46859214760969448</v>
      </c>
      <c r="W170">
        <f t="shared" si="19"/>
        <v>2.4032607624590349E-2</v>
      </c>
      <c r="X170">
        <f t="shared" si="20"/>
        <v>0.37165569768442813</v>
      </c>
      <c r="Y170">
        <f t="shared" si="21"/>
        <v>1</v>
      </c>
      <c r="Z170">
        <f t="shared" si="22"/>
        <v>1.7383814414098813</v>
      </c>
    </row>
    <row r="171" spans="8:26" x14ac:dyDescent="0.25">
      <c r="H171">
        <v>2015</v>
      </c>
      <c r="I171">
        <v>4</v>
      </c>
      <c r="J171">
        <v>0</v>
      </c>
      <c r="K171">
        <v>0</v>
      </c>
      <c r="L171">
        <v>0</v>
      </c>
      <c r="M171">
        <v>0</v>
      </c>
      <c r="O171">
        <v>0</v>
      </c>
      <c r="P171">
        <v>0</v>
      </c>
      <c r="Q171">
        <v>0</v>
      </c>
      <c r="R171">
        <v>0</v>
      </c>
      <c r="W171" t="str">
        <f t="shared" si="19"/>
        <v/>
      </c>
      <c r="X171" t="str">
        <f t="shared" si="20"/>
        <v/>
      </c>
      <c r="Y171" t="str">
        <f t="shared" si="21"/>
        <v/>
      </c>
      <c r="Z171" t="str">
        <f t="shared" si="22"/>
        <v/>
      </c>
    </row>
    <row r="172" spans="8:26" x14ac:dyDescent="0.25">
      <c r="H172">
        <v>2016</v>
      </c>
      <c r="I172">
        <v>1</v>
      </c>
      <c r="J172">
        <v>2.3967731512396871E-2</v>
      </c>
      <c r="K172">
        <v>0.36796357530056284</v>
      </c>
      <c r="L172">
        <v>0.43538511730557022</v>
      </c>
      <c r="M172">
        <v>0.33568030301873247</v>
      </c>
      <c r="O172">
        <v>2.3682786470481498E-2</v>
      </c>
      <c r="P172">
        <v>0.30785760769180948</v>
      </c>
      <c r="Q172">
        <v>0.35298455775306325</v>
      </c>
      <c r="R172">
        <v>0.28514839481093557</v>
      </c>
      <c r="W172">
        <f t="shared" si="19"/>
        <v>6.7092981690856909E-2</v>
      </c>
      <c r="X172">
        <f t="shared" si="20"/>
        <v>0.87215602192766983</v>
      </c>
      <c r="Y172">
        <f t="shared" si="21"/>
        <v>1</v>
      </c>
      <c r="Z172">
        <f t="shared" si="22"/>
        <v>0.80782115973021207</v>
      </c>
    </row>
    <row r="173" spans="8:26" x14ac:dyDescent="0.25">
      <c r="H173">
        <v>2016</v>
      </c>
      <c r="I173">
        <v>2</v>
      </c>
      <c r="J173">
        <v>3.0685724777536765E-2</v>
      </c>
      <c r="K173">
        <v>0.10894153135036168</v>
      </c>
      <c r="L173">
        <v>0.3906854097127031</v>
      </c>
      <c r="M173">
        <v>0.68483951560287071</v>
      </c>
      <c r="O173">
        <v>3.02196968905315E-2</v>
      </c>
      <c r="P173">
        <v>0.10321715035236023</v>
      </c>
      <c r="Q173">
        <v>0.32340702785991648</v>
      </c>
      <c r="R173">
        <v>0.4958288653167523</v>
      </c>
      <c r="W173">
        <f t="shared" si="19"/>
        <v>9.3441682731833328E-2</v>
      </c>
      <c r="X173">
        <f t="shared" si="20"/>
        <v>0.31915555773595822</v>
      </c>
      <c r="Y173">
        <f t="shared" si="21"/>
        <v>1</v>
      </c>
      <c r="Z173">
        <f t="shared" si="22"/>
        <v>1.5331419004645757</v>
      </c>
    </row>
    <row r="174" spans="8:26" x14ac:dyDescent="0.25">
      <c r="H174">
        <v>2016</v>
      </c>
      <c r="I174">
        <v>3</v>
      </c>
      <c r="J174">
        <v>6.5039325384209671E-3</v>
      </c>
      <c r="K174">
        <v>7.794887377232362E-3</v>
      </c>
      <c r="L174">
        <v>1.1427364484471798E-2</v>
      </c>
      <c r="M174">
        <v>3.4328150851888804E-2</v>
      </c>
      <c r="O174">
        <v>6.4828277486863595E-3</v>
      </c>
      <c r="P174">
        <v>7.764586025610476E-3</v>
      </c>
      <c r="Q174">
        <v>1.136232015246319E-2</v>
      </c>
      <c r="R174">
        <v>3.3745624589192835E-2</v>
      </c>
      <c r="W174">
        <f t="shared" si="19"/>
        <v>0.57055492731218049</v>
      </c>
      <c r="X174">
        <f t="shared" si="20"/>
        <v>0.6833627218229037</v>
      </c>
      <c r="Y174">
        <f t="shared" si="21"/>
        <v>1</v>
      </c>
      <c r="Z174">
        <f t="shared" si="22"/>
        <v>2.9699589640481361</v>
      </c>
    </row>
    <row r="175" spans="8:26" x14ac:dyDescent="0.25">
      <c r="H175">
        <v>2016</v>
      </c>
      <c r="I175">
        <v>4</v>
      </c>
      <c r="J175">
        <v>0</v>
      </c>
      <c r="K175">
        <v>0</v>
      </c>
      <c r="L175">
        <v>0</v>
      </c>
      <c r="M175">
        <v>0</v>
      </c>
      <c r="O175">
        <v>0</v>
      </c>
      <c r="P175">
        <v>0</v>
      </c>
      <c r="Q175">
        <v>0</v>
      </c>
      <c r="R175">
        <v>0</v>
      </c>
      <c r="W175" t="str">
        <f t="shared" si="19"/>
        <v/>
      </c>
      <c r="X175" t="str">
        <f t="shared" si="20"/>
        <v/>
      </c>
      <c r="Y175" t="str">
        <f t="shared" si="21"/>
        <v/>
      </c>
      <c r="Z175" t="str">
        <f t="shared" si="22"/>
        <v/>
      </c>
    </row>
    <row r="176" spans="8:26" x14ac:dyDescent="0.25">
      <c r="H176">
        <v>2017</v>
      </c>
      <c r="I176">
        <v>1</v>
      </c>
      <c r="J176">
        <v>7.4133782321711634E-3</v>
      </c>
      <c r="K176">
        <v>0.19495900697429155</v>
      </c>
      <c r="L176">
        <v>0.24312055850512326</v>
      </c>
      <c r="M176">
        <v>0.29939744124458734</v>
      </c>
      <c r="O176">
        <v>7.3859669223927948E-3</v>
      </c>
      <c r="P176">
        <v>0.17713161077032347</v>
      </c>
      <c r="Q176">
        <v>0.21582303113054402</v>
      </c>
      <c r="R176">
        <v>0.25873525829917654</v>
      </c>
      <c r="W176">
        <f t="shared" si="19"/>
        <v>3.4222329673079581E-2</v>
      </c>
      <c r="X176">
        <f t="shared" si="20"/>
        <v>0.82072617478522292</v>
      </c>
      <c r="Y176">
        <f t="shared" si="21"/>
        <v>1</v>
      </c>
      <c r="Z176">
        <f t="shared" si="22"/>
        <v>1.1988306203644985</v>
      </c>
    </row>
    <row r="177" spans="8:26" x14ac:dyDescent="0.25">
      <c r="H177">
        <v>2017</v>
      </c>
      <c r="I177">
        <v>2</v>
      </c>
      <c r="J177">
        <v>8.6407414041302626E-3</v>
      </c>
      <c r="K177">
        <v>0.12200147446299883</v>
      </c>
      <c r="L177">
        <v>0.13562019391507857</v>
      </c>
      <c r="M177">
        <v>0.60864388092613009</v>
      </c>
      <c r="O177">
        <v>8.6035174893538402E-3</v>
      </c>
      <c r="P177">
        <v>0.11485293661492857</v>
      </c>
      <c r="Q177">
        <v>0.12682579360537494</v>
      </c>
      <c r="R177">
        <v>0.45591178259507925</v>
      </c>
      <c r="W177">
        <f t="shared" si="19"/>
        <v>6.7837284867494171E-2</v>
      </c>
      <c r="X177">
        <f t="shared" si="20"/>
        <v>0.90559604123037829</v>
      </c>
      <c r="Y177">
        <f t="shared" si="21"/>
        <v>1</v>
      </c>
      <c r="Z177">
        <f t="shared" si="22"/>
        <v>3.5947875399358629</v>
      </c>
    </row>
    <row r="178" spans="8:26" x14ac:dyDescent="0.25">
      <c r="H178">
        <v>2017</v>
      </c>
      <c r="I178">
        <v>3</v>
      </c>
      <c r="J178">
        <v>6.1797129994372538E-3</v>
      </c>
      <c r="K178">
        <v>6.1983763066737328E-2</v>
      </c>
      <c r="L178">
        <v>0.35593662952646238</v>
      </c>
      <c r="M178">
        <v>1.381990983306933</v>
      </c>
      <c r="O178">
        <v>6.1606578450600358E-3</v>
      </c>
      <c r="P178">
        <v>6.010185226930842E-2</v>
      </c>
      <c r="Q178">
        <v>0.29948298907658855</v>
      </c>
      <c r="R178">
        <f>Q178</f>
        <v>0.29948298907658855</v>
      </c>
      <c r="W178">
        <f t="shared" si="19"/>
        <v>2.0570977550529706E-2</v>
      </c>
      <c r="X178">
        <f t="shared" si="20"/>
        <v>0.2006853626465516</v>
      </c>
      <c r="Y178">
        <f t="shared" si="21"/>
        <v>1</v>
      </c>
      <c r="Z178">
        <f t="shared" si="22"/>
        <v>1</v>
      </c>
    </row>
    <row r="179" spans="8:26" x14ac:dyDescent="0.25">
      <c r="H179">
        <v>2017</v>
      </c>
      <c r="I179">
        <v>4</v>
      </c>
      <c r="J179">
        <v>0</v>
      </c>
      <c r="K179">
        <v>0</v>
      </c>
      <c r="L179">
        <v>0</v>
      </c>
      <c r="M179">
        <v>0</v>
      </c>
      <c r="O179">
        <v>0</v>
      </c>
      <c r="P179">
        <v>0</v>
      </c>
      <c r="Q179">
        <v>0</v>
      </c>
      <c r="R179">
        <v>0</v>
      </c>
      <c r="W179" t="str">
        <f t="shared" si="19"/>
        <v/>
      </c>
      <c r="X179" t="str">
        <f t="shared" si="20"/>
        <v/>
      </c>
      <c r="Y179" t="str">
        <f t="shared" si="21"/>
        <v/>
      </c>
      <c r="Z179" t="str">
        <f t="shared" si="22"/>
        <v/>
      </c>
    </row>
    <row r="180" spans="8:26" x14ac:dyDescent="0.25">
      <c r="H180">
        <v>2018</v>
      </c>
      <c r="I180">
        <v>1</v>
      </c>
      <c r="J180">
        <v>2.0300354350387375E-2</v>
      </c>
      <c r="K180">
        <v>0.18499084805857244</v>
      </c>
      <c r="L180">
        <v>0.39867287340497581</v>
      </c>
      <c r="M180">
        <v>1.0757543741751332</v>
      </c>
      <c r="O180">
        <v>2.0095689420240537E-2</v>
      </c>
      <c r="P180">
        <v>0.16888810989534242</v>
      </c>
      <c r="Q180">
        <v>0.32878976383724789</v>
      </c>
      <c r="R180">
        <f t="shared" ref="R180:R181" si="26">Q180</f>
        <v>0.32878976383724789</v>
      </c>
      <c r="W180">
        <f t="shared" si="19"/>
        <v>6.1120179611759369E-2</v>
      </c>
      <c r="X180">
        <f t="shared" si="20"/>
        <v>0.51366596065607029</v>
      </c>
      <c r="Y180">
        <f t="shared" si="21"/>
        <v>1</v>
      </c>
      <c r="Z180">
        <f t="shared" si="22"/>
        <v>1</v>
      </c>
    </row>
    <row r="181" spans="8:26" x14ac:dyDescent="0.25">
      <c r="H181">
        <v>2018</v>
      </c>
      <c r="I181">
        <v>2</v>
      </c>
      <c r="J181">
        <v>1.4307285357423948E-2</v>
      </c>
      <c r="K181">
        <v>9.0048976665159847E-2</v>
      </c>
      <c r="L181">
        <v>0.45303825642710965</v>
      </c>
      <c r="M181">
        <v>3.838367939512854</v>
      </c>
      <c r="O181">
        <v>1.4205422522469369E-2</v>
      </c>
      <c r="P181">
        <v>8.6113574934300274E-2</v>
      </c>
      <c r="Q181">
        <v>0.36430618621282906</v>
      </c>
      <c r="R181">
        <f t="shared" si="26"/>
        <v>0.36430618621282906</v>
      </c>
      <c r="W181">
        <f t="shared" si="19"/>
        <v>3.8993086200766587E-2</v>
      </c>
      <c r="X181">
        <f t="shared" si="20"/>
        <v>0.23637692192246332</v>
      </c>
      <c r="Y181">
        <f t="shared" si="21"/>
        <v>1</v>
      </c>
      <c r="Z181">
        <f t="shared" si="22"/>
        <v>1</v>
      </c>
    </row>
    <row r="182" spans="8:26" x14ac:dyDescent="0.25">
      <c r="H182">
        <v>2018</v>
      </c>
      <c r="I182">
        <v>3</v>
      </c>
      <c r="J182">
        <v>1.5154162581934914E-3</v>
      </c>
      <c r="K182">
        <v>5.8927016368645668E-2</v>
      </c>
      <c r="L182">
        <v>0.19047487038091526</v>
      </c>
      <c r="M182">
        <v>0.30103997710142161</v>
      </c>
      <c r="O182">
        <v>1.514268594778212E-3</v>
      </c>
      <c r="P182">
        <v>5.7224426168807963E-2</v>
      </c>
      <c r="Q182">
        <v>0.17343347122991282</v>
      </c>
      <c r="R182">
        <v>0.2599518128260967</v>
      </c>
      <c r="W182">
        <f t="shared" si="19"/>
        <v>8.7311208386691135E-3</v>
      </c>
      <c r="X182">
        <f t="shared" si="20"/>
        <v>0.32995030176699952</v>
      </c>
      <c r="Y182">
        <f t="shared" si="21"/>
        <v>1</v>
      </c>
      <c r="Z182">
        <f t="shared" si="22"/>
        <v>1.4988560799863739</v>
      </c>
    </row>
    <row r="183" spans="8:26" x14ac:dyDescent="0.25">
      <c r="H183">
        <v>2018</v>
      </c>
      <c r="I183">
        <v>4</v>
      </c>
      <c r="J183">
        <v>0</v>
      </c>
      <c r="K183">
        <v>0</v>
      </c>
      <c r="L183">
        <v>0</v>
      </c>
      <c r="M183">
        <v>0</v>
      </c>
      <c r="O183">
        <v>0</v>
      </c>
      <c r="P183">
        <v>0</v>
      </c>
      <c r="Q183">
        <v>0</v>
      </c>
      <c r="R183">
        <v>0</v>
      </c>
      <c r="W183" t="str">
        <f t="shared" si="19"/>
        <v/>
      </c>
      <c r="X183" t="str">
        <f t="shared" si="20"/>
        <v/>
      </c>
      <c r="Y183" t="str">
        <f t="shared" si="21"/>
        <v/>
      </c>
      <c r="Z183" t="str">
        <f t="shared" si="22"/>
        <v/>
      </c>
    </row>
    <row r="184" spans="8:26" x14ac:dyDescent="0.25">
      <c r="H184">
        <v>2019</v>
      </c>
      <c r="I184">
        <v>1</v>
      </c>
      <c r="J184">
        <v>1.1992562347939408E-2</v>
      </c>
      <c r="K184">
        <v>0.16299850594952245</v>
      </c>
      <c r="L184">
        <v>0.33135265604710407</v>
      </c>
      <c r="M184">
        <v>0.23471046888755703</v>
      </c>
      <c r="O184">
        <v>1.1920938177128804E-2</v>
      </c>
      <c r="P184">
        <v>0.15040754225234076</v>
      </c>
      <c r="Q184">
        <v>0.28204806570034746</v>
      </c>
      <c r="R184">
        <v>0.20920022237441693</v>
      </c>
      <c r="W184">
        <f t="shared" si="19"/>
        <v>4.2265626419128878E-2</v>
      </c>
      <c r="X184">
        <f t="shared" si="20"/>
        <v>0.53326918544492419</v>
      </c>
      <c r="Y184">
        <f t="shared" si="21"/>
        <v>1</v>
      </c>
      <c r="Z184">
        <f t="shared" si="22"/>
        <v>0.74171833745768256</v>
      </c>
    </row>
    <row r="185" spans="8:26" x14ac:dyDescent="0.25">
      <c r="H185">
        <v>2019</v>
      </c>
      <c r="I185">
        <v>2</v>
      </c>
      <c r="J185">
        <v>7.6669297493378663E-3</v>
      </c>
      <c r="K185">
        <v>7.9329100142772391E-2</v>
      </c>
      <c r="L185">
        <v>0.22522968791746747</v>
      </c>
      <c r="M185">
        <v>0.41943688808465251</v>
      </c>
      <c r="O185">
        <v>7.6376138123670501E-3</v>
      </c>
      <c r="P185">
        <v>7.6264127191512765E-2</v>
      </c>
      <c r="Q185">
        <v>0.20166716970611021</v>
      </c>
      <c r="R185">
        <v>0.34258308509906743</v>
      </c>
      <c r="W185">
        <f t="shared" si="19"/>
        <v>3.7872370716053351E-2</v>
      </c>
      <c r="X185">
        <f t="shared" si="20"/>
        <v>0.37816828243611772</v>
      </c>
      <c r="Y185">
        <f t="shared" si="21"/>
        <v>1</v>
      </c>
      <c r="Z185">
        <f t="shared" si="22"/>
        <v>1.6987548622728932</v>
      </c>
    </row>
    <row r="186" spans="8:26" x14ac:dyDescent="0.25">
      <c r="H186">
        <v>2019</v>
      </c>
      <c r="I186">
        <v>3</v>
      </c>
      <c r="J186">
        <v>0</v>
      </c>
      <c r="K186">
        <v>0</v>
      </c>
      <c r="L186">
        <v>0</v>
      </c>
      <c r="M186">
        <v>0</v>
      </c>
      <c r="O186">
        <v>0</v>
      </c>
      <c r="P186">
        <v>0</v>
      </c>
      <c r="Q186">
        <v>0</v>
      </c>
      <c r="R186">
        <v>0</v>
      </c>
      <c r="W186" t="str">
        <f t="shared" si="19"/>
        <v/>
      </c>
      <c r="X186" t="str">
        <f t="shared" si="20"/>
        <v/>
      </c>
      <c r="Y186" t="str">
        <f t="shared" si="21"/>
        <v/>
      </c>
      <c r="Z186" t="str">
        <f t="shared" si="22"/>
        <v/>
      </c>
    </row>
    <row r="187" spans="8:26" x14ac:dyDescent="0.25">
      <c r="H187">
        <v>2019</v>
      </c>
      <c r="I187">
        <v>4</v>
      </c>
      <c r="J187">
        <v>0</v>
      </c>
      <c r="K187">
        <v>0</v>
      </c>
      <c r="L187">
        <v>0</v>
      </c>
      <c r="M187">
        <v>0</v>
      </c>
      <c r="O187">
        <v>0</v>
      </c>
      <c r="P187">
        <v>0</v>
      </c>
      <c r="Q187">
        <v>0</v>
      </c>
      <c r="R187">
        <v>0</v>
      </c>
      <c r="W187" t="str">
        <f t="shared" si="19"/>
        <v/>
      </c>
      <c r="X187" t="str">
        <f t="shared" si="20"/>
        <v/>
      </c>
      <c r="Y187" t="str">
        <f t="shared" si="21"/>
        <v/>
      </c>
      <c r="Z187" t="str">
        <f t="shared" si="22"/>
        <v/>
      </c>
    </row>
    <row r="188" spans="8:26" x14ac:dyDescent="0.25">
      <c r="H188">
        <v>2020</v>
      </c>
      <c r="I188">
        <v>1</v>
      </c>
      <c r="J188">
        <v>1.43375973918329E-3</v>
      </c>
      <c r="K188">
        <v>0.19569286158958141</v>
      </c>
      <c r="L188">
        <v>0.3398935569232599</v>
      </c>
      <c r="M188">
        <v>0.37069291542546301</v>
      </c>
      <c r="O188">
        <v>1.4327323967344707E-3</v>
      </c>
      <c r="P188">
        <v>0.17773525501488763</v>
      </c>
      <c r="Q188">
        <v>0.28815391018193548</v>
      </c>
      <c r="R188">
        <v>0.30974412405178009</v>
      </c>
      <c r="W188">
        <f t="shared" si="19"/>
        <v>4.9721081203786821E-3</v>
      </c>
      <c r="X188">
        <f t="shared" si="20"/>
        <v>0.61680667426192004</v>
      </c>
      <c r="Y188">
        <f t="shared" si="21"/>
        <v>1</v>
      </c>
      <c r="Z188">
        <f t="shared" si="22"/>
        <v>1.0749259791623613</v>
      </c>
    </row>
    <row r="189" spans="8:26" x14ac:dyDescent="0.25">
      <c r="H189">
        <v>2020</v>
      </c>
      <c r="I189">
        <v>2</v>
      </c>
      <c r="J189">
        <v>1.0538217903122938E-3</v>
      </c>
      <c r="K189">
        <v>0.12722088964919442</v>
      </c>
      <c r="L189">
        <v>0.11268010621300338</v>
      </c>
      <c r="M189">
        <v>0.32535037194226152</v>
      </c>
      <c r="O189">
        <v>1.0532667151299524E-3</v>
      </c>
      <c r="P189">
        <v>0.11946085086991565</v>
      </c>
      <c r="Q189">
        <v>0.10656358083312578</v>
      </c>
      <c r="R189">
        <v>0.27772575532643073</v>
      </c>
      <c r="W189">
        <f t="shared" si="19"/>
        <v>9.8839275754005022E-3</v>
      </c>
      <c r="X189">
        <f t="shared" si="20"/>
        <v>1.1210288724905599</v>
      </c>
      <c r="Y189">
        <f t="shared" si="21"/>
        <v>1</v>
      </c>
      <c r="Z189">
        <f t="shared" si="22"/>
        <v>2.6061976629833596</v>
      </c>
    </row>
    <row r="190" spans="8:26" x14ac:dyDescent="0.25">
      <c r="H190">
        <v>2020</v>
      </c>
      <c r="I190">
        <v>3</v>
      </c>
      <c r="J190">
        <v>0</v>
      </c>
      <c r="K190">
        <v>0</v>
      </c>
      <c r="L190">
        <v>0</v>
      </c>
      <c r="M190">
        <v>0</v>
      </c>
      <c r="O190">
        <v>0</v>
      </c>
      <c r="P190">
        <v>0</v>
      </c>
      <c r="Q190">
        <v>0</v>
      </c>
      <c r="R190">
        <v>0</v>
      </c>
      <c r="W190" t="str">
        <f t="shared" si="19"/>
        <v/>
      </c>
      <c r="X190" t="str">
        <f t="shared" si="20"/>
        <v/>
      </c>
      <c r="Y190" t="str">
        <f t="shared" si="21"/>
        <v/>
      </c>
      <c r="Z190" t="str">
        <f t="shared" si="22"/>
        <v/>
      </c>
    </row>
    <row r="191" spans="8:26" x14ac:dyDescent="0.25">
      <c r="H191">
        <v>2020</v>
      </c>
      <c r="I191">
        <v>4</v>
      </c>
      <c r="J191">
        <v>0</v>
      </c>
      <c r="K191">
        <v>0</v>
      </c>
      <c r="L191">
        <v>0</v>
      </c>
      <c r="M191">
        <v>0</v>
      </c>
      <c r="O191">
        <v>0</v>
      </c>
      <c r="P191">
        <v>0</v>
      </c>
      <c r="Q191">
        <v>0</v>
      </c>
      <c r="R191">
        <v>0</v>
      </c>
      <c r="W191" t="str">
        <f t="shared" si="19"/>
        <v/>
      </c>
      <c r="X191" t="str">
        <f t="shared" si="20"/>
        <v/>
      </c>
      <c r="Y191" t="str">
        <f t="shared" si="21"/>
        <v/>
      </c>
      <c r="Z191" t="str">
        <f t="shared" si="22"/>
        <v/>
      </c>
    </row>
    <row r="192" spans="8:26" x14ac:dyDescent="0.25">
      <c r="H192">
        <v>2021</v>
      </c>
      <c r="I192">
        <v>1</v>
      </c>
      <c r="J192">
        <v>3.4665321440505875E-3</v>
      </c>
      <c r="K192">
        <v>0.17464615384615384</v>
      </c>
      <c r="L192">
        <v>0.26832641425389753</v>
      </c>
      <c r="M192">
        <v>0.49215847526014833</v>
      </c>
      <c r="O192">
        <v>3.4605306582816686E-3</v>
      </c>
      <c r="P192">
        <v>0.16024588803348538</v>
      </c>
      <c r="Q192">
        <v>0.23534185495520477</v>
      </c>
      <c r="R192">
        <v>0.38869451863947324</v>
      </c>
      <c r="W192">
        <f t="shared" si="19"/>
        <v>1.4704272042643456E-2</v>
      </c>
      <c r="X192">
        <f t="shared" si="20"/>
        <v>0.68090687933086436</v>
      </c>
      <c r="Y192">
        <f t="shared" si="21"/>
        <v>1</v>
      </c>
      <c r="Z192">
        <f t="shared" si="22"/>
        <v>1.6516166183591006</v>
      </c>
    </row>
    <row r="193" spans="8:26" x14ac:dyDescent="0.25">
      <c r="H193">
        <v>2021</v>
      </c>
      <c r="I193">
        <v>2</v>
      </c>
      <c r="J193">
        <v>2.8774180956251936E-3</v>
      </c>
      <c r="K193">
        <v>5.5704949221209381E-2</v>
      </c>
      <c r="L193">
        <v>0.1906160406327769</v>
      </c>
      <c r="M193">
        <v>0.68586547820802313</v>
      </c>
      <c r="O193">
        <v>2.873282295935975E-3</v>
      </c>
      <c r="P193">
        <v>5.4181840890197397E-2</v>
      </c>
      <c r="Q193">
        <v>0.17355014959900861</v>
      </c>
      <c r="R193">
        <v>0.49634586079317256</v>
      </c>
      <c r="W193">
        <f t="shared" si="19"/>
        <v>1.6555919442159839E-2</v>
      </c>
      <c r="X193">
        <f t="shared" si="20"/>
        <v>0.31219702786419784</v>
      </c>
      <c r="Y193">
        <f t="shared" si="21"/>
        <v>1</v>
      </c>
      <c r="Z193">
        <f t="shared" si="22"/>
        <v>2.859956398424262</v>
      </c>
    </row>
    <row r="194" spans="8:26" x14ac:dyDescent="0.25">
      <c r="H194">
        <v>2021</v>
      </c>
      <c r="I194">
        <v>3</v>
      </c>
      <c r="J194">
        <v>0</v>
      </c>
      <c r="K194">
        <v>0</v>
      </c>
      <c r="L194">
        <v>0</v>
      </c>
      <c r="M194">
        <v>0</v>
      </c>
      <c r="O194">
        <v>0</v>
      </c>
      <c r="P194">
        <v>0</v>
      </c>
      <c r="Q194">
        <v>0</v>
      </c>
      <c r="R194">
        <v>0</v>
      </c>
      <c r="W194" t="str">
        <f t="shared" si="19"/>
        <v/>
      </c>
      <c r="X194" t="str">
        <f t="shared" si="20"/>
        <v/>
      </c>
      <c r="Y194" t="str">
        <f t="shared" si="21"/>
        <v/>
      </c>
      <c r="Z194" t="str">
        <f t="shared" si="22"/>
        <v/>
      </c>
    </row>
    <row r="195" spans="8:26" x14ac:dyDescent="0.25">
      <c r="H195">
        <v>2021</v>
      </c>
      <c r="I195">
        <v>4</v>
      </c>
      <c r="J195">
        <v>0</v>
      </c>
      <c r="K195">
        <v>0</v>
      </c>
      <c r="L195">
        <v>0</v>
      </c>
      <c r="M195">
        <v>0</v>
      </c>
      <c r="O195">
        <v>0</v>
      </c>
      <c r="P195">
        <v>0</v>
      </c>
      <c r="Q195">
        <v>0</v>
      </c>
      <c r="R195">
        <v>0</v>
      </c>
      <c r="W195" t="str">
        <f t="shared" si="19"/>
        <v/>
      </c>
      <c r="X195" t="str">
        <f t="shared" si="20"/>
        <v/>
      </c>
      <c r="Y195" t="str">
        <f t="shared" si="21"/>
        <v/>
      </c>
      <c r="Z195" t="str">
        <f t="shared" si="22"/>
        <v/>
      </c>
    </row>
    <row r="196" spans="8:26" x14ac:dyDescent="0.25">
      <c r="H196">
        <v>2022</v>
      </c>
      <c r="I196">
        <v>1</v>
      </c>
      <c r="J196">
        <v>2.0240619037523852E-3</v>
      </c>
      <c r="K196">
        <v>0.19751402139427021</v>
      </c>
      <c r="L196">
        <v>0.20903450631344583</v>
      </c>
      <c r="M196">
        <v>0.30117185014136749</v>
      </c>
      <c r="O196">
        <v>2.0220148717966513E-3</v>
      </c>
      <c r="P196">
        <v>0.17923136777355408</v>
      </c>
      <c r="Q196">
        <v>0.18863276213186531</v>
      </c>
      <c r="R196">
        <v>0.26004939879562505</v>
      </c>
      <c r="W196">
        <f t="shared" si="19"/>
        <v>1.0719319639624133E-2</v>
      </c>
      <c r="X196">
        <f t="shared" si="20"/>
        <v>0.95016033136524236</v>
      </c>
      <c r="Y196">
        <f t="shared" si="21"/>
        <v>1</v>
      </c>
      <c r="Z196">
        <f t="shared" si="22"/>
        <v>1.3786014468358119</v>
      </c>
    </row>
    <row r="197" spans="8:26" x14ac:dyDescent="0.25">
      <c r="H197">
        <v>2022</v>
      </c>
      <c r="I197">
        <v>2</v>
      </c>
      <c r="J197">
        <v>7.3014822565175691E-3</v>
      </c>
      <c r="K197">
        <v>1.4328629538492442E-2</v>
      </c>
      <c r="L197">
        <v>0.17266004887138567</v>
      </c>
      <c r="M197">
        <v>0.57210803465262439</v>
      </c>
      <c r="O197">
        <v>7.2748911923664616E-3</v>
      </c>
      <c r="P197">
        <v>1.4226463275877732E-2</v>
      </c>
      <c r="Q197">
        <v>0.15857639086460373</v>
      </c>
      <c r="R197">
        <v>0.4356654528608358</v>
      </c>
      <c r="W197">
        <f t="shared" ref="W197:W208" si="27">IF($Q197&gt;0,O197/$Q197,"")</f>
        <v>4.5876256564433573E-2</v>
      </c>
      <c r="X197">
        <f t="shared" ref="X197:X208" si="28">IF($Q197&gt;0,P197/$Q197,"")</f>
        <v>8.9713627598099532E-2</v>
      </c>
      <c r="Y197">
        <f t="shared" ref="Y197:Y208" si="29">IF($Q197&gt;0,Q197/$Q197,"")</f>
        <v>1</v>
      </c>
      <c r="Z197">
        <f t="shared" ref="Z197:Z208" si="30">IF($Q197&gt;0,R197/$Q197,"")</f>
        <v>2.7473538178379733</v>
      </c>
    </row>
    <row r="198" spans="8:26" x14ac:dyDescent="0.25">
      <c r="H198">
        <v>2022</v>
      </c>
      <c r="I198">
        <v>3</v>
      </c>
      <c r="J198">
        <v>0</v>
      </c>
      <c r="K198">
        <v>0</v>
      </c>
      <c r="L198">
        <v>0</v>
      </c>
      <c r="M198">
        <v>0</v>
      </c>
      <c r="O198">
        <v>0</v>
      </c>
      <c r="P198">
        <v>0</v>
      </c>
      <c r="Q198">
        <v>0</v>
      </c>
      <c r="R198">
        <v>0</v>
      </c>
      <c r="W198" t="str">
        <f t="shared" si="27"/>
        <v/>
      </c>
      <c r="X198" t="str">
        <f t="shared" si="28"/>
        <v/>
      </c>
      <c r="Y198" t="str">
        <f t="shared" si="29"/>
        <v/>
      </c>
      <c r="Z198" t="str">
        <f t="shared" si="30"/>
        <v/>
      </c>
    </row>
    <row r="199" spans="8:26" x14ac:dyDescent="0.25">
      <c r="H199">
        <v>2022</v>
      </c>
      <c r="I199">
        <v>4</v>
      </c>
      <c r="J199">
        <v>0</v>
      </c>
      <c r="K199">
        <v>0</v>
      </c>
      <c r="L199">
        <v>0</v>
      </c>
      <c r="M199">
        <v>0</v>
      </c>
      <c r="O199">
        <v>0</v>
      </c>
      <c r="P199">
        <v>0</v>
      </c>
      <c r="Q199">
        <v>0</v>
      </c>
      <c r="R199">
        <v>0</v>
      </c>
      <c r="W199" t="str">
        <f t="shared" si="27"/>
        <v/>
      </c>
      <c r="X199" t="str">
        <f t="shared" si="28"/>
        <v/>
      </c>
      <c r="Y199" t="str">
        <f t="shared" si="29"/>
        <v/>
      </c>
      <c r="Z199" t="str">
        <f t="shared" si="30"/>
        <v/>
      </c>
    </row>
    <row r="200" spans="8:26" x14ac:dyDescent="0.25">
      <c r="H200">
        <v>2023</v>
      </c>
      <c r="I200">
        <v>1</v>
      </c>
      <c r="J200">
        <v>6.0881263724348756E-3</v>
      </c>
      <c r="K200">
        <v>0.11806864009938838</v>
      </c>
      <c r="L200">
        <v>0.30055478712203043</v>
      </c>
      <c r="M200">
        <v>0.16107809986540167</v>
      </c>
      <c r="O200">
        <v>6.0696312835855082E-3</v>
      </c>
      <c r="P200">
        <v>0.11136494547727871</v>
      </c>
      <c r="Q200">
        <v>0.2595926617402049</v>
      </c>
      <c r="R200">
        <v>0.14877441209282161</v>
      </c>
      <c r="W200">
        <f t="shared" si="27"/>
        <v>2.3381366957359807E-2</v>
      </c>
      <c r="X200">
        <f t="shared" si="28"/>
        <v>0.42899881965357906</v>
      </c>
      <c r="Y200">
        <f t="shared" si="29"/>
        <v>1</v>
      </c>
      <c r="Z200">
        <f t="shared" si="30"/>
        <v>0.57310715601703732</v>
      </c>
    </row>
    <row r="201" spans="8:26" x14ac:dyDescent="0.25">
      <c r="H201">
        <v>2023</v>
      </c>
      <c r="I201">
        <v>2</v>
      </c>
      <c r="J201">
        <v>8.936392385194683E-3</v>
      </c>
      <c r="K201">
        <v>0.11625541847282428</v>
      </c>
      <c r="L201">
        <v>0.42233586664077888</v>
      </c>
      <c r="M201">
        <v>0.43729834372983439</v>
      </c>
      <c r="O201">
        <v>8.8965815075650045E-3</v>
      </c>
      <c r="P201">
        <v>0.10975219147994597</v>
      </c>
      <c r="Q201">
        <v>0.34448616281425581</v>
      </c>
      <c r="R201">
        <v>0.35422126136981835</v>
      </c>
      <c r="W201">
        <f t="shared" si="27"/>
        <v>2.5825657073959077E-2</v>
      </c>
      <c r="X201">
        <f t="shared" si="28"/>
        <v>0.31859680685962261</v>
      </c>
      <c r="Y201">
        <f t="shared" si="29"/>
        <v>1</v>
      </c>
      <c r="Z201">
        <f t="shared" si="30"/>
        <v>1.0282597665927489</v>
      </c>
    </row>
    <row r="202" spans="8:26" x14ac:dyDescent="0.25">
      <c r="H202">
        <v>2023</v>
      </c>
      <c r="I202">
        <v>3</v>
      </c>
      <c r="J202">
        <v>0</v>
      </c>
      <c r="K202">
        <v>0</v>
      </c>
      <c r="L202">
        <v>0</v>
      </c>
      <c r="M202">
        <v>0</v>
      </c>
      <c r="O202">
        <v>0</v>
      </c>
      <c r="P202">
        <v>0</v>
      </c>
      <c r="Q202">
        <v>0</v>
      </c>
      <c r="R202">
        <v>0</v>
      </c>
      <c r="W202" t="str">
        <f t="shared" si="27"/>
        <v/>
      </c>
      <c r="X202" t="str">
        <f t="shared" si="28"/>
        <v/>
      </c>
      <c r="Y202" t="str">
        <f t="shared" si="29"/>
        <v/>
      </c>
      <c r="Z202" t="str">
        <f t="shared" si="30"/>
        <v/>
      </c>
    </row>
    <row r="203" spans="8:26" x14ac:dyDescent="0.25">
      <c r="H203">
        <v>2023</v>
      </c>
      <c r="I203">
        <v>4</v>
      </c>
      <c r="J203">
        <v>0</v>
      </c>
      <c r="K203">
        <v>0</v>
      </c>
      <c r="L203">
        <v>0</v>
      </c>
      <c r="M203">
        <v>0</v>
      </c>
      <c r="O203">
        <v>0</v>
      </c>
      <c r="P203">
        <v>0</v>
      </c>
      <c r="Q203">
        <v>0</v>
      </c>
      <c r="R203">
        <v>0</v>
      </c>
      <c r="W203" t="str">
        <f t="shared" si="27"/>
        <v/>
      </c>
      <c r="X203" t="str">
        <f t="shared" si="28"/>
        <v/>
      </c>
      <c r="Y203" t="str">
        <f t="shared" si="29"/>
        <v/>
      </c>
      <c r="Z203" t="str">
        <f t="shared" si="30"/>
        <v/>
      </c>
    </row>
    <row r="204" spans="8:26" x14ac:dyDescent="0.25">
      <c r="H204">
        <v>2024</v>
      </c>
      <c r="I204">
        <v>1</v>
      </c>
      <c r="J204">
        <v>2.5202149677618517E-2</v>
      </c>
      <c r="K204">
        <v>0.135299379318638</v>
      </c>
      <c r="L204">
        <v>0.35446026354460264</v>
      </c>
      <c r="M204">
        <v>0.94362685612161601</v>
      </c>
      <c r="O204">
        <v>2.4887226629532577E-2</v>
      </c>
      <c r="P204">
        <v>0.12654562163550243</v>
      </c>
      <c r="Q204">
        <v>0.29844800577286879</v>
      </c>
      <c r="R204">
        <v>0.61078634952468014</v>
      </c>
      <c r="W204">
        <f t="shared" si="27"/>
        <v>8.338881864894343E-2</v>
      </c>
      <c r="X204">
        <f t="shared" si="28"/>
        <v>0.42401228752658798</v>
      </c>
      <c r="Y204">
        <f t="shared" si="29"/>
        <v>1</v>
      </c>
      <c r="Z204">
        <f t="shared" si="30"/>
        <v>2.0465419024763518</v>
      </c>
    </row>
    <row r="205" spans="8:26" x14ac:dyDescent="0.25">
      <c r="H205">
        <v>2024</v>
      </c>
      <c r="I205">
        <v>2</v>
      </c>
      <c r="J205">
        <v>1.4140640591247519E-2</v>
      </c>
      <c r="K205">
        <v>4.5092612002247172E-2</v>
      </c>
      <c r="L205">
        <v>3.6025512176265942E-2</v>
      </c>
      <c r="M205">
        <v>0.18377706412514244</v>
      </c>
      <c r="O205">
        <v>1.4041131326853917E-2</v>
      </c>
      <c r="P205">
        <v>4.4091050908175444E-2</v>
      </c>
      <c r="Q205">
        <v>3.5384316276151906E-2</v>
      </c>
      <c r="R205">
        <v>0.16787870716176756</v>
      </c>
      <c r="W205">
        <f t="shared" si="27"/>
        <v>0.39681793530421466</v>
      </c>
      <c r="X205">
        <f t="shared" si="28"/>
        <v>1.2460619717524866</v>
      </c>
      <c r="Y205">
        <f t="shared" si="29"/>
        <v>1</v>
      </c>
      <c r="Z205">
        <f t="shared" si="30"/>
        <v>4.7444383509231001</v>
      </c>
    </row>
    <row r="206" spans="8:26" x14ac:dyDescent="0.25">
      <c r="H206">
        <v>2024</v>
      </c>
      <c r="I206">
        <v>3</v>
      </c>
      <c r="J206">
        <v>0</v>
      </c>
      <c r="K206">
        <v>0</v>
      </c>
      <c r="L206">
        <v>0</v>
      </c>
      <c r="M206">
        <v>0</v>
      </c>
      <c r="O206">
        <v>0</v>
      </c>
      <c r="P206">
        <v>0</v>
      </c>
      <c r="Q206">
        <v>0</v>
      </c>
      <c r="R206">
        <v>0</v>
      </c>
      <c r="W206" t="str">
        <f t="shared" si="27"/>
        <v/>
      </c>
      <c r="X206" t="str">
        <f t="shared" si="28"/>
        <v/>
      </c>
      <c r="Y206" t="str">
        <f t="shared" si="29"/>
        <v/>
      </c>
      <c r="Z206" t="str">
        <f t="shared" si="30"/>
        <v/>
      </c>
    </row>
    <row r="207" spans="8:26" x14ac:dyDescent="0.25">
      <c r="H207">
        <v>2024</v>
      </c>
      <c r="I207">
        <v>4</v>
      </c>
      <c r="J207">
        <v>0</v>
      </c>
      <c r="K207">
        <v>0</v>
      </c>
      <c r="L207">
        <v>0</v>
      </c>
      <c r="M207">
        <v>0</v>
      </c>
      <c r="O207">
        <v>0</v>
      </c>
      <c r="P207">
        <v>0</v>
      </c>
      <c r="Q207">
        <v>0</v>
      </c>
      <c r="R207">
        <v>0</v>
      </c>
      <c r="W207" t="str">
        <f t="shared" si="27"/>
        <v/>
      </c>
      <c r="X207" t="str">
        <f t="shared" si="28"/>
        <v/>
      </c>
      <c r="Y207" t="str">
        <f t="shared" si="29"/>
        <v/>
      </c>
      <c r="Z207" t="str">
        <f t="shared" si="30"/>
        <v/>
      </c>
    </row>
    <row r="208" spans="8:26" x14ac:dyDescent="0.25">
      <c r="I208" t="s">
        <v>701</v>
      </c>
      <c r="J208">
        <f>AVERAGE(J4:J207)</f>
        <v>1.3468376873050053E-2</v>
      </c>
      <c r="K208">
        <f t="shared" ref="K208" si="31">AVERAGE(K4:K207)</f>
        <v>0.16000021101975939</v>
      </c>
      <c r="L208">
        <f t="shared" ref="L208" si="32">AVERAGE(L4:L207)</f>
        <v>0.34766277197723083</v>
      </c>
      <c r="M208">
        <f>AVERAGE(M4:M207)</f>
        <v>0.56958668427059045</v>
      </c>
      <c r="N208" t="s">
        <v>701</v>
      </c>
      <c r="O208">
        <f>AVERAGE(O4:O207)</f>
        <v>1.3054591069095475E-2</v>
      </c>
      <c r="P208">
        <f t="shared" ref="P208:Q208" si="33">AVERAGE(P4:P207)</f>
        <v>0.13309706912755756</v>
      </c>
      <c r="Q208">
        <f t="shared" si="33"/>
        <v>0.18664508874183791</v>
      </c>
      <c r="R208">
        <f>AVERAGE(R4:R207)</f>
        <v>0.21413948093802371</v>
      </c>
      <c r="V208" t="s">
        <v>701</v>
      </c>
      <c r="W208">
        <f>AVERAGE(W4:W207)</f>
        <v>0.18723949729054948</v>
      </c>
      <c r="X208">
        <f t="shared" ref="X208" si="34">AVERAGE(X4:X207)</f>
        <v>1.0203791926534256</v>
      </c>
      <c r="Y208">
        <f t="shared" ref="Y208" si="35">AVERAGE(Y4:Y207)</f>
        <v>1</v>
      </c>
      <c r="Z208">
        <f>AVERAGE(Z4:Z207)</f>
        <v>1.5652851797013527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3403-7745-4F2F-A345-7B1C508A5A28}">
  <sheetPr codeName="Sheet8"/>
  <dimension ref="A1:F205"/>
  <sheetViews>
    <sheetView topLeftCell="A4" workbookViewId="0">
      <selection activeCell="M22" sqref="M22"/>
    </sheetView>
  </sheetViews>
  <sheetFormatPr defaultRowHeight="15" x14ac:dyDescent="0.25"/>
  <sheetData>
    <row r="1" spans="1:6" x14ac:dyDescent="0.25">
      <c r="A1" s="1" t="s">
        <v>0</v>
      </c>
      <c r="B1" s="1" t="s">
        <v>11</v>
      </c>
      <c r="C1" s="1">
        <v>0</v>
      </c>
      <c r="D1" s="1">
        <v>1</v>
      </c>
      <c r="E1" s="1">
        <v>2</v>
      </c>
      <c r="F1" s="1">
        <v>3</v>
      </c>
    </row>
    <row r="2" spans="1:6" x14ac:dyDescent="0.25">
      <c r="A2">
        <v>1974</v>
      </c>
      <c r="B2">
        <v>1</v>
      </c>
      <c r="C2" t="s">
        <v>12</v>
      </c>
      <c r="D2" t="s">
        <v>13</v>
      </c>
      <c r="E2" t="s">
        <v>14</v>
      </c>
      <c r="F2" t="s">
        <v>15</v>
      </c>
    </row>
    <row r="3" spans="1:6" x14ac:dyDescent="0.25">
      <c r="A3">
        <v>1974</v>
      </c>
      <c r="B3">
        <v>2</v>
      </c>
      <c r="C3" t="s">
        <v>16</v>
      </c>
      <c r="D3" t="s">
        <v>17</v>
      </c>
      <c r="E3" t="s">
        <v>18</v>
      </c>
      <c r="F3" t="s">
        <v>19</v>
      </c>
    </row>
    <row r="4" spans="1:6" x14ac:dyDescent="0.25">
      <c r="A4">
        <v>1974</v>
      </c>
      <c r="B4">
        <v>3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>
        <v>1974</v>
      </c>
      <c r="B5">
        <v>4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>
        <v>1975</v>
      </c>
      <c r="B6">
        <v>1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>
        <v>1975</v>
      </c>
      <c r="B7">
        <v>2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>
        <v>1975</v>
      </c>
      <c r="B8">
        <v>3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25">
      <c r="A9">
        <v>1975</v>
      </c>
      <c r="B9">
        <v>4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25">
      <c r="A10">
        <v>1976</v>
      </c>
      <c r="B10">
        <v>1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25">
      <c r="A11">
        <v>1976</v>
      </c>
      <c r="B11">
        <v>2</v>
      </c>
      <c r="C11" t="s">
        <v>48</v>
      </c>
      <c r="D11" t="s">
        <v>49</v>
      </c>
      <c r="E11" t="s">
        <v>50</v>
      </c>
      <c r="F11" t="s">
        <v>51</v>
      </c>
    </row>
    <row r="12" spans="1:6" x14ac:dyDescent="0.25">
      <c r="A12">
        <v>1976</v>
      </c>
      <c r="B12">
        <v>3</v>
      </c>
      <c r="C12" t="s">
        <v>52</v>
      </c>
      <c r="D12" t="s">
        <v>53</v>
      </c>
      <c r="E12" t="s">
        <v>54</v>
      </c>
      <c r="F12" t="s">
        <v>55</v>
      </c>
    </row>
    <row r="13" spans="1:6" x14ac:dyDescent="0.25">
      <c r="A13">
        <v>1976</v>
      </c>
      <c r="B13">
        <v>4</v>
      </c>
      <c r="C13" t="s">
        <v>56</v>
      </c>
      <c r="D13" t="s">
        <v>57</v>
      </c>
      <c r="E13" t="s">
        <v>58</v>
      </c>
      <c r="F13" t="s">
        <v>59</v>
      </c>
    </row>
    <row r="14" spans="1:6" x14ac:dyDescent="0.25">
      <c r="A14">
        <v>1977</v>
      </c>
      <c r="B14">
        <v>1</v>
      </c>
      <c r="C14" t="s">
        <v>60</v>
      </c>
      <c r="D14" t="s">
        <v>61</v>
      </c>
      <c r="E14" t="s">
        <v>62</v>
      </c>
      <c r="F14" t="s">
        <v>63</v>
      </c>
    </row>
    <row r="15" spans="1:6" x14ac:dyDescent="0.25">
      <c r="A15">
        <v>1977</v>
      </c>
      <c r="B15">
        <v>2</v>
      </c>
      <c r="C15" t="s">
        <v>64</v>
      </c>
      <c r="D15" t="s">
        <v>65</v>
      </c>
      <c r="E15" t="s">
        <v>66</v>
      </c>
      <c r="F15" t="s">
        <v>67</v>
      </c>
    </row>
    <row r="16" spans="1:6" x14ac:dyDescent="0.25">
      <c r="A16">
        <v>1977</v>
      </c>
      <c r="B16">
        <v>3</v>
      </c>
      <c r="C16" t="s">
        <v>68</v>
      </c>
      <c r="D16" t="s">
        <v>69</v>
      </c>
      <c r="E16" t="s">
        <v>70</v>
      </c>
      <c r="F16" t="s">
        <v>71</v>
      </c>
    </row>
    <row r="17" spans="1:6" x14ac:dyDescent="0.25">
      <c r="A17">
        <v>1977</v>
      </c>
      <c r="B17">
        <v>4</v>
      </c>
      <c r="C17" t="s">
        <v>72</v>
      </c>
      <c r="D17" t="s">
        <v>73</v>
      </c>
      <c r="E17" t="s">
        <v>74</v>
      </c>
      <c r="F17" t="s">
        <v>75</v>
      </c>
    </row>
    <row r="18" spans="1:6" x14ac:dyDescent="0.25">
      <c r="A18">
        <v>1978</v>
      </c>
      <c r="B18">
        <v>1</v>
      </c>
      <c r="C18" t="s">
        <v>76</v>
      </c>
      <c r="D18" t="s">
        <v>77</v>
      </c>
      <c r="E18" t="s">
        <v>78</v>
      </c>
      <c r="F18" t="s">
        <v>79</v>
      </c>
    </row>
    <row r="19" spans="1:6" x14ac:dyDescent="0.25">
      <c r="A19">
        <v>1978</v>
      </c>
      <c r="B19">
        <v>2</v>
      </c>
      <c r="C19" t="s">
        <v>80</v>
      </c>
      <c r="D19" t="s">
        <v>81</v>
      </c>
      <c r="E19" t="s">
        <v>82</v>
      </c>
      <c r="F19" t="s">
        <v>83</v>
      </c>
    </row>
    <row r="20" spans="1:6" x14ac:dyDescent="0.25">
      <c r="A20">
        <v>1978</v>
      </c>
      <c r="B20">
        <v>3</v>
      </c>
      <c r="C20" t="s">
        <v>84</v>
      </c>
      <c r="D20" t="s">
        <v>85</v>
      </c>
      <c r="E20">
        <v>908210</v>
      </c>
      <c r="F20" t="s">
        <v>86</v>
      </c>
    </row>
    <row r="21" spans="1:6" x14ac:dyDescent="0.25">
      <c r="A21">
        <v>1978</v>
      </c>
      <c r="B21">
        <v>4</v>
      </c>
      <c r="C21" t="s">
        <v>87</v>
      </c>
      <c r="D21" t="s">
        <v>88</v>
      </c>
      <c r="E21">
        <v>569270</v>
      </c>
      <c r="F21" t="s">
        <v>89</v>
      </c>
    </row>
    <row r="22" spans="1:6" x14ac:dyDescent="0.25">
      <c r="A22">
        <v>1979</v>
      </c>
      <c r="B22">
        <v>1</v>
      </c>
      <c r="C22" t="s">
        <v>90</v>
      </c>
      <c r="D22" t="s">
        <v>91</v>
      </c>
      <c r="E22" t="s">
        <v>92</v>
      </c>
      <c r="F22" t="s">
        <v>93</v>
      </c>
    </row>
    <row r="23" spans="1:6" x14ac:dyDescent="0.25">
      <c r="A23">
        <v>1979</v>
      </c>
      <c r="B23">
        <v>2</v>
      </c>
      <c r="C23" t="s">
        <v>94</v>
      </c>
      <c r="D23" t="s">
        <v>95</v>
      </c>
      <c r="E23" t="s">
        <v>96</v>
      </c>
      <c r="F23" t="s">
        <v>97</v>
      </c>
    </row>
    <row r="24" spans="1:6" x14ac:dyDescent="0.25">
      <c r="A24">
        <v>1979</v>
      </c>
      <c r="B24">
        <v>3</v>
      </c>
      <c r="C24" t="s">
        <v>98</v>
      </c>
      <c r="D24" t="s">
        <v>99</v>
      </c>
      <c r="E24" t="s">
        <v>100</v>
      </c>
      <c r="F24" t="s">
        <v>101</v>
      </c>
    </row>
    <row r="25" spans="1:6" x14ac:dyDescent="0.25">
      <c r="A25">
        <v>1979</v>
      </c>
      <c r="B25">
        <v>4</v>
      </c>
      <c r="C25" t="s">
        <v>102</v>
      </c>
      <c r="D25" t="s">
        <v>103</v>
      </c>
      <c r="E25" t="s">
        <v>104</v>
      </c>
      <c r="F25" t="s">
        <v>105</v>
      </c>
    </row>
    <row r="26" spans="1:6" x14ac:dyDescent="0.25">
      <c r="A26">
        <v>1980</v>
      </c>
      <c r="B26">
        <v>1</v>
      </c>
      <c r="C26" t="s">
        <v>106</v>
      </c>
      <c r="D26" t="s">
        <v>107</v>
      </c>
      <c r="E26" t="s">
        <v>108</v>
      </c>
      <c r="F26" t="s">
        <v>109</v>
      </c>
    </row>
    <row r="27" spans="1:6" x14ac:dyDescent="0.25">
      <c r="A27">
        <v>1980</v>
      </c>
      <c r="B27">
        <v>2</v>
      </c>
      <c r="C27" t="s">
        <v>110</v>
      </c>
      <c r="D27" t="s">
        <v>111</v>
      </c>
      <c r="E27" t="s">
        <v>112</v>
      </c>
      <c r="F27" t="s">
        <v>113</v>
      </c>
    </row>
    <row r="28" spans="1:6" x14ac:dyDescent="0.25">
      <c r="A28">
        <v>1980</v>
      </c>
      <c r="B28">
        <v>3</v>
      </c>
      <c r="C28" t="s">
        <v>114</v>
      </c>
      <c r="D28" t="s">
        <v>115</v>
      </c>
      <c r="E28" t="s">
        <v>116</v>
      </c>
      <c r="F28" t="s">
        <v>117</v>
      </c>
    </row>
    <row r="29" spans="1:6" x14ac:dyDescent="0.25">
      <c r="A29">
        <v>1980</v>
      </c>
      <c r="B29">
        <v>4</v>
      </c>
      <c r="C29" t="s">
        <v>118</v>
      </c>
      <c r="D29" t="s">
        <v>119</v>
      </c>
      <c r="E29" t="s">
        <v>120</v>
      </c>
      <c r="F29" t="s">
        <v>121</v>
      </c>
    </row>
    <row r="30" spans="1:6" x14ac:dyDescent="0.25">
      <c r="A30">
        <v>1981</v>
      </c>
      <c r="B30">
        <v>1</v>
      </c>
      <c r="C30" t="s">
        <v>122</v>
      </c>
      <c r="D30" t="s">
        <v>123</v>
      </c>
      <c r="E30" t="s">
        <v>124</v>
      </c>
      <c r="F30" t="s">
        <v>125</v>
      </c>
    </row>
    <row r="31" spans="1:6" x14ac:dyDescent="0.25">
      <c r="A31">
        <v>1981</v>
      </c>
      <c r="B31">
        <v>2</v>
      </c>
      <c r="C31" t="s">
        <v>126</v>
      </c>
      <c r="D31" t="s">
        <v>127</v>
      </c>
      <c r="E31" t="s">
        <v>128</v>
      </c>
      <c r="F31" t="s">
        <v>129</v>
      </c>
    </row>
    <row r="32" spans="1:6" x14ac:dyDescent="0.25">
      <c r="A32">
        <v>1981</v>
      </c>
      <c r="B32">
        <v>3</v>
      </c>
      <c r="C32" t="s">
        <v>130</v>
      </c>
      <c r="D32" t="s">
        <v>131</v>
      </c>
      <c r="E32" t="s">
        <v>132</v>
      </c>
      <c r="F32" t="s">
        <v>133</v>
      </c>
    </row>
    <row r="33" spans="1:6" x14ac:dyDescent="0.25">
      <c r="A33">
        <v>1981</v>
      </c>
      <c r="B33">
        <v>4</v>
      </c>
      <c r="C33" t="s">
        <v>134</v>
      </c>
      <c r="D33" t="s">
        <v>135</v>
      </c>
      <c r="E33" t="s">
        <v>136</v>
      </c>
      <c r="F33" t="s">
        <v>137</v>
      </c>
    </row>
    <row r="34" spans="1:6" x14ac:dyDescent="0.25">
      <c r="A34">
        <v>1982</v>
      </c>
      <c r="B34">
        <v>1</v>
      </c>
      <c r="C34" t="s">
        <v>138</v>
      </c>
      <c r="D34" t="s">
        <v>139</v>
      </c>
      <c r="E34" t="s">
        <v>140</v>
      </c>
      <c r="F34" t="s">
        <v>141</v>
      </c>
    </row>
    <row r="35" spans="1:6" x14ac:dyDescent="0.25">
      <c r="A35">
        <v>1982</v>
      </c>
      <c r="B35">
        <v>2</v>
      </c>
      <c r="C35" t="s">
        <v>142</v>
      </c>
      <c r="D35" t="s">
        <v>143</v>
      </c>
      <c r="E35" t="s">
        <v>144</v>
      </c>
      <c r="F35" t="s">
        <v>145</v>
      </c>
    </row>
    <row r="36" spans="1:6" x14ac:dyDescent="0.25">
      <c r="A36">
        <v>1982</v>
      </c>
      <c r="B36">
        <v>3</v>
      </c>
      <c r="C36" t="s">
        <v>146</v>
      </c>
      <c r="D36" t="s">
        <v>147</v>
      </c>
      <c r="E36" t="s">
        <v>148</v>
      </c>
      <c r="F36" t="s">
        <v>149</v>
      </c>
    </row>
    <row r="37" spans="1:6" x14ac:dyDescent="0.25">
      <c r="A37">
        <v>1982</v>
      </c>
      <c r="B37">
        <v>4</v>
      </c>
      <c r="C37" t="s">
        <v>150</v>
      </c>
      <c r="D37" t="s">
        <v>151</v>
      </c>
      <c r="E37" t="s">
        <v>152</v>
      </c>
      <c r="F37" t="s">
        <v>153</v>
      </c>
    </row>
    <row r="38" spans="1:6" x14ac:dyDescent="0.25">
      <c r="A38">
        <v>1983</v>
      </c>
      <c r="B38">
        <v>1</v>
      </c>
      <c r="C38" t="s">
        <v>154</v>
      </c>
      <c r="D38" t="s">
        <v>155</v>
      </c>
      <c r="E38" t="s">
        <v>156</v>
      </c>
      <c r="F38" t="s">
        <v>157</v>
      </c>
    </row>
    <row r="39" spans="1:6" x14ac:dyDescent="0.25">
      <c r="A39">
        <v>1983</v>
      </c>
      <c r="B39">
        <v>2</v>
      </c>
      <c r="C39" t="s">
        <v>158</v>
      </c>
      <c r="D39" t="s">
        <v>159</v>
      </c>
      <c r="E39" t="s">
        <v>160</v>
      </c>
      <c r="F39" t="s">
        <v>161</v>
      </c>
    </row>
    <row r="40" spans="1:6" x14ac:dyDescent="0.25">
      <c r="A40">
        <v>1983</v>
      </c>
      <c r="B40">
        <v>3</v>
      </c>
      <c r="C40" t="s">
        <v>162</v>
      </c>
      <c r="D40" t="s">
        <v>163</v>
      </c>
      <c r="E40" t="s">
        <v>164</v>
      </c>
      <c r="F40" t="s">
        <v>165</v>
      </c>
    </row>
    <row r="41" spans="1:6" x14ac:dyDescent="0.25">
      <c r="A41">
        <v>1983</v>
      </c>
      <c r="B41">
        <v>4</v>
      </c>
      <c r="C41" t="s">
        <v>166</v>
      </c>
      <c r="D41" t="s">
        <v>167</v>
      </c>
      <c r="E41" t="s">
        <v>168</v>
      </c>
      <c r="F41" t="s">
        <v>169</v>
      </c>
    </row>
    <row r="42" spans="1:6" x14ac:dyDescent="0.25">
      <c r="A42">
        <v>1984</v>
      </c>
      <c r="B42">
        <v>1</v>
      </c>
      <c r="C42">
        <v>24950900</v>
      </c>
      <c r="D42">
        <v>15082300</v>
      </c>
      <c r="E42">
        <v>1489010</v>
      </c>
      <c r="F42">
        <v>187938</v>
      </c>
    </row>
    <row r="43" spans="1:6" x14ac:dyDescent="0.25">
      <c r="A43">
        <v>1984</v>
      </c>
      <c r="B43">
        <v>2</v>
      </c>
      <c r="C43">
        <v>16297200</v>
      </c>
      <c r="D43">
        <v>8109380</v>
      </c>
      <c r="E43">
        <v>722709</v>
      </c>
      <c r="F43">
        <v>99737</v>
      </c>
    </row>
    <row r="44" spans="1:6" x14ac:dyDescent="0.25">
      <c r="A44">
        <v>1984</v>
      </c>
      <c r="B44">
        <v>3</v>
      </c>
      <c r="C44">
        <v>11589000</v>
      </c>
      <c r="D44">
        <v>5274980</v>
      </c>
      <c r="E44">
        <v>330577</v>
      </c>
      <c r="F44">
        <v>44732</v>
      </c>
    </row>
    <row r="45" spans="1:6" x14ac:dyDescent="0.25">
      <c r="A45">
        <v>1984</v>
      </c>
      <c r="B45">
        <v>4</v>
      </c>
      <c r="C45">
        <v>9076570</v>
      </c>
      <c r="D45">
        <v>3936670</v>
      </c>
      <c r="E45">
        <v>240425</v>
      </c>
      <c r="F45">
        <v>27594</v>
      </c>
    </row>
    <row r="46" spans="1:6" x14ac:dyDescent="0.25">
      <c r="A46">
        <v>1985</v>
      </c>
      <c r="B46">
        <v>1</v>
      </c>
      <c r="C46">
        <v>16828500</v>
      </c>
      <c r="D46">
        <v>7132750</v>
      </c>
      <c r="E46">
        <v>3192060</v>
      </c>
      <c r="F46">
        <v>225817</v>
      </c>
    </row>
    <row r="47" spans="1:6" x14ac:dyDescent="0.25">
      <c r="A47">
        <v>1985</v>
      </c>
      <c r="B47">
        <v>2</v>
      </c>
      <c r="C47">
        <v>10690900</v>
      </c>
      <c r="D47">
        <v>3335350</v>
      </c>
      <c r="E47">
        <v>1283310</v>
      </c>
      <c r="F47">
        <v>99363</v>
      </c>
    </row>
    <row r="48" spans="1:6" x14ac:dyDescent="0.25">
      <c r="A48">
        <v>1985</v>
      </c>
      <c r="B48">
        <v>3</v>
      </c>
      <c r="C48">
        <v>7046980</v>
      </c>
      <c r="D48">
        <v>1826770</v>
      </c>
      <c r="E48">
        <v>420912</v>
      </c>
      <c r="F48">
        <v>31522</v>
      </c>
    </row>
    <row r="49" spans="1:6" x14ac:dyDescent="0.25">
      <c r="A49">
        <v>1985</v>
      </c>
      <c r="B49">
        <v>4</v>
      </c>
      <c r="C49">
        <v>5400390</v>
      </c>
      <c r="D49">
        <v>1306250</v>
      </c>
      <c r="E49">
        <v>280757</v>
      </c>
      <c r="F49">
        <v>16465</v>
      </c>
    </row>
    <row r="50" spans="1:6" x14ac:dyDescent="0.25">
      <c r="A50">
        <v>1986</v>
      </c>
      <c r="B50">
        <v>1</v>
      </c>
      <c r="C50" t="s">
        <v>170</v>
      </c>
      <c r="D50" t="s">
        <v>171</v>
      </c>
      <c r="E50" t="s">
        <v>172</v>
      </c>
      <c r="F50" t="s">
        <v>173</v>
      </c>
    </row>
    <row r="51" spans="1:6" x14ac:dyDescent="0.25">
      <c r="A51">
        <v>1986</v>
      </c>
      <c r="B51">
        <v>2</v>
      </c>
      <c r="C51" t="s">
        <v>174</v>
      </c>
      <c r="D51" t="s">
        <v>175</v>
      </c>
      <c r="E51" t="s">
        <v>176</v>
      </c>
      <c r="F51" t="s">
        <v>177</v>
      </c>
    </row>
    <row r="52" spans="1:6" x14ac:dyDescent="0.25">
      <c r="A52">
        <v>1986</v>
      </c>
      <c r="B52">
        <v>3</v>
      </c>
      <c r="C52" t="s">
        <v>178</v>
      </c>
      <c r="D52" t="s">
        <v>179</v>
      </c>
      <c r="E52" t="s">
        <v>180</v>
      </c>
      <c r="F52" t="s">
        <v>181</v>
      </c>
    </row>
    <row r="53" spans="1:6" x14ac:dyDescent="0.25">
      <c r="A53">
        <v>1986</v>
      </c>
      <c r="B53">
        <v>4</v>
      </c>
      <c r="C53" t="s">
        <v>182</v>
      </c>
      <c r="D53" t="s">
        <v>183</v>
      </c>
      <c r="E53" t="s">
        <v>184</v>
      </c>
      <c r="F53" t="s">
        <v>185</v>
      </c>
    </row>
    <row r="54" spans="1:6" x14ac:dyDescent="0.25">
      <c r="A54">
        <v>1987</v>
      </c>
      <c r="B54">
        <v>1</v>
      </c>
      <c r="C54">
        <v>35362100</v>
      </c>
      <c r="D54">
        <v>14004500</v>
      </c>
      <c r="E54">
        <v>655843</v>
      </c>
      <c r="F54">
        <v>119200</v>
      </c>
    </row>
    <row r="55" spans="1:6" x14ac:dyDescent="0.25">
      <c r="A55">
        <v>1987</v>
      </c>
      <c r="B55">
        <v>2</v>
      </c>
      <c r="C55">
        <v>21420500</v>
      </c>
      <c r="D55">
        <v>7857900</v>
      </c>
      <c r="E55">
        <v>356658</v>
      </c>
      <c r="F55">
        <v>69346</v>
      </c>
    </row>
    <row r="56" spans="1:6" x14ac:dyDescent="0.25">
      <c r="A56">
        <v>1987</v>
      </c>
      <c r="B56">
        <v>3</v>
      </c>
      <c r="C56">
        <v>13457600</v>
      </c>
      <c r="D56">
        <v>5136840</v>
      </c>
      <c r="E56">
        <v>208936</v>
      </c>
      <c r="F56">
        <v>42082</v>
      </c>
    </row>
    <row r="57" spans="1:6" x14ac:dyDescent="0.25">
      <c r="A57">
        <v>1987</v>
      </c>
      <c r="B57">
        <v>4</v>
      </c>
      <c r="C57">
        <v>10177700</v>
      </c>
      <c r="D57">
        <v>4083620</v>
      </c>
      <c r="E57">
        <v>164981</v>
      </c>
      <c r="F57">
        <v>31133</v>
      </c>
    </row>
    <row r="58" spans="1:6" x14ac:dyDescent="0.25">
      <c r="A58">
        <v>1988</v>
      </c>
      <c r="B58">
        <v>1</v>
      </c>
      <c r="C58" t="s">
        <v>186</v>
      </c>
      <c r="D58" t="s">
        <v>187</v>
      </c>
      <c r="E58" t="s">
        <v>188</v>
      </c>
      <c r="F58" t="s">
        <v>189</v>
      </c>
    </row>
    <row r="59" spans="1:6" x14ac:dyDescent="0.25">
      <c r="A59">
        <v>1988</v>
      </c>
      <c r="B59">
        <v>2</v>
      </c>
      <c r="C59" t="s">
        <v>190</v>
      </c>
      <c r="D59" t="s">
        <v>191</v>
      </c>
      <c r="E59" t="s">
        <v>192</v>
      </c>
      <c r="F59" t="s">
        <v>193</v>
      </c>
    </row>
    <row r="60" spans="1:6" x14ac:dyDescent="0.25">
      <c r="A60">
        <v>1988</v>
      </c>
      <c r="B60">
        <v>3</v>
      </c>
      <c r="C60" t="s">
        <v>194</v>
      </c>
      <c r="D60" t="s">
        <v>195</v>
      </c>
      <c r="E60" t="s">
        <v>196</v>
      </c>
      <c r="F60" t="s">
        <v>197</v>
      </c>
    </row>
    <row r="61" spans="1:6" x14ac:dyDescent="0.25">
      <c r="A61">
        <v>1988</v>
      </c>
      <c r="B61">
        <v>4</v>
      </c>
      <c r="C61" t="s">
        <v>198</v>
      </c>
      <c r="D61" t="s">
        <v>199</v>
      </c>
      <c r="E61" t="s">
        <v>200</v>
      </c>
      <c r="F61" t="s">
        <v>201</v>
      </c>
    </row>
    <row r="62" spans="1:6" x14ac:dyDescent="0.25">
      <c r="A62">
        <v>1989</v>
      </c>
      <c r="B62">
        <v>1</v>
      </c>
      <c r="C62" t="s">
        <v>202</v>
      </c>
      <c r="D62" t="s">
        <v>203</v>
      </c>
      <c r="E62" t="s">
        <v>204</v>
      </c>
      <c r="F62" t="s">
        <v>205</v>
      </c>
    </row>
    <row r="63" spans="1:6" x14ac:dyDescent="0.25">
      <c r="A63">
        <v>1989</v>
      </c>
      <c r="B63">
        <v>2</v>
      </c>
      <c r="C63" t="s">
        <v>206</v>
      </c>
      <c r="D63" t="s">
        <v>207</v>
      </c>
      <c r="E63" t="s">
        <v>208</v>
      </c>
      <c r="F63" t="s">
        <v>209</v>
      </c>
    </row>
    <row r="64" spans="1:6" x14ac:dyDescent="0.25">
      <c r="A64">
        <v>1989</v>
      </c>
      <c r="B64">
        <v>3</v>
      </c>
      <c r="C64" t="s">
        <v>210</v>
      </c>
      <c r="D64" t="s">
        <v>211</v>
      </c>
      <c r="E64" t="s">
        <v>212</v>
      </c>
      <c r="F64" t="s">
        <v>213</v>
      </c>
    </row>
    <row r="65" spans="1:6" x14ac:dyDescent="0.25">
      <c r="A65">
        <v>1989</v>
      </c>
      <c r="B65">
        <v>4</v>
      </c>
      <c r="C65" t="s">
        <v>214</v>
      </c>
      <c r="D65" t="s">
        <v>215</v>
      </c>
      <c r="E65" t="s">
        <v>216</v>
      </c>
      <c r="F65" t="s">
        <v>217</v>
      </c>
    </row>
    <row r="66" spans="1:6" x14ac:dyDescent="0.25">
      <c r="A66">
        <v>1990</v>
      </c>
      <c r="B66">
        <v>1</v>
      </c>
      <c r="C66">
        <v>61190700</v>
      </c>
      <c r="D66">
        <v>8949280</v>
      </c>
      <c r="E66">
        <v>2287260</v>
      </c>
      <c r="F66">
        <v>251281</v>
      </c>
    </row>
    <row r="67" spans="1:6" x14ac:dyDescent="0.25">
      <c r="A67">
        <v>1990</v>
      </c>
      <c r="B67">
        <v>2</v>
      </c>
      <c r="C67">
        <v>37310100</v>
      </c>
      <c r="D67">
        <v>3791750</v>
      </c>
      <c r="E67">
        <v>823292</v>
      </c>
      <c r="F67">
        <v>99935</v>
      </c>
    </row>
    <row r="68" spans="1:6" x14ac:dyDescent="0.25">
      <c r="A68">
        <v>1990</v>
      </c>
      <c r="B68">
        <v>3</v>
      </c>
      <c r="C68">
        <v>23662400</v>
      </c>
      <c r="D68">
        <v>1929590</v>
      </c>
      <c r="E68">
        <v>224838</v>
      </c>
      <c r="F68">
        <v>25377</v>
      </c>
    </row>
    <row r="69" spans="1:6" x14ac:dyDescent="0.25">
      <c r="A69">
        <v>1990</v>
      </c>
      <c r="B69">
        <v>4</v>
      </c>
      <c r="C69">
        <v>17517900</v>
      </c>
      <c r="D69">
        <v>1288900</v>
      </c>
      <c r="E69">
        <v>133332</v>
      </c>
      <c r="F69">
        <v>11325</v>
      </c>
    </row>
    <row r="70" spans="1:6" x14ac:dyDescent="0.25">
      <c r="A70">
        <v>1991</v>
      </c>
      <c r="B70">
        <v>1</v>
      </c>
      <c r="C70">
        <v>104698000</v>
      </c>
      <c r="D70">
        <v>12986200</v>
      </c>
      <c r="E70">
        <v>992154</v>
      </c>
      <c r="F70">
        <v>114019</v>
      </c>
    </row>
    <row r="71" spans="1:6" x14ac:dyDescent="0.25">
      <c r="A71">
        <v>1991</v>
      </c>
      <c r="B71">
        <v>2</v>
      </c>
      <c r="C71">
        <v>66150600</v>
      </c>
      <c r="D71">
        <v>7045160</v>
      </c>
      <c r="E71">
        <v>506146</v>
      </c>
      <c r="F71">
        <v>60732</v>
      </c>
    </row>
    <row r="72" spans="1:6" x14ac:dyDescent="0.25">
      <c r="A72">
        <v>1991</v>
      </c>
      <c r="B72">
        <v>3</v>
      </c>
      <c r="C72">
        <v>43822800</v>
      </c>
      <c r="D72">
        <v>4547540</v>
      </c>
      <c r="E72">
        <v>253726</v>
      </c>
      <c r="F72">
        <v>29987</v>
      </c>
    </row>
    <row r="73" spans="1:6" x14ac:dyDescent="0.25">
      <c r="A73">
        <v>1991</v>
      </c>
      <c r="B73">
        <v>4</v>
      </c>
      <c r="C73">
        <v>33308900</v>
      </c>
      <c r="D73">
        <v>3301080</v>
      </c>
      <c r="E73">
        <v>180892</v>
      </c>
      <c r="F73">
        <v>18965</v>
      </c>
    </row>
    <row r="74" spans="1:6" x14ac:dyDescent="0.25">
      <c r="A74">
        <v>1992</v>
      </c>
      <c r="B74">
        <v>1</v>
      </c>
      <c r="C74">
        <v>102065000</v>
      </c>
      <c r="D74">
        <v>24642900</v>
      </c>
      <c r="E74">
        <v>2515780</v>
      </c>
      <c r="F74">
        <v>156064</v>
      </c>
    </row>
    <row r="75" spans="1:6" x14ac:dyDescent="0.25">
      <c r="A75">
        <v>1992</v>
      </c>
      <c r="B75">
        <v>2</v>
      </c>
      <c r="C75">
        <v>66407100</v>
      </c>
      <c r="D75">
        <v>13254100</v>
      </c>
      <c r="E75">
        <v>1236560</v>
      </c>
      <c r="F75">
        <v>79818</v>
      </c>
    </row>
    <row r="76" spans="1:6" x14ac:dyDescent="0.25">
      <c r="A76">
        <v>1992</v>
      </c>
      <c r="B76">
        <v>3</v>
      </c>
      <c r="C76">
        <v>45638100</v>
      </c>
      <c r="D76">
        <v>8514210</v>
      </c>
      <c r="E76">
        <v>564303</v>
      </c>
      <c r="F76">
        <v>35915</v>
      </c>
    </row>
    <row r="77" spans="1:6" x14ac:dyDescent="0.25">
      <c r="A77">
        <v>1992</v>
      </c>
      <c r="B77">
        <v>4</v>
      </c>
      <c r="C77">
        <v>34923300</v>
      </c>
      <c r="D77">
        <v>6119570</v>
      </c>
      <c r="E77">
        <v>392870</v>
      </c>
      <c r="F77">
        <v>21450</v>
      </c>
    </row>
    <row r="78" spans="1:6" x14ac:dyDescent="0.25">
      <c r="A78">
        <v>1993</v>
      </c>
      <c r="B78">
        <v>1</v>
      </c>
      <c r="C78" t="s">
        <v>218</v>
      </c>
      <c r="D78" t="s">
        <v>219</v>
      </c>
      <c r="E78" t="s">
        <v>220</v>
      </c>
      <c r="F78" t="s">
        <v>221</v>
      </c>
    </row>
    <row r="79" spans="1:6" x14ac:dyDescent="0.25">
      <c r="A79">
        <v>1993</v>
      </c>
      <c r="B79">
        <v>2</v>
      </c>
      <c r="C79" t="s">
        <v>222</v>
      </c>
      <c r="D79" t="s">
        <v>223</v>
      </c>
      <c r="E79" t="s">
        <v>224</v>
      </c>
      <c r="F79" t="s">
        <v>225</v>
      </c>
    </row>
    <row r="80" spans="1:6" x14ac:dyDescent="0.25">
      <c r="A80">
        <v>1993</v>
      </c>
      <c r="B80">
        <v>3</v>
      </c>
      <c r="C80" t="s">
        <v>226</v>
      </c>
      <c r="D80" t="s">
        <v>227</v>
      </c>
      <c r="E80" t="s">
        <v>228</v>
      </c>
      <c r="F80" t="s">
        <v>229</v>
      </c>
    </row>
    <row r="81" spans="1:6" x14ac:dyDescent="0.25">
      <c r="A81">
        <v>1993</v>
      </c>
      <c r="B81">
        <v>4</v>
      </c>
      <c r="C81" t="s">
        <v>230</v>
      </c>
      <c r="D81" t="s">
        <v>231</v>
      </c>
      <c r="E81" t="s">
        <v>232</v>
      </c>
      <c r="F81" t="s">
        <v>233</v>
      </c>
    </row>
    <row r="82" spans="1:6" x14ac:dyDescent="0.25">
      <c r="A82">
        <v>1994</v>
      </c>
      <c r="B82">
        <v>1</v>
      </c>
      <c r="C82" t="s">
        <v>234</v>
      </c>
      <c r="D82" t="s">
        <v>235</v>
      </c>
      <c r="E82" t="s">
        <v>236</v>
      </c>
      <c r="F82" t="s">
        <v>237</v>
      </c>
    </row>
    <row r="83" spans="1:6" x14ac:dyDescent="0.25">
      <c r="A83">
        <v>1994</v>
      </c>
      <c r="B83">
        <v>2</v>
      </c>
      <c r="C83" t="s">
        <v>238</v>
      </c>
      <c r="D83" t="s">
        <v>239</v>
      </c>
      <c r="E83" t="s">
        <v>240</v>
      </c>
      <c r="F83" t="s">
        <v>241</v>
      </c>
    </row>
    <row r="84" spans="1:6" x14ac:dyDescent="0.25">
      <c r="A84">
        <v>1994</v>
      </c>
      <c r="B84">
        <v>3</v>
      </c>
      <c r="C84" t="s">
        <v>242</v>
      </c>
      <c r="D84" t="s">
        <v>243</v>
      </c>
      <c r="E84" t="s">
        <v>244</v>
      </c>
      <c r="F84" t="s">
        <v>245</v>
      </c>
    </row>
    <row r="85" spans="1:6" x14ac:dyDescent="0.25">
      <c r="A85">
        <v>1994</v>
      </c>
      <c r="B85">
        <v>4</v>
      </c>
      <c r="C85" t="s">
        <v>246</v>
      </c>
      <c r="D85" t="s">
        <v>247</v>
      </c>
      <c r="E85" t="s">
        <v>248</v>
      </c>
      <c r="F85" t="s">
        <v>249</v>
      </c>
    </row>
    <row r="86" spans="1:6" x14ac:dyDescent="0.25">
      <c r="A86">
        <v>1995</v>
      </c>
      <c r="B86">
        <v>1</v>
      </c>
      <c r="C86" t="s">
        <v>250</v>
      </c>
      <c r="D86" t="s">
        <v>251</v>
      </c>
      <c r="E86" t="s">
        <v>252</v>
      </c>
      <c r="F86" t="s">
        <v>253</v>
      </c>
    </row>
    <row r="87" spans="1:6" x14ac:dyDescent="0.25">
      <c r="A87">
        <v>1995</v>
      </c>
      <c r="B87">
        <v>2</v>
      </c>
      <c r="C87" t="s">
        <v>254</v>
      </c>
      <c r="D87" t="s">
        <v>255</v>
      </c>
      <c r="E87" t="s">
        <v>256</v>
      </c>
      <c r="F87" t="s">
        <v>257</v>
      </c>
    </row>
    <row r="88" spans="1:6" x14ac:dyDescent="0.25">
      <c r="A88">
        <v>1995</v>
      </c>
      <c r="B88">
        <v>3</v>
      </c>
      <c r="C88" t="s">
        <v>258</v>
      </c>
      <c r="D88" t="s">
        <v>259</v>
      </c>
      <c r="E88" t="s">
        <v>260</v>
      </c>
      <c r="F88" t="s">
        <v>261</v>
      </c>
    </row>
    <row r="89" spans="1:6" x14ac:dyDescent="0.25">
      <c r="A89">
        <v>1995</v>
      </c>
      <c r="B89">
        <v>4</v>
      </c>
      <c r="C89" t="s">
        <v>262</v>
      </c>
      <c r="D89" t="s">
        <v>263</v>
      </c>
      <c r="E89" t="s">
        <v>264</v>
      </c>
      <c r="F89" t="s">
        <v>265</v>
      </c>
    </row>
    <row r="90" spans="1:6" x14ac:dyDescent="0.25">
      <c r="A90">
        <v>1996</v>
      </c>
      <c r="B90">
        <v>1</v>
      </c>
      <c r="C90" t="s">
        <v>266</v>
      </c>
      <c r="D90" t="s">
        <v>267</v>
      </c>
      <c r="E90" t="s">
        <v>268</v>
      </c>
      <c r="F90" t="s">
        <v>269</v>
      </c>
    </row>
    <row r="91" spans="1:6" x14ac:dyDescent="0.25">
      <c r="A91">
        <v>1996</v>
      </c>
      <c r="B91">
        <v>2</v>
      </c>
      <c r="C91" t="s">
        <v>270</v>
      </c>
      <c r="D91" t="s">
        <v>271</v>
      </c>
      <c r="E91" t="s">
        <v>272</v>
      </c>
      <c r="F91" t="s">
        <v>273</v>
      </c>
    </row>
    <row r="92" spans="1:6" x14ac:dyDescent="0.25">
      <c r="A92">
        <v>1996</v>
      </c>
      <c r="B92">
        <v>3</v>
      </c>
      <c r="C92" t="s">
        <v>274</v>
      </c>
      <c r="D92" t="s">
        <v>275</v>
      </c>
      <c r="E92" t="s">
        <v>276</v>
      </c>
      <c r="F92" t="s">
        <v>277</v>
      </c>
    </row>
    <row r="93" spans="1:6" x14ac:dyDescent="0.25">
      <c r="A93">
        <v>1996</v>
      </c>
      <c r="B93">
        <v>4</v>
      </c>
      <c r="C93" t="s">
        <v>278</v>
      </c>
      <c r="D93" t="s">
        <v>279</v>
      </c>
      <c r="E93" t="s">
        <v>280</v>
      </c>
      <c r="F93" t="s">
        <v>281</v>
      </c>
    </row>
    <row r="94" spans="1:6" x14ac:dyDescent="0.25">
      <c r="A94">
        <v>1997</v>
      </c>
      <c r="B94">
        <v>1</v>
      </c>
      <c r="C94" t="s">
        <v>282</v>
      </c>
      <c r="D94" t="s">
        <v>283</v>
      </c>
      <c r="E94" t="s">
        <v>284</v>
      </c>
      <c r="F94" t="s">
        <v>285</v>
      </c>
    </row>
    <row r="95" spans="1:6" x14ac:dyDescent="0.25">
      <c r="A95">
        <v>1997</v>
      </c>
      <c r="B95">
        <v>2</v>
      </c>
      <c r="C95" t="s">
        <v>286</v>
      </c>
      <c r="D95" t="s">
        <v>287</v>
      </c>
      <c r="E95" t="s">
        <v>288</v>
      </c>
      <c r="F95" t="s">
        <v>289</v>
      </c>
    </row>
    <row r="96" spans="1:6" x14ac:dyDescent="0.25">
      <c r="A96">
        <v>1997</v>
      </c>
      <c r="B96">
        <v>3</v>
      </c>
      <c r="C96" t="s">
        <v>290</v>
      </c>
      <c r="D96" t="s">
        <v>291</v>
      </c>
      <c r="E96" t="s">
        <v>292</v>
      </c>
      <c r="F96" t="s">
        <v>293</v>
      </c>
    </row>
    <row r="97" spans="1:6" x14ac:dyDescent="0.25">
      <c r="A97">
        <v>1997</v>
      </c>
      <c r="B97">
        <v>4</v>
      </c>
      <c r="C97" t="s">
        <v>294</v>
      </c>
      <c r="D97" t="s">
        <v>295</v>
      </c>
      <c r="E97" t="s">
        <v>296</v>
      </c>
      <c r="F97" t="s">
        <v>297</v>
      </c>
    </row>
    <row r="98" spans="1:6" x14ac:dyDescent="0.25">
      <c r="A98">
        <v>1998</v>
      </c>
      <c r="B98">
        <v>1</v>
      </c>
      <c r="C98" t="s">
        <v>298</v>
      </c>
      <c r="D98" t="s">
        <v>299</v>
      </c>
      <c r="E98" t="s">
        <v>300</v>
      </c>
      <c r="F98" t="s">
        <v>301</v>
      </c>
    </row>
    <row r="99" spans="1:6" x14ac:dyDescent="0.25">
      <c r="A99">
        <v>1998</v>
      </c>
      <c r="B99">
        <v>2</v>
      </c>
      <c r="C99" t="s">
        <v>302</v>
      </c>
      <c r="D99" t="s">
        <v>303</v>
      </c>
      <c r="E99" t="s">
        <v>304</v>
      </c>
      <c r="F99" t="s">
        <v>305</v>
      </c>
    </row>
    <row r="100" spans="1:6" x14ac:dyDescent="0.25">
      <c r="A100">
        <v>1998</v>
      </c>
      <c r="B100">
        <v>3</v>
      </c>
      <c r="C100" t="s">
        <v>306</v>
      </c>
      <c r="D100" t="s">
        <v>307</v>
      </c>
      <c r="E100" t="s">
        <v>308</v>
      </c>
      <c r="F100" t="s">
        <v>309</v>
      </c>
    </row>
    <row r="101" spans="1:6" x14ac:dyDescent="0.25">
      <c r="A101">
        <v>1998</v>
      </c>
      <c r="B101">
        <v>4</v>
      </c>
      <c r="C101" t="s">
        <v>310</v>
      </c>
      <c r="D101" t="s">
        <v>311</v>
      </c>
      <c r="E101" t="s">
        <v>312</v>
      </c>
      <c r="F101" t="s">
        <v>313</v>
      </c>
    </row>
    <row r="102" spans="1:6" x14ac:dyDescent="0.25">
      <c r="A102">
        <v>1999</v>
      </c>
      <c r="B102">
        <v>1</v>
      </c>
      <c r="C102" t="s">
        <v>314</v>
      </c>
      <c r="D102" t="s">
        <v>315</v>
      </c>
      <c r="E102" t="s">
        <v>316</v>
      </c>
      <c r="F102" t="s">
        <v>317</v>
      </c>
    </row>
    <row r="103" spans="1:6" x14ac:dyDescent="0.25">
      <c r="A103">
        <v>1999</v>
      </c>
      <c r="B103">
        <v>2</v>
      </c>
      <c r="C103" t="s">
        <v>318</v>
      </c>
      <c r="D103" t="s">
        <v>319</v>
      </c>
      <c r="E103" t="s">
        <v>320</v>
      </c>
      <c r="F103" t="s">
        <v>321</v>
      </c>
    </row>
    <row r="104" spans="1:6" x14ac:dyDescent="0.25">
      <c r="A104">
        <v>1999</v>
      </c>
      <c r="B104">
        <v>3</v>
      </c>
      <c r="C104" t="s">
        <v>322</v>
      </c>
      <c r="D104" t="s">
        <v>323</v>
      </c>
      <c r="E104" t="s">
        <v>324</v>
      </c>
      <c r="F104" t="s">
        <v>325</v>
      </c>
    </row>
    <row r="105" spans="1:6" x14ac:dyDescent="0.25">
      <c r="A105">
        <v>1999</v>
      </c>
      <c r="B105">
        <v>4</v>
      </c>
      <c r="C105" t="s">
        <v>326</v>
      </c>
      <c r="D105" t="s">
        <v>327</v>
      </c>
      <c r="E105" t="s">
        <v>328</v>
      </c>
      <c r="F105" t="s">
        <v>329</v>
      </c>
    </row>
    <row r="106" spans="1:6" x14ac:dyDescent="0.25">
      <c r="A106">
        <v>2000</v>
      </c>
      <c r="B106">
        <v>1</v>
      </c>
      <c r="C106" t="s">
        <v>330</v>
      </c>
      <c r="D106" t="s">
        <v>331</v>
      </c>
      <c r="E106" t="s">
        <v>332</v>
      </c>
      <c r="F106" t="s">
        <v>333</v>
      </c>
    </row>
    <row r="107" spans="1:6" x14ac:dyDescent="0.25">
      <c r="A107">
        <v>2000</v>
      </c>
      <c r="B107">
        <v>2</v>
      </c>
      <c r="C107" t="s">
        <v>334</v>
      </c>
      <c r="D107" t="s">
        <v>335</v>
      </c>
      <c r="E107" t="s">
        <v>336</v>
      </c>
      <c r="F107" t="s">
        <v>337</v>
      </c>
    </row>
    <row r="108" spans="1:6" x14ac:dyDescent="0.25">
      <c r="A108">
        <v>2000</v>
      </c>
      <c r="B108">
        <v>3</v>
      </c>
      <c r="C108" t="s">
        <v>338</v>
      </c>
      <c r="D108" t="s">
        <v>339</v>
      </c>
      <c r="E108" t="s">
        <v>340</v>
      </c>
      <c r="F108" t="s">
        <v>341</v>
      </c>
    </row>
    <row r="109" spans="1:6" x14ac:dyDescent="0.25">
      <c r="A109">
        <v>2000</v>
      </c>
      <c r="B109">
        <v>4</v>
      </c>
      <c r="C109" t="s">
        <v>342</v>
      </c>
      <c r="D109" t="s">
        <v>343</v>
      </c>
      <c r="E109" t="s">
        <v>344</v>
      </c>
      <c r="F109" t="s">
        <v>345</v>
      </c>
    </row>
    <row r="110" spans="1:6" x14ac:dyDescent="0.25">
      <c r="A110">
        <v>2001</v>
      </c>
      <c r="B110">
        <v>1</v>
      </c>
      <c r="C110" t="s">
        <v>346</v>
      </c>
      <c r="D110" t="s">
        <v>347</v>
      </c>
      <c r="E110" t="s">
        <v>348</v>
      </c>
      <c r="F110" t="s">
        <v>349</v>
      </c>
    </row>
    <row r="111" spans="1:6" x14ac:dyDescent="0.25">
      <c r="A111">
        <v>2001</v>
      </c>
      <c r="B111">
        <v>2</v>
      </c>
      <c r="C111" t="s">
        <v>350</v>
      </c>
      <c r="D111" t="s">
        <v>351</v>
      </c>
      <c r="E111" t="s">
        <v>352</v>
      </c>
      <c r="F111" t="s">
        <v>353</v>
      </c>
    </row>
    <row r="112" spans="1:6" x14ac:dyDescent="0.25">
      <c r="A112">
        <v>2001</v>
      </c>
      <c r="B112">
        <v>3</v>
      </c>
      <c r="C112" t="s">
        <v>354</v>
      </c>
      <c r="D112" t="s">
        <v>355</v>
      </c>
      <c r="E112" t="s">
        <v>356</v>
      </c>
      <c r="F112" t="s">
        <v>357</v>
      </c>
    </row>
    <row r="113" spans="1:6" x14ac:dyDescent="0.25">
      <c r="A113">
        <v>2001</v>
      </c>
      <c r="B113">
        <v>4</v>
      </c>
      <c r="C113" t="s">
        <v>358</v>
      </c>
      <c r="D113" t="s">
        <v>359</v>
      </c>
      <c r="E113" t="s">
        <v>360</v>
      </c>
      <c r="F113" t="s">
        <v>361</v>
      </c>
    </row>
    <row r="114" spans="1:6" x14ac:dyDescent="0.25">
      <c r="A114">
        <v>2002</v>
      </c>
      <c r="B114">
        <v>1</v>
      </c>
      <c r="C114" t="s">
        <v>362</v>
      </c>
      <c r="D114" t="s">
        <v>363</v>
      </c>
      <c r="E114" t="s">
        <v>364</v>
      </c>
      <c r="F114" t="s">
        <v>365</v>
      </c>
    </row>
    <row r="115" spans="1:6" x14ac:dyDescent="0.25">
      <c r="A115">
        <v>2002</v>
      </c>
      <c r="B115">
        <v>2</v>
      </c>
      <c r="C115" t="s">
        <v>366</v>
      </c>
      <c r="D115" t="s">
        <v>367</v>
      </c>
      <c r="E115" t="s">
        <v>368</v>
      </c>
      <c r="F115" t="s">
        <v>369</v>
      </c>
    </row>
    <row r="116" spans="1:6" x14ac:dyDescent="0.25">
      <c r="A116">
        <v>2002</v>
      </c>
      <c r="B116">
        <v>3</v>
      </c>
      <c r="C116" t="s">
        <v>370</v>
      </c>
      <c r="D116" t="s">
        <v>371</v>
      </c>
      <c r="E116" t="s">
        <v>372</v>
      </c>
      <c r="F116" t="s">
        <v>373</v>
      </c>
    </row>
    <row r="117" spans="1:6" x14ac:dyDescent="0.25">
      <c r="A117">
        <v>2002</v>
      </c>
      <c r="B117">
        <v>4</v>
      </c>
      <c r="C117" t="s">
        <v>374</v>
      </c>
      <c r="D117" t="s">
        <v>375</v>
      </c>
      <c r="E117" t="s">
        <v>376</v>
      </c>
      <c r="F117" t="s">
        <v>377</v>
      </c>
    </row>
    <row r="118" spans="1:6" x14ac:dyDescent="0.25">
      <c r="A118">
        <v>2003</v>
      </c>
      <c r="B118">
        <v>1</v>
      </c>
      <c r="C118">
        <v>107371000</v>
      </c>
      <c r="D118">
        <v>22001100</v>
      </c>
      <c r="E118">
        <v>2472400</v>
      </c>
      <c r="F118">
        <v>183741</v>
      </c>
    </row>
    <row r="119" spans="1:6" x14ac:dyDescent="0.25">
      <c r="A119">
        <v>2003</v>
      </c>
      <c r="B119">
        <v>2</v>
      </c>
      <c r="C119">
        <v>72779400</v>
      </c>
      <c r="D119">
        <v>11413400</v>
      </c>
      <c r="E119">
        <v>1108010</v>
      </c>
      <c r="F119">
        <v>89688</v>
      </c>
    </row>
    <row r="120" spans="1:6" x14ac:dyDescent="0.25">
      <c r="A120">
        <v>2003</v>
      </c>
      <c r="B120">
        <v>3</v>
      </c>
      <c r="C120">
        <v>51750100</v>
      </c>
      <c r="D120">
        <v>6716390</v>
      </c>
      <c r="E120">
        <v>389381</v>
      </c>
      <c r="F120">
        <v>29516</v>
      </c>
    </row>
    <row r="121" spans="1:6" x14ac:dyDescent="0.25">
      <c r="A121">
        <v>2003</v>
      </c>
      <c r="B121">
        <v>4</v>
      </c>
      <c r="C121">
        <v>40187000</v>
      </c>
      <c r="D121">
        <v>4769940</v>
      </c>
      <c r="E121">
        <v>251041</v>
      </c>
      <c r="F121">
        <v>15146</v>
      </c>
    </row>
    <row r="122" spans="1:6" x14ac:dyDescent="0.25">
      <c r="A122">
        <v>2004</v>
      </c>
      <c r="B122">
        <v>1</v>
      </c>
      <c r="C122" t="s">
        <v>378</v>
      </c>
      <c r="D122" t="s">
        <v>379</v>
      </c>
      <c r="E122" t="s">
        <v>380</v>
      </c>
      <c r="F122" t="s">
        <v>381</v>
      </c>
    </row>
    <row r="123" spans="1:6" x14ac:dyDescent="0.25">
      <c r="A123">
        <v>2004</v>
      </c>
      <c r="B123">
        <v>2</v>
      </c>
      <c r="C123" t="s">
        <v>382</v>
      </c>
      <c r="D123" t="s">
        <v>383</v>
      </c>
      <c r="E123" t="s">
        <v>384</v>
      </c>
      <c r="F123" t="s">
        <v>385</v>
      </c>
    </row>
    <row r="124" spans="1:6" x14ac:dyDescent="0.25">
      <c r="A124">
        <v>2004</v>
      </c>
      <c r="B124">
        <v>3</v>
      </c>
      <c r="C124" t="s">
        <v>386</v>
      </c>
      <c r="D124" t="s">
        <v>387</v>
      </c>
      <c r="E124" t="s">
        <v>388</v>
      </c>
      <c r="F124" t="s">
        <v>389</v>
      </c>
    </row>
    <row r="125" spans="1:6" x14ac:dyDescent="0.25">
      <c r="A125">
        <v>2004</v>
      </c>
      <c r="B125">
        <v>4</v>
      </c>
      <c r="C125" t="s">
        <v>390</v>
      </c>
      <c r="D125" t="s">
        <v>391</v>
      </c>
      <c r="E125" t="s">
        <v>392</v>
      </c>
      <c r="F125" t="s">
        <v>393</v>
      </c>
    </row>
    <row r="126" spans="1:6" x14ac:dyDescent="0.25">
      <c r="A126">
        <v>2005</v>
      </c>
      <c r="B126">
        <v>1</v>
      </c>
      <c r="C126" t="s">
        <v>394</v>
      </c>
      <c r="D126" t="s">
        <v>395</v>
      </c>
      <c r="E126" t="s">
        <v>396</v>
      </c>
      <c r="F126" t="s">
        <v>397</v>
      </c>
    </row>
    <row r="127" spans="1:6" x14ac:dyDescent="0.25">
      <c r="A127">
        <v>2005</v>
      </c>
      <c r="B127">
        <v>2</v>
      </c>
      <c r="C127" t="s">
        <v>398</v>
      </c>
      <c r="D127" t="s">
        <v>399</v>
      </c>
      <c r="E127" t="s">
        <v>400</v>
      </c>
      <c r="F127" t="s">
        <v>401</v>
      </c>
    </row>
    <row r="128" spans="1:6" x14ac:dyDescent="0.25">
      <c r="A128">
        <v>2005</v>
      </c>
      <c r="B128">
        <v>3</v>
      </c>
      <c r="C128" t="s">
        <v>402</v>
      </c>
      <c r="D128" t="s">
        <v>403</v>
      </c>
      <c r="E128" t="s">
        <v>404</v>
      </c>
      <c r="F128" t="s">
        <v>405</v>
      </c>
    </row>
    <row r="129" spans="1:6" x14ac:dyDescent="0.25">
      <c r="A129">
        <v>2005</v>
      </c>
      <c r="B129">
        <v>4</v>
      </c>
      <c r="C129" t="s">
        <v>406</v>
      </c>
      <c r="D129" t="s">
        <v>407</v>
      </c>
      <c r="E129" t="s">
        <v>408</v>
      </c>
      <c r="F129" t="s">
        <v>409</v>
      </c>
    </row>
    <row r="130" spans="1:6" x14ac:dyDescent="0.25">
      <c r="A130">
        <v>2006</v>
      </c>
      <c r="B130">
        <v>1</v>
      </c>
      <c r="C130" t="s">
        <v>410</v>
      </c>
      <c r="D130" t="s">
        <v>411</v>
      </c>
      <c r="E130" t="s">
        <v>412</v>
      </c>
      <c r="F130" t="s">
        <v>413</v>
      </c>
    </row>
    <row r="131" spans="1:6" x14ac:dyDescent="0.25">
      <c r="A131">
        <v>2006</v>
      </c>
      <c r="B131">
        <v>2</v>
      </c>
      <c r="C131" t="s">
        <v>414</v>
      </c>
      <c r="D131" t="s">
        <v>415</v>
      </c>
      <c r="E131" t="s">
        <v>416</v>
      </c>
      <c r="F131" t="s">
        <v>417</v>
      </c>
    </row>
    <row r="132" spans="1:6" x14ac:dyDescent="0.25">
      <c r="A132">
        <v>2006</v>
      </c>
      <c r="B132">
        <v>3</v>
      </c>
      <c r="C132" t="s">
        <v>418</v>
      </c>
      <c r="D132" t="s">
        <v>419</v>
      </c>
      <c r="E132" t="s">
        <v>420</v>
      </c>
      <c r="F132" t="s">
        <v>421</v>
      </c>
    </row>
    <row r="133" spans="1:6" x14ac:dyDescent="0.25">
      <c r="A133">
        <v>2006</v>
      </c>
      <c r="B133">
        <v>4</v>
      </c>
      <c r="C133" t="s">
        <v>422</v>
      </c>
      <c r="D133" t="s">
        <v>423</v>
      </c>
      <c r="E133" t="s">
        <v>424</v>
      </c>
      <c r="F133" t="s">
        <v>425</v>
      </c>
    </row>
    <row r="134" spans="1:6" x14ac:dyDescent="0.25">
      <c r="A134">
        <v>2007</v>
      </c>
      <c r="B134">
        <v>1</v>
      </c>
      <c r="C134" t="s">
        <v>426</v>
      </c>
      <c r="D134" t="s">
        <v>427</v>
      </c>
      <c r="E134" t="s">
        <v>428</v>
      </c>
      <c r="F134" t="s">
        <v>429</v>
      </c>
    </row>
    <row r="135" spans="1:6" x14ac:dyDescent="0.25">
      <c r="A135">
        <v>2007</v>
      </c>
      <c r="B135">
        <v>2</v>
      </c>
      <c r="C135" t="s">
        <v>430</v>
      </c>
      <c r="D135" t="s">
        <v>431</v>
      </c>
      <c r="E135" t="s">
        <v>432</v>
      </c>
      <c r="F135" t="s">
        <v>433</v>
      </c>
    </row>
    <row r="136" spans="1:6" x14ac:dyDescent="0.25">
      <c r="A136">
        <v>2007</v>
      </c>
      <c r="B136">
        <v>3</v>
      </c>
      <c r="C136" t="s">
        <v>434</v>
      </c>
      <c r="D136" t="s">
        <v>435</v>
      </c>
      <c r="E136" t="s">
        <v>436</v>
      </c>
      <c r="F136" t="s">
        <v>437</v>
      </c>
    </row>
    <row r="137" spans="1:6" x14ac:dyDescent="0.25">
      <c r="A137">
        <v>2007</v>
      </c>
      <c r="B137">
        <v>4</v>
      </c>
      <c r="C137" t="s">
        <v>438</v>
      </c>
      <c r="D137" t="s">
        <v>439</v>
      </c>
      <c r="E137" t="s">
        <v>440</v>
      </c>
      <c r="F137" t="s">
        <v>441</v>
      </c>
    </row>
    <row r="138" spans="1:6" x14ac:dyDescent="0.25">
      <c r="A138">
        <v>2008</v>
      </c>
      <c r="B138">
        <v>1</v>
      </c>
      <c r="C138">
        <v>140669000</v>
      </c>
      <c r="D138">
        <v>17357000</v>
      </c>
      <c r="E138">
        <v>3395740</v>
      </c>
      <c r="F138">
        <v>185561</v>
      </c>
    </row>
    <row r="139" spans="1:6" x14ac:dyDescent="0.25">
      <c r="A139">
        <v>2008</v>
      </c>
      <c r="B139">
        <v>2</v>
      </c>
      <c r="C139">
        <v>87568900</v>
      </c>
      <c r="D139">
        <v>8362940</v>
      </c>
      <c r="E139">
        <v>1447050</v>
      </c>
      <c r="F139">
        <v>82338</v>
      </c>
    </row>
    <row r="140" spans="1:6" x14ac:dyDescent="0.25">
      <c r="A140">
        <v>2008</v>
      </c>
      <c r="B140">
        <v>3</v>
      </c>
      <c r="C140">
        <v>62854000</v>
      </c>
      <c r="D140">
        <v>5128100</v>
      </c>
      <c r="E140">
        <v>559239</v>
      </c>
      <c r="F140">
        <v>30432</v>
      </c>
    </row>
    <row r="141" spans="1:6" x14ac:dyDescent="0.25">
      <c r="A141">
        <v>2008</v>
      </c>
      <c r="B141">
        <v>4</v>
      </c>
      <c r="C141">
        <v>51439600</v>
      </c>
      <c r="D141">
        <v>3853360</v>
      </c>
      <c r="E141">
        <v>381423</v>
      </c>
      <c r="F141">
        <v>16887</v>
      </c>
    </row>
    <row r="142" spans="1:6" x14ac:dyDescent="0.25">
      <c r="A142">
        <v>2009</v>
      </c>
      <c r="B142">
        <v>1</v>
      </c>
      <c r="C142" t="s">
        <v>442</v>
      </c>
      <c r="D142" t="s">
        <v>443</v>
      </c>
      <c r="E142" t="s">
        <v>444</v>
      </c>
      <c r="F142" t="s">
        <v>445</v>
      </c>
    </row>
    <row r="143" spans="1:6" x14ac:dyDescent="0.25">
      <c r="A143">
        <v>2009</v>
      </c>
      <c r="B143">
        <v>2</v>
      </c>
      <c r="C143" t="s">
        <v>446</v>
      </c>
      <c r="D143" t="s">
        <v>447</v>
      </c>
      <c r="E143" t="s">
        <v>448</v>
      </c>
      <c r="F143" t="s">
        <v>449</v>
      </c>
    </row>
    <row r="144" spans="1:6" x14ac:dyDescent="0.25">
      <c r="A144">
        <v>2009</v>
      </c>
      <c r="B144">
        <v>3</v>
      </c>
      <c r="C144" t="s">
        <v>450</v>
      </c>
      <c r="D144" t="s">
        <v>451</v>
      </c>
      <c r="E144" t="s">
        <v>452</v>
      </c>
      <c r="F144" t="s">
        <v>453</v>
      </c>
    </row>
    <row r="145" spans="1:6" x14ac:dyDescent="0.25">
      <c r="A145">
        <v>2009</v>
      </c>
      <c r="B145">
        <v>4</v>
      </c>
      <c r="C145" t="s">
        <v>454</v>
      </c>
      <c r="D145" t="s">
        <v>455</v>
      </c>
      <c r="E145" t="s">
        <v>456</v>
      </c>
      <c r="F145" t="s">
        <v>457</v>
      </c>
    </row>
    <row r="146" spans="1:6" x14ac:dyDescent="0.25">
      <c r="A146">
        <v>2010</v>
      </c>
      <c r="B146">
        <v>1</v>
      </c>
      <c r="C146" t="s">
        <v>458</v>
      </c>
      <c r="D146" t="s">
        <v>459</v>
      </c>
      <c r="E146" t="s">
        <v>460</v>
      </c>
      <c r="F146" t="s">
        <v>461</v>
      </c>
    </row>
    <row r="147" spans="1:6" x14ac:dyDescent="0.25">
      <c r="A147">
        <v>2010</v>
      </c>
      <c r="B147">
        <v>2</v>
      </c>
      <c r="C147" t="s">
        <v>462</v>
      </c>
      <c r="D147" t="s">
        <v>463</v>
      </c>
      <c r="E147" t="s">
        <v>464</v>
      </c>
      <c r="F147" t="s">
        <v>465</v>
      </c>
    </row>
    <row r="148" spans="1:6" x14ac:dyDescent="0.25">
      <c r="A148">
        <v>2010</v>
      </c>
      <c r="B148">
        <v>3</v>
      </c>
      <c r="C148" t="s">
        <v>466</v>
      </c>
      <c r="D148" t="s">
        <v>467</v>
      </c>
      <c r="E148" t="s">
        <v>468</v>
      </c>
      <c r="F148" t="s">
        <v>469</v>
      </c>
    </row>
    <row r="149" spans="1:6" x14ac:dyDescent="0.25">
      <c r="A149">
        <v>2010</v>
      </c>
      <c r="B149">
        <v>4</v>
      </c>
      <c r="C149" t="s">
        <v>470</v>
      </c>
      <c r="D149" t="s">
        <v>471</v>
      </c>
      <c r="E149" t="s">
        <v>472</v>
      </c>
      <c r="F149" t="s">
        <v>473</v>
      </c>
    </row>
    <row r="150" spans="1:6" x14ac:dyDescent="0.25">
      <c r="A150">
        <v>2011</v>
      </c>
      <c r="B150">
        <v>1</v>
      </c>
      <c r="C150" t="s">
        <v>474</v>
      </c>
      <c r="D150" t="s">
        <v>475</v>
      </c>
      <c r="E150" t="s">
        <v>476</v>
      </c>
      <c r="F150" t="s">
        <v>477</v>
      </c>
    </row>
    <row r="151" spans="1:6" x14ac:dyDescent="0.25">
      <c r="A151">
        <v>2011</v>
      </c>
      <c r="B151">
        <v>2</v>
      </c>
      <c r="C151" t="s">
        <v>478</v>
      </c>
      <c r="D151" t="s">
        <v>479</v>
      </c>
      <c r="E151" t="s">
        <v>480</v>
      </c>
      <c r="F151" t="s">
        <v>481</v>
      </c>
    </row>
    <row r="152" spans="1:6" x14ac:dyDescent="0.25">
      <c r="A152">
        <v>2011</v>
      </c>
      <c r="B152">
        <v>3</v>
      </c>
      <c r="C152" t="s">
        <v>482</v>
      </c>
      <c r="D152" t="s">
        <v>483</v>
      </c>
      <c r="E152" t="s">
        <v>484</v>
      </c>
      <c r="F152" t="s">
        <v>485</v>
      </c>
    </row>
    <row r="153" spans="1:6" x14ac:dyDescent="0.25">
      <c r="A153">
        <v>2011</v>
      </c>
      <c r="B153">
        <v>4</v>
      </c>
      <c r="C153" t="s">
        <v>486</v>
      </c>
      <c r="D153" t="s">
        <v>487</v>
      </c>
      <c r="E153" t="s">
        <v>488</v>
      </c>
      <c r="F153" t="s">
        <v>489</v>
      </c>
    </row>
    <row r="154" spans="1:6" x14ac:dyDescent="0.25">
      <c r="A154">
        <v>2012</v>
      </c>
      <c r="B154">
        <v>1</v>
      </c>
      <c r="C154" t="s">
        <v>490</v>
      </c>
      <c r="D154" t="s">
        <v>491</v>
      </c>
      <c r="E154" t="s">
        <v>492</v>
      </c>
      <c r="F154" t="s">
        <v>493</v>
      </c>
    </row>
    <row r="155" spans="1:6" x14ac:dyDescent="0.25">
      <c r="A155">
        <v>2012</v>
      </c>
      <c r="B155">
        <v>2</v>
      </c>
      <c r="C155" t="s">
        <v>494</v>
      </c>
      <c r="D155" t="s">
        <v>495</v>
      </c>
      <c r="E155" t="s">
        <v>496</v>
      </c>
      <c r="F155" t="s">
        <v>497</v>
      </c>
    </row>
    <row r="156" spans="1:6" x14ac:dyDescent="0.25">
      <c r="A156">
        <v>2012</v>
      </c>
      <c r="B156">
        <v>3</v>
      </c>
      <c r="C156" t="s">
        <v>498</v>
      </c>
      <c r="D156" t="s">
        <v>499</v>
      </c>
      <c r="E156" t="s">
        <v>500</v>
      </c>
      <c r="F156" t="s">
        <v>501</v>
      </c>
    </row>
    <row r="157" spans="1:6" x14ac:dyDescent="0.25">
      <c r="A157">
        <v>2012</v>
      </c>
      <c r="B157">
        <v>4</v>
      </c>
      <c r="C157" t="s">
        <v>502</v>
      </c>
      <c r="D157" t="s">
        <v>503</v>
      </c>
      <c r="E157" t="s">
        <v>504</v>
      </c>
      <c r="F157" t="s">
        <v>505</v>
      </c>
    </row>
    <row r="158" spans="1:6" x14ac:dyDescent="0.25">
      <c r="A158">
        <v>2013</v>
      </c>
      <c r="B158">
        <v>1</v>
      </c>
      <c r="C158" t="s">
        <v>506</v>
      </c>
      <c r="D158" t="s">
        <v>507</v>
      </c>
      <c r="E158" t="s">
        <v>508</v>
      </c>
      <c r="F158" t="s">
        <v>509</v>
      </c>
    </row>
    <row r="159" spans="1:6" x14ac:dyDescent="0.25">
      <c r="A159">
        <v>2013</v>
      </c>
      <c r="B159">
        <v>2</v>
      </c>
      <c r="C159" t="s">
        <v>510</v>
      </c>
      <c r="D159" t="s">
        <v>511</v>
      </c>
      <c r="E159" t="s">
        <v>512</v>
      </c>
      <c r="F159" t="s">
        <v>513</v>
      </c>
    </row>
    <row r="160" spans="1:6" x14ac:dyDescent="0.25">
      <c r="A160">
        <v>2013</v>
      </c>
      <c r="B160">
        <v>3</v>
      </c>
      <c r="C160" t="s">
        <v>514</v>
      </c>
      <c r="D160" t="s">
        <v>515</v>
      </c>
      <c r="E160" t="s">
        <v>516</v>
      </c>
      <c r="F160" t="s">
        <v>517</v>
      </c>
    </row>
    <row r="161" spans="1:6" x14ac:dyDescent="0.25">
      <c r="A161">
        <v>2013</v>
      </c>
      <c r="B161">
        <v>4</v>
      </c>
      <c r="C161" t="s">
        <v>518</v>
      </c>
      <c r="D161" t="s">
        <v>519</v>
      </c>
      <c r="E161" t="s">
        <v>520</v>
      </c>
      <c r="F161" t="s">
        <v>521</v>
      </c>
    </row>
    <row r="162" spans="1:6" x14ac:dyDescent="0.25">
      <c r="A162">
        <v>2014</v>
      </c>
      <c r="B162">
        <v>1</v>
      </c>
      <c r="C162" t="s">
        <v>522</v>
      </c>
      <c r="D162" t="s">
        <v>523</v>
      </c>
      <c r="E162" t="s">
        <v>524</v>
      </c>
      <c r="F162" t="s">
        <v>525</v>
      </c>
    </row>
    <row r="163" spans="1:6" x14ac:dyDescent="0.25">
      <c r="A163">
        <v>2014</v>
      </c>
      <c r="B163">
        <v>2</v>
      </c>
      <c r="C163" t="s">
        <v>526</v>
      </c>
      <c r="D163" t="s">
        <v>527</v>
      </c>
      <c r="E163" t="s">
        <v>528</v>
      </c>
      <c r="F163" t="s">
        <v>529</v>
      </c>
    </row>
    <row r="164" spans="1:6" x14ac:dyDescent="0.25">
      <c r="A164">
        <v>2014</v>
      </c>
      <c r="B164">
        <v>3</v>
      </c>
      <c r="C164" t="s">
        <v>530</v>
      </c>
      <c r="D164" t="s">
        <v>531</v>
      </c>
      <c r="E164" t="s">
        <v>532</v>
      </c>
      <c r="F164" t="s">
        <v>533</v>
      </c>
    </row>
    <row r="165" spans="1:6" x14ac:dyDescent="0.25">
      <c r="A165">
        <v>2014</v>
      </c>
      <c r="B165">
        <v>4</v>
      </c>
      <c r="C165" t="s">
        <v>534</v>
      </c>
      <c r="D165" t="s">
        <v>535</v>
      </c>
      <c r="E165" t="s">
        <v>536</v>
      </c>
      <c r="F165" t="s">
        <v>537</v>
      </c>
    </row>
    <row r="166" spans="1:6" x14ac:dyDescent="0.25">
      <c r="A166">
        <v>2015</v>
      </c>
      <c r="B166">
        <v>1</v>
      </c>
      <c r="C166" t="s">
        <v>538</v>
      </c>
      <c r="D166" t="s">
        <v>539</v>
      </c>
      <c r="E166" t="s">
        <v>540</v>
      </c>
      <c r="F166" t="s">
        <v>541</v>
      </c>
    </row>
    <row r="167" spans="1:6" x14ac:dyDescent="0.25">
      <c r="A167">
        <v>2015</v>
      </c>
      <c r="B167">
        <v>2</v>
      </c>
      <c r="C167" t="s">
        <v>542</v>
      </c>
      <c r="D167" t="s">
        <v>543</v>
      </c>
      <c r="E167" t="s">
        <v>544</v>
      </c>
      <c r="F167" t="s">
        <v>545</v>
      </c>
    </row>
    <row r="168" spans="1:6" x14ac:dyDescent="0.25">
      <c r="A168">
        <v>2015</v>
      </c>
      <c r="B168">
        <v>3</v>
      </c>
      <c r="C168" t="s">
        <v>546</v>
      </c>
      <c r="D168" t="s">
        <v>547</v>
      </c>
      <c r="E168" t="s">
        <v>548</v>
      </c>
      <c r="F168" t="s">
        <v>549</v>
      </c>
    </row>
    <row r="169" spans="1:6" x14ac:dyDescent="0.25">
      <c r="A169">
        <v>2015</v>
      </c>
      <c r="B169">
        <v>4</v>
      </c>
      <c r="C169" t="s">
        <v>550</v>
      </c>
      <c r="D169" t="s">
        <v>551</v>
      </c>
      <c r="E169" t="s">
        <v>552</v>
      </c>
      <c r="F169" t="s">
        <v>553</v>
      </c>
    </row>
    <row r="170" spans="1:6" x14ac:dyDescent="0.25">
      <c r="A170">
        <v>2016</v>
      </c>
      <c r="B170">
        <v>1</v>
      </c>
      <c r="C170" t="s">
        <v>554</v>
      </c>
      <c r="D170" t="s">
        <v>555</v>
      </c>
      <c r="E170" t="s">
        <v>556</v>
      </c>
      <c r="F170" t="s">
        <v>557</v>
      </c>
    </row>
    <row r="171" spans="1:6" x14ac:dyDescent="0.25">
      <c r="A171">
        <v>2016</v>
      </c>
      <c r="B171">
        <v>2</v>
      </c>
      <c r="C171" t="s">
        <v>558</v>
      </c>
      <c r="D171" t="s">
        <v>559</v>
      </c>
      <c r="E171" t="s">
        <v>560</v>
      </c>
      <c r="F171" t="s">
        <v>561</v>
      </c>
    </row>
    <row r="172" spans="1:6" x14ac:dyDescent="0.25">
      <c r="A172">
        <v>2016</v>
      </c>
      <c r="B172">
        <v>3</v>
      </c>
      <c r="C172" t="s">
        <v>562</v>
      </c>
      <c r="D172" t="s">
        <v>563</v>
      </c>
      <c r="E172" t="s">
        <v>564</v>
      </c>
      <c r="F172" t="s">
        <v>565</v>
      </c>
    </row>
    <row r="173" spans="1:6" x14ac:dyDescent="0.25">
      <c r="A173">
        <v>2016</v>
      </c>
      <c r="B173">
        <v>4</v>
      </c>
      <c r="C173" t="s">
        <v>566</v>
      </c>
      <c r="D173" t="s">
        <v>567</v>
      </c>
      <c r="E173" t="s">
        <v>568</v>
      </c>
      <c r="F173" t="s">
        <v>569</v>
      </c>
    </row>
    <row r="174" spans="1:6" x14ac:dyDescent="0.25">
      <c r="A174">
        <v>2017</v>
      </c>
      <c r="B174">
        <v>1</v>
      </c>
      <c r="C174" t="s">
        <v>570</v>
      </c>
      <c r="D174" t="s">
        <v>571</v>
      </c>
      <c r="E174" t="s">
        <v>572</v>
      </c>
      <c r="F174" t="s">
        <v>573</v>
      </c>
    </row>
    <row r="175" spans="1:6" x14ac:dyDescent="0.25">
      <c r="A175">
        <v>2017</v>
      </c>
      <c r="B175">
        <v>2</v>
      </c>
      <c r="C175" t="s">
        <v>574</v>
      </c>
      <c r="D175" t="s">
        <v>575</v>
      </c>
      <c r="E175" t="s">
        <v>576</v>
      </c>
      <c r="F175" t="s">
        <v>577</v>
      </c>
    </row>
    <row r="176" spans="1:6" x14ac:dyDescent="0.25">
      <c r="A176">
        <v>2017</v>
      </c>
      <c r="B176">
        <v>3</v>
      </c>
      <c r="C176" t="s">
        <v>578</v>
      </c>
      <c r="D176" t="s">
        <v>579</v>
      </c>
      <c r="E176" t="s">
        <v>580</v>
      </c>
      <c r="F176" t="s">
        <v>581</v>
      </c>
    </row>
    <row r="177" spans="1:6" x14ac:dyDescent="0.25">
      <c r="A177">
        <v>2017</v>
      </c>
      <c r="B177">
        <v>4</v>
      </c>
      <c r="C177" t="s">
        <v>582</v>
      </c>
      <c r="D177" t="s">
        <v>583</v>
      </c>
      <c r="E177" t="s">
        <v>584</v>
      </c>
      <c r="F177" t="s">
        <v>585</v>
      </c>
    </row>
    <row r="178" spans="1:6" x14ac:dyDescent="0.25">
      <c r="A178">
        <v>2018</v>
      </c>
      <c r="B178">
        <v>1</v>
      </c>
      <c r="C178" t="s">
        <v>586</v>
      </c>
      <c r="D178" t="s">
        <v>587</v>
      </c>
      <c r="E178" t="s">
        <v>588</v>
      </c>
      <c r="F178" t="s">
        <v>589</v>
      </c>
    </row>
    <row r="179" spans="1:6" x14ac:dyDescent="0.25">
      <c r="A179">
        <v>2018</v>
      </c>
      <c r="B179">
        <v>2</v>
      </c>
      <c r="C179" t="s">
        <v>590</v>
      </c>
      <c r="D179" t="s">
        <v>591</v>
      </c>
      <c r="E179" t="s">
        <v>592</v>
      </c>
      <c r="F179" t="s">
        <v>593</v>
      </c>
    </row>
    <row r="180" spans="1:6" x14ac:dyDescent="0.25">
      <c r="A180">
        <v>2018</v>
      </c>
      <c r="B180">
        <v>3</v>
      </c>
      <c r="C180" t="s">
        <v>594</v>
      </c>
      <c r="D180" t="s">
        <v>595</v>
      </c>
      <c r="E180" t="s">
        <v>596</v>
      </c>
      <c r="F180" t="s">
        <v>597</v>
      </c>
    </row>
    <row r="181" spans="1:6" x14ac:dyDescent="0.25">
      <c r="A181">
        <v>2018</v>
      </c>
      <c r="B181">
        <v>4</v>
      </c>
      <c r="C181" t="s">
        <v>598</v>
      </c>
      <c r="D181" t="s">
        <v>599</v>
      </c>
      <c r="E181" t="s">
        <v>600</v>
      </c>
      <c r="F181" t="s">
        <v>601</v>
      </c>
    </row>
    <row r="182" spans="1:6" x14ac:dyDescent="0.25">
      <c r="A182">
        <v>2019</v>
      </c>
      <c r="B182">
        <v>1</v>
      </c>
      <c r="C182" t="s">
        <v>602</v>
      </c>
      <c r="D182" t="s">
        <v>603</v>
      </c>
      <c r="E182" t="s">
        <v>604</v>
      </c>
      <c r="F182" t="s">
        <v>605</v>
      </c>
    </row>
    <row r="183" spans="1:6" x14ac:dyDescent="0.25">
      <c r="A183">
        <v>2019</v>
      </c>
      <c r="B183">
        <v>2</v>
      </c>
      <c r="C183" t="s">
        <v>606</v>
      </c>
      <c r="D183" t="s">
        <v>607</v>
      </c>
      <c r="E183" t="s">
        <v>608</v>
      </c>
      <c r="F183" t="s">
        <v>609</v>
      </c>
    </row>
    <row r="184" spans="1:6" x14ac:dyDescent="0.25">
      <c r="A184">
        <v>2019</v>
      </c>
      <c r="B184">
        <v>3</v>
      </c>
      <c r="C184" t="s">
        <v>610</v>
      </c>
      <c r="D184" t="s">
        <v>611</v>
      </c>
      <c r="E184" t="s">
        <v>612</v>
      </c>
      <c r="F184" t="s">
        <v>613</v>
      </c>
    </row>
    <row r="185" spans="1:6" x14ac:dyDescent="0.25">
      <c r="A185">
        <v>2019</v>
      </c>
      <c r="B185">
        <v>4</v>
      </c>
      <c r="C185" t="s">
        <v>614</v>
      </c>
      <c r="D185" t="s">
        <v>615</v>
      </c>
      <c r="E185" t="s">
        <v>616</v>
      </c>
      <c r="F185" t="s">
        <v>617</v>
      </c>
    </row>
    <row r="186" spans="1:6" x14ac:dyDescent="0.25">
      <c r="A186">
        <v>2020</v>
      </c>
      <c r="B186">
        <v>1</v>
      </c>
      <c r="C186" t="s">
        <v>618</v>
      </c>
      <c r="D186" t="s">
        <v>619</v>
      </c>
      <c r="E186" t="s">
        <v>620</v>
      </c>
      <c r="F186" t="s">
        <v>621</v>
      </c>
    </row>
    <row r="187" spans="1:6" x14ac:dyDescent="0.25">
      <c r="A187">
        <v>2020</v>
      </c>
      <c r="B187">
        <v>2</v>
      </c>
      <c r="C187" t="s">
        <v>622</v>
      </c>
      <c r="D187" t="s">
        <v>623</v>
      </c>
      <c r="E187" t="s">
        <v>624</v>
      </c>
      <c r="F187" t="s">
        <v>625</v>
      </c>
    </row>
    <row r="188" spans="1:6" x14ac:dyDescent="0.25">
      <c r="A188">
        <v>2020</v>
      </c>
      <c r="B188">
        <v>3</v>
      </c>
      <c r="C188" t="s">
        <v>626</v>
      </c>
      <c r="D188" t="s">
        <v>627</v>
      </c>
      <c r="E188" t="s">
        <v>628</v>
      </c>
      <c r="F188" t="s">
        <v>629</v>
      </c>
    </row>
    <row r="189" spans="1:6" x14ac:dyDescent="0.25">
      <c r="A189">
        <v>2020</v>
      </c>
      <c r="B189">
        <v>4</v>
      </c>
      <c r="C189" t="s">
        <v>630</v>
      </c>
      <c r="D189" t="s">
        <v>631</v>
      </c>
      <c r="E189" t="s">
        <v>632</v>
      </c>
      <c r="F189" t="s">
        <v>633</v>
      </c>
    </row>
    <row r="190" spans="1:6" x14ac:dyDescent="0.25">
      <c r="A190">
        <v>2021</v>
      </c>
      <c r="B190">
        <v>1</v>
      </c>
      <c r="C190" t="s">
        <v>634</v>
      </c>
      <c r="D190" t="s">
        <v>635</v>
      </c>
      <c r="E190" t="s">
        <v>636</v>
      </c>
      <c r="F190" t="s">
        <v>637</v>
      </c>
    </row>
    <row r="191" spans="1:6" x14ac:dyDescent="0.25">
      <c r="A191">
        <v>2021</v>
      </c>
      <c r="B191">
        <v>2</v>
      </c>
      <c r="C191" t="s">
        <v>638</v>
      </c>
      <c r="D191" t="s">
        <v>639</v>
      </c>
      <c r="E191" t="s">
        <v>640</v>
      </c>
      <c r="F191" t="s">
        <v>641</v>
      </c>
    </row>
    <row r="192" spans="1:6" x14ac:dyDescent="0.25">
      <c r="A192">
        <v>2021</v>
      </c>
      <c r="B192">
        <v>3</v>
      </c>
      <c r="C192" t="s">
        <v>642</v>
      </c>
      <c r="D192" t="s">
        <v>643</v>
      </c>
      <c r="E192" t="s">
        <v>644</v>
      </c>
      <c r="F192" t="s">
        <v>645</v>
      </c>
    </row>
    <row r="193" spans="1:6" x14ac:dyDescent="0.25">
      <c r="A193">
        <v>2021</v>
      </c>
      <c r="B193">
        <v>4</v>
      </c>
      <c r="C193" t="s">
        <v>646</v>
      </c>
      <c r="D193" t="s">
        <v>647</v>
      </c>
      <c r="E193" t="s">
        <v>648</v>
      </c>
      <c r="F193" t="s">
        <v>649</v>
      </c>
    </row>
    <row r="194" spans="1:6" x14ac:dyDescent="0.25">
      <c r="A194">
        <v>2022</v>
      </c>
      <c r="B194">
        <v>1</v>
      </c>
      <c r="C194" t="s">
        <v>650</v>
      </c>
      <c r="D194" t="s">
        <v>651</v>
      </c>
      <c r="E194" t="s">
        <v>652</v>
      </c>
      <c r="F194" t="s">
        <v>653</v>
      </c>
    </row>
    <row r="195" spans="1:6" x14ac:dyDescent="0.25">
      <c r="A195">
        <v>2022</v>
      </c>
      <c r="B195">
        <v>2</v>
      </c>
      <c r="C195" t="s">
        <v>654</v>
      </c>
      <c r="D195" t="s">
        <v>655</v>
      </c>
      <c r="E195" t="s">
        <v>656</v>
      </c>
      <c r="F195" t="s">
        <v>657</v>
      </c>
    </row>
    <row r="196" spans="1:6" x14ac:dyDescent="0.25">
      <c r="A196">
        <v>2022</v>
      </c>
      <c r="B196">
        <v>3</v>
      </c>
      <c r="C196" t="s">
        <v>658</v>
      </c>
      <c r="D196" t="s">
        <v>659</v>
      </c>
      <c r="E196" t="s">
        <v>660</v>
      </c>
      <c r="F196" t="s">
        <v>661</v>
      </c>
    </row>
    <row r="197" spans="1:6" x14ac:dyDescent="0.25">
      <c r="A197">
        <v>2022</v>
      </c>
      <c r="B197">
        <v>4</v>
      </c>
      <c r="C197" t="s">
        <v>662</v>
      </c>
      <c r="D197" t="s">
        <v>663</v>
      </c>
      <c r="E197" t="s">
        <v>664</v>
      </c>
      <c r="F197" t="s">
        <v>665</v>
      </c>
    </row>
    <row r="198" spans="1:6" x14ac:dyDescent="0.25">
      <c r="A198">
        <v>2023</v>
      </c>
      <c r="B198">
        <v>1</v>
      </c>
      <c r="C198" t="s">
        <v>666</v>
      </c>
      <c r="D198" t="s">
        <v>667</v>
      </c>
      <c r="E198" t="s">
        <v>668</v>
      </c>
      <c r="F198" t="s">
        <v>669</v>
      </c>
    </row>
    <row r="199" spans="1:6" x14ac:dyDescent="0.25">
      <c r="A199">
        <v>2023</v>
      </c>
      <c r="B199">
        <v>2</v>
      </c>
      <c r="C199" t="s">
        <v>670</v>
      </c>
      <c r="D199" t="s">
        <v>671</v>
      </c>
      <c r="E199" t="s">
        <v>672</v>
      </c>
      <c r="F199" t="s">
        <v>673</v>
      </c>
    </row>
    <row r="200" spans="1:6" x14ac:dyDescent="0.25">
      <c r="A200">
        <v>2023</v>
      </c>
      <c r="B200">
        <v>3</v>
      </c>
      <c r="C200" t="s">
        <v>674</v>
      </c>
      <c r="D200" t="s">
        <v>675</v>
      </c>
      <c r="E200" t="s">
        <v>676</v>
      </c>
      <c r="F200" t="s">
        <v>677</v>
      </c>
    </row>
    <row r="201" spans="1:6" x14ac:dyDescent="0.25">
      <c r="A201">
        <v>2023</v>
      </c>
      <c r="B201">
        <v>4</v>
      </c>
      <c r="C201" t="s">
        <v>678</v>
      </c>
      <c r="D201" t="s">
        <v>679</v>
      </c>
      <c r="E201" t="s">
        <v>680</v>
      </c>
      <c r="F201" t="s">
        <v>681</v>
      </c>
    </row>
    <row r="202" spans="1:6" x14ac:dyDescent="0.25">
      <c r="A202">
        <v>2024</v>
      </c>
      <c r="B202">
        <v>1</v>
      </c>
      <c r="C202" t="s">
        <v>682</v>
      </c>
      <c r="D202" t="s">
        <v>683</v>
      </c>
      <c r="E202" t="s">
        <v>684</v>
      </c>
      <c r="F202" t="s">
        <v>685</v>
      </c>
    </row>
    <row r="203" spans="1:6" x14ac:dyDescent="0.25">
      <c r="A203">
        <v>2024</v>
      </c>
      <c r="B203">
        <v>2</v>
      </c>
      <c r="C203" t="s">
        <v>686</v>
      </c>
      <c r="D203" t="s">
        <v>687</v>
      </c>
      <c r="E203" t="s">
        <v>688</v>
      </c>
      <c r="F203" t="s">
        <v>689</v>
      </c>
    </row>
    <row r="204" spans="1:6" x14ac:dyDescent="0.25">
      <c r="A204">
        <v>2024</v>
      </c>
      <c r="B204">
        <v>3</v>
      </c>
      <c r="C204" t="s">
        <v>690</v>
      </c>
      <c r="D204" t="s">
        <v>691</v>
      </c>
      <c r="E204" t="s">
        <v>692</v>
      </c>
      <c r="F204" t="s">
        <v>693</v>
      </c>
    </row>
    <row r="205" spans="1:6" x14ac:dyDescent="0.25">
      <c r="A205">
        <v>2024</v>
      </c>
      <c r="B205">
        <v>4</v>
      </c>
      <c r="C205" t="s">
        <v>694</v>
      </c>
      <c r="D205" t="s">
        <v>695</v>
      </c>
      <c r="E205" t="s">
        <v>696</v>
      </c>
      <c r="F205" t="s">
        <v>697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9E34-EF58-4CCB-B731-A282EDFA2550}">
  <sheetPr codeName="Sheet1"/>
  <dimension ref="A1:S207"/>
  <sheetViews>
    <sheetView workbookViewId="0">
      <selection activeCell="M22" sqref="M22"/>
    </sheetView>
  </sheetViews>
  <sheetFormatPr defaultRowHeight="15" x14ac:dyDescent="0.25"/>
  <sheetData>
    <row r="1" spans="1:19" x14ac:dyDescent="0.25">
      <c r="A1" t="s">
        <v>698</v>
      </c>
      <c r="H1" t="s">
        <v>699</v>
      </c>
      <c r="P1" t="s">
        <v>700</v>
      </c>
    </row>
    <row r="2" spans="1:19" x14ac:dyDescent="0.25">
      <c r="A2" s="1" t="s">
        <v>0</v>
      </c>
      <c r="B2" s="1" t="s">
        <v>5</v>
      </c>
      <c r="C2">
        <v>0</v>
      </c>
      <c r="D2">
        <v>1</v>
      </c>
      <c r="E2">
        <v>2</v>
      </c>
      <c r="F2">
        <v>3</v>
      </c>
      <c r="H2">
        <v>0</v>
      </c>
      <c r="I2">
        <v>1</v>
      </c>
      <c r="J2">
        <v>2</v>
      </c>
      <c r="K2">
        <v>3</v>
      </c>
    </row>
    <row r="3" spans="1:19" x14ac:dyDescent="0.25">
      <c r="A3">
        <v>1974</v>
      </c>
      <c r="B3">
        <v>1</v>
      </c>
      <c r="C3">
        <f>'[1]11.2.2-catch'!C2/'11.6.3 Num quart long'!C2</f>
        <v>0</v>
      </c>
      <c r="D3">
        <f>'[1]11.2.2-catch'!D2/'11.6.3 Num quart long'!D2</f>
        <v>0.13413862021277481</v>
      </c>
      <c r="E3">
        <f>'[1]11.2.2-catch'!E2/'11.6.3 Num quart long'!E2</f>
        <v>0.19250448728824912</v>
      </c>
      <c r="F3">
        <f>'[1]11.2.2-catch'!F2/'11.6.3 Num quart long'!F2</f>
        <v>0.86184102040927268</v>
      </c>
      <c r="H3">
        <f>IF(C3&lt;1,1-EXP(-C3),2)</f>
        <v>0</v>
      </c>
      <c r="I3">
        <f t="shared" ref="I3:K18" si="0">IF(D3&lt;1,1-EXP(-D3),2)</f>
        <v>0.12553116285502985</v>
      </c>
      <c r="J3">
        <f t="shared" si="0"/>
        <v>0.17510938332667259</v>
      </c>
      <c r="K3">
        <f t="shared" si="0"/>
        <v>0.57761625102860314</v>
      </c>
      <c r="P3">
        <f>IF($J3=0,"",H3/$J3)</f>
        <v>0</v>
      </c>
      <c r="Q3">
        <f t="shared" ref="Q3:S18" si="1">IF($J3=0,"",I3/$J3)</f>
        <v>0.71687285095880415</v>
      </c>
      <c r="R3">
        <f t="shared" si="1"/>
        <v>1</v>
      </c>
      <c r="S3">
        <f t="shared" si="1"/>
        <v>3.2986025080737114</v>
      </c>
    </row>
    <row r="4" spans="1:19" x14ac:dyDescent="0.25">
      <c r="A4">
        <v>1974</v>
      </c>
      <c r="B4">
        <v>2</v>
      </c>
      <c r="C4">
        <f>'[1]11.2.2-catch'!C3/'11.6.3 Num quart long'!C3</f>
        <v>7.5143115804754707E-3</v>
      </c>
      <c r="D4">
        <f>'[1]11.2.2-catch'!D3/'11.6.3 Num quart long'!D3</f>
        <v>0.19322665577573611</v>
      </c>
      <c r="E4">
        <f>'[1]11.2.2-catch'!E3/'11.6.3 Num quart long'!E3</f>
        <v>0.17401658622608124</v>
      </c>
      <c r="F4">
        <f>'[1]11.2.2-catch'!F3/'11.6.3 Num quart long'!F3</f>
        <v>0.18481701475378426</v>
      </c>
      <c r="H4">
        <f t="shared" ref="H4:K67" si="2">IF(C4&lt;1,1-EXP(-C4),2)</f>
        <v>7.4861497243472463E-3</v>
      </c>
      <c r="I4">
        <f t="shared" si="0"/>
        <v>0.17570487828593018</v>
      </c>
      <c r="J4">
        <f t="shared" si="0"/>
        <v>0.15971703958030503</v>
      </c>
      <c r="K4">
        <f t="shared" si="0"/>
        <v>0.16874362241083218</v>
      </c>
      <c r="P4">
        <f t="shared" ref="P4:S67" si="3">IF($J4=0,"",H4/$J4)</f>
        <v>4.6871327843409236E-2</v>
      </c>
      <c r="Q4">
        <f t="shared" si="1"/>
        <v>1.1001010208280659</v>
      </c>
      <c r="R4">
        <f t="shared" si="1"/>
        <v>1</v>
      </c>
      <c r="S4">
        <f t="shared" si="1"/>
        <v>1.0565160915469425</v>
      </c>
    </row>
    <row r="5" spans="1:19" x14ac:dyDescent="0.25">
      <c r="A5">
        <v>1974</v>
      </c>
      <c r="B5">
        <v>3</v>
      </c>
      <c r="C5">
        <f>'[1]11.2.2-catch'!C4/'11.6.3 Num quart long'!C4</f>
        <v>1.647207912989564E-2</v>
      </c>
      <c r="D5">
        <f>'[1]11.2.2-catch'!D4/'11.6.3 Num quart long'!D4</f>
        <v>0.29340907106860836</v>
      </c>
      <c r="E5">
        <f>'[1]11.2.2-catch'!E4/'11.6.3 Num quart long'!E4</f>
        <v>0.65449611035996313</v>
      </c>
      <c r="F5">
        <f>'[1]11.2.2-catch'!F4/'11.6.3 Num quart long'!F4</f>
        <v>0.33253411137109901</v>
      </c>
      <c r="H5">
        <f t="shared" si="2"/>
        <v>1.6337156270257225E-2</v>
      </c>
      <c r="I5">
        <f t="shared" si="0"/>
        <v>0.25428297296623814</v>
      </c>
      <c r="J5">
        <f t="shared" si="0"/>
        <v>0.48029612998352866</v>
      </c>
      <c r="K5">
        <f t="shared" si="0"/>
        <v>0.28289579296094813</v>
      </c>
      <c r="P5">
        <f t="shared" si="3"/>
        <v>3.4014757251567891E-2</v>
      </c>
      <c r="Q5">
        <f t="shared" si="1"/>
        <v>0.52942956874326375</v>
      </c>
      <c r="R5">
        <f t="shared" si="1"/>
        <v>1</v>
      </c>
      <c r="S5">
        <f t="shared" si="1"/>
        <v>0.58900285740517999</v>
      </c>
    </row>
    <row r="6" spans="1:19" x14ac:dyDescent="0.25">
      <c r="A6">
        <v>1974</v>
      </c>
      <c r="B6">
        <v>4</v>
      </c>
      <c r="C6">
        <f>'[1]11.2.2-catch'!C5/'11.6.3 Num quart long'!C5</f>
        <v>9.8722018814575603E-3</v>
      </c>
      <c r="D6">
        <f>'[1]11.2.2-catch'!D5/'11.6.3 Num quart long'!D5</f>
        <v>9.2173231641072315E-2</v>
      </c>
      <c r="E6">
        <f>'[1]11.2.2-catch'!E5/'11.6.3 Num quart long'!E5</f>
        <v>0.25827951266523785</v>
      </c>
      <c r="F6">
        <f>'[1]11.2.2-catch'!F5/'11.6.3 Num quart long'!F5</f>
        <v>0.25556494301429383</v>
      </c>
      <c r="H6">
        <f t="shared" si="2"/>
        <v>9.8236316595463613E-3</v>
      </c>
      <c r="I6">
        <f t="shared" si="0"/>
        <v>8.8052842241812423E-2</v>
      </c>
      <c r="J6">
        <f t="shared" si="0"/>
        <v>0.22762068786795864</v>
      </c>
      <c r="K6">
        <f t="shared" si="0"/>
        <v>0.22552116206297634</v>
      </c>
      <c r="P6">
        <f t="shared" si="3"/>
        <v>4.3157903403072878E-2</v>
      </c>
      <c r="Q6">
        <f t="shared" si="1"/>
        <v>0.38684024315439786</v>
      </c>
      <c r="R6">
        <f t="shared" si="1"/>
        <v>1</v>
      </c>
      <c r="S6">
        <f t="shared" si="1"/>
        <v>0.99077620832865498</v>
      </c>
    </row>
    <row r="7" spans="1:19" x14ac:dyDescent="0.25">
      <c r="A7">
        <v>1975</v>
      </c>
      <c r="B7">
        <v>1</v>
      </c>
      <c r="C7">
        <f>'[1]11.2.2-catch'!C6/'11.6.3 Num quart long'!C6</f>
        <v>4.8647480201234941E-4</v>
      </c>
      <c r="D7">
        <f>'[1]11.2.2-catch'!D6/'11.6.3 Num quart long'!D6</f>
        <v>0.29525133655668917</v>
      </c>
      <c r="E7">
        <f>'[1]11.2.2-catch'!E6/'11.6.3 Num quart long'!E6</f>
        <v>0.55285431446955946</v>
      </c>
      <c r="F7">
        <f>'[1]11.2.2-catch'!F6/'11.6.3 Num quart long'!F6</f>
        <v>0.32949779137623603</v>
      </c>
      <c r="H7">
        <f t="shared" si="2"/>
        <v>4.8635649233153E-4</v>
      </c>
      <c r="I7">
        <f t="shared" si="0"/>
        <v>0.25565551702554634</v>
      </c>
      <c r="J7">
        <f t="shared" si="0"/>
        <v>0.42469463780890282</v>
      </c>
      <c r="K7">
        <f t="shared" si="0"/>
        <v>0.28071512619300076</v>
      </c>
      <c r="P7">
        <f t="shared" si="3"/>
        <v>1.1451910361777932E-3</v>
      </c>
      <c r="Q7">
        <f t="shared" si="1"/>
        <v>0.60197491153769178</v>
      </c>
      <c r="R7">
        <f t="shared" si="1"/>
        <v>1</v>
      </c>
      <c r="S7">
        <f t="shared" si="1"/>
        <v>0.66098109371306069</v>
      </c>
    </row>
    <row r="8" spans="1:19" x14ac:dyDescent="0.25">
      <c r="A8">
        <v>1975</v>
      </c>
      <c r="B8">
        <v>2</v>
      </c>
      <c r="C8">
        <f>'[1]11.2.2-catch'!C7/'11.6.3 Num quart long'!C7</f>
        <v>3.610683588010579E-3</v>
      </c>
      <c r="D8">
        <f>'[1]11.2.2-catch'!D7/'11.6.3 Num quart long'!D7</f>
        <v>0.38263089067227996</v>
      </c>
      <c r="E8">
        <f>'[1]11.2.2-catch'!E7/'11.6.3 Num quart long'!E7</f>
        <v>0.73654023756133746</v>
      </c>
      <c r="F8">
        <f>'[1]11.2.2-catch'!F7/'11.6.3 Num quart long'!F7</f>
        <v>0.58920958096523168</v>
      </c>
      <c r="H8">
        <f t="shared" si="2"/>
        <v>3.6041729083827745E-3</v>
      </c>
      <c r="I8">
        <f t="shared" si="0"/>
        <v>0.31793539076173527</v>
      </c>
      <c r="J8">
        <f t="shared" si="0"/>
        <v>0.52123252486277694</v>
      </c>
      <c r="K8">
        <f t="shared" si="0"/>
        <v>0.44523439122113406</v>
      </c>
      <c r="P8">
        <f t="shared" si="3"/>
        <v>6.9147122185662388E-3</v>
      </c>
      <c r="Q8">
        <f t="shared" si="1"/>
        <v>0.60996844133131756</v>
      </c>
      <c r="R8">
        <f t="shared" si="1"/>
        <v>1</v>
      </c>
      <c r="S8">
        <f t="shared" si="1"/>
        <v>0.85419533506346201</v>
      </c>
    </row>
    <row r="9" spans="1:19" x14ac:dyDescent="0.25">
      <c r="A9">
        <v>1975</v>
      </c>
      <c r="B9">
        <v>3</v>
      </c>
      <c r="C9">
        <f>'[1]11.2.2-catch'!C8/'11.6.3 Num quart long'!C8</f>
        <v>2.3480912883523556E-2</v>
      </c>
      <c r="D9">
        <f>'[1]11.2.2-catch'!D8/'11.6.3 Num quart long'!D8</f>
        <v>0.23928945911949687</v>
      </c>
      <c r="E9">
        <f>'[1]11.2.2-catch'!E8/'11.6.3 Num quart long'!E8</f>
        <v>1.5725205580971111</v>
      </c>
      <c r="F9">
        <f>'[1]11.2.2-catch'!F8/'11.6.3 Num quart long'!F8</f>
        <v>1.0671546734170685</v>
      </c>
      <c r="H9">
        <f t="shared" si="2"/>
        <v>2.3207381354601209E-2</v>
      </c>
      <c r="I9">
        <f t="shared" si="0"/>
        <v>0.21281300906162426</v>
      </c>
      <c r="J9">
        <f t="shared" si="0"/>
        <v>2</v>
      </c>
      <c r="K9">
        <f t="shared" si="0"/>
        <v>2</v>
      </c>
      <c r="P9">
        <f t="shared" si="3"/>
        <v>1.1603690677300604E-2</v>
      </c>
      <c r="Q9">
        <f t="shared" si="1"/>
        <v>0.10640650453081213</v>
      </c>
      <c r="R9">
        <f t="shared" si="1"/>
        <v>1</v>
      </c>
      <c r="S9">
        <f t="shared" si="1"/>
        <v>1</v>
      </c>
    </row>
    <row r="10" spans="1:19" x14ac:dyDescent="0.25">
      <c r="A10">
        <v>1975</v>
      </c>
      <c r="B10">
        <v>4</v>
      </c>
      <c r="C10">
        <f>'[1]11.2.2-catch'!C9/'11.6.3 Num quart long'!C9</f>
        <v>0</v>
      </c>
      <c r="D10">
        <f>'[1]11.2.2-catch'!D9/'11.6.3 Num quart long'!D9</f>
        <v>0</v>
      </c>
      <c r="E10">
        <f>'[1]11.2.2-catch'!E9/'11.6.3 Num quart long'!E9</f>
        <v>0</v>
      </c>
      <c r="F10">
        <f>'[1]11.2.2-catch'!F9/'11.6.3 Num quart long'!F9</f>
        <v>0</v>
      </c>
      <c r="H10">
        <f t="shared" si="2"/>
        <v>0</v>
      </c>
      <c r="I10">
        <f t="shared" si="0"/>
        <v>0</v>
      </c>
      <c r="J10">
        <f t="shared" si="0"/>
        <v>0</v>
      </c>
      <c r="K10">
        <f t="shared" si="0"/>
        <v>0</v>
      </c>
      <c r="P10" t="str">
        <f t="shared" si="3"/>
        <v/>
      </c>
      <c r="Q10" t="str">
        <f t="shared" si="1"/>
        <v/>
      </c>
      <c r="R10" t="str">
        <f t="shared" si="1"/>
        <v/>
      </c>
      <c r="S10" t="str">
        <f t="shared" si="1"/>
        <v/>
      </c>
    </row>
    <row r="11" spans="1:19" x14ac:dyDescent="0.25">
      <c r="A11">
        <v>1976</v>
      </c>
      <c r="B11">
        <v>1</v>
      </c>
      <c r="C11">
        <f>'[1]11.2.2-catch'!C10/'11.6.3 Num quart long'!C10</f>
        <v>9.2458294327510855E-3</v>
      </c>
      <c r="D11">
        <f>'[1]11.2.2-catch'!D10/'11.6.3 Num quart long'!D10</f>
        <v>0.35914395595980564</v>
      </c>
      <c r="E11">
        <f>'[1]11.2.2-catch'!E10/'11.6.3 Num quart long'!E10</f>
        <v>0.30821602681129345</v>
      </c>
      <c r="F11">
        <f>'[1]11.2.2-catch'!F10/'11.6.3 Num quart long'!F10</f>
        <v>0.29460723486439921</v>
      </c>
      <c r="H11">
        <f t="shared" si="2"/>
        <v>9.2032181783865408E-3</v>
      </c>
      <c r="I11">
        <f t="shared" si="0"/>
        <v>0.30172617656250911</v>
      </c>
      <c r="J11">
        <f t="shared" si="0"/>
        <v>0.26524342625652542</v>
      </c>
      <c r="K11">
        <f t="shared" si="0"/>
        <v>0.25517592904928277</v>
      </c>
      <c r="P11">
        <f t="shared" si="3"/>
        <v>3.469725266437259E-2</v>
      </c>
      <c r="Q11">
        <f t="shared" si="1"/>
        <v>1.1375444090014886</v>
      </c>
      <c r="R11">
        <f t="shared" si="1"/>
        <v>1</v>
      </c>
      <c r="S11">
        <f t="shared" si="1"/>
        <v>0.96204431020467196</v>
      </c>
    </row>
    <row r="12" spans="1:19" x14ac:dyDescent="0.25">
      <c r="A12">
        <v>1976</v>
      </c>
      <c r="B12">
        <v>2</v>
      </c>
      <c r="C12">
        <f>'[1]11.2.2-catch'!C11/'11.6.3 Num quart long'!C11</f>
        <v>4.9265003675180281E-2</v>
      </c>
      <c r="D12">
        <f>'[1]11.2.2-catch'!D11/'11.6.3 Num quart long'!D11</f>
        <v>0.38969599415125727</v>
      </c>
      <c r="E12">
        <f>'[1]11.2.2-catch'!E11/'11.6.3 Num quart long'!E11</f>
        <v>0.52351696496665423</v>
      </c>
      <c r="F12">
        <f>'[1]11.2.2-catch'!F11/'11.6.3 Num quart long'!F11</f>
        <v>0.40248566834134331</v>
      </c>
      <c r="H12">
        <f t="shared" si="2"/>
        <v>4.8071168368868489E-2</v>
      </c>
      <c r="I12">
        <f t="shared" si="0"/>
        <v>0.32273726496223787</v>
      </c>
      <c r="J12">
        <f t="shared" si="0"/>
        <v>0.40756668745062197</v>
      </c>
      <c r="K12">
        <f t="shared" si="0"/>
        <v>0.33134407819407996</v>
      </c>
      <c r="P12">
        <f t="shared" si="3"/>
        <v>0.11794675533851738</v>
      </c>
      <c r="Q12">
        <f t="shared" si="1"/>
        <v>0.79186369960949898</v>
      </c>
      <c r="R12">
        <f t="shared" si="1"/>
        <v>1</v>
      </c>
      <c r="S12">
        <f t="shared" si="1"/>
        <v>0.81298125778305519</v>
      </c>
    </row>
    <row r="13" spans="1:19" x14ac:dyDescent="0.25">
      <c r="A13">
        <v>1976</v>
      </c>
      <c r="B13">
        <v>3</v>
      </c>
      <c r="C13">
        <f>'[1]11.2.2-catch'!C12/'11.6.3 Num quart long'!C12</f>
        <v>7.5318406695477028E-2</v>
      </c>
      <c r="D13">
        <f>'[1]11.2.2-catch'!D12/'11.6.3 Num quart long'!D12</f>
        <v>0.28240437470435675</v>
      </c>
      <c r="E13">
        <f>'[1]11.2.2-catch'!E12/'11.6.3 Num quart long'!E12</f>
        <v>0.39032322516381479</v>
      </c>
      <c r="F13">
        <f>'[1]11.2.2-catch'!F12/'11.6.3 Num quart long'!F12</f>
        <v>0.18269781794137094</v>
      </c>
      <c r="H13">
        <f t="shared" si="2"/>
        <v>7.2551866385543118E-2</v>
      </c>
      <c r="I13">
        <f t="shared" si="0"/>
        <v>0.2460312630044077</v>
      </c>
      <c r="J13">
        <f t="shared" si="0"/>
        <v>0.32316193195722576</v>
      </c>
      <c r="K13">
        <f t="shared" si="0"/>
        <v>0.16698015864172333</v>
      </c>
      <c r="P13">
        <f t="shared" si="3"/>
        <v>0.22450622802671635</v>
      </c>
      <c r="Q13">
        <f t="shared" si="1"/>
        <v>0.76132501595816926</v>
      </c>
      <c r="R13">
        <f t="shared" si="1"/>
        <v>1</v>
      </c>
      <c r="S13">
        <f t="shared" si="1"/>
        <v>0.51670739072021976</v>
      </c>
    </row>
    <row r="14" spans="1:19" x14ac:dyDescent="0.25">
      <c r="A14">
        <v>1976</v>
      </c>
      <c r="B14">
        <v>4</v>
      </c>
      <c r="C14">
        <f>'[1]11.2.2-catch'!C13/'11.6.3 Num quart long'!C13</f>
        <v>0</v>
      </c>
      <c r="D14">
        <f>'[1]11.2.2-catch'!D13/'11.6.3 Num quart long'!D13</f>
        <v>0</v>
      </c>
      <c r="E14">
        <f>'[1]11.2.2-catch'!E13/'11.6.3 Num quart long'!E13</f>
        <v>0</v>
      </c>
      <c r="F14">
        <f>'[1]11.2.2-catch'!F13/'11.6.3 Num quart long'!F13</f>
        <v>0</v>
      </c>
      <c r="H14">
        <f t="shared" si="2"/>
        <v>0</v>
      </c>
      <c r="I14">
        <f t="shared" si="0"/>
        <v>0</v>
      </c>
      <c r="J14">
        <f t="shared" si="0"/>
        <v>0</v>
      </c>
      <c r="K14">
        <f t="shared" si="0"/>
        <v>0</v>
      </c>
      <c r="P14" t="str">
        <f t="shared" si="3"/>
        <v/>
      </c>
      <c r="Q14" t="str">
        <f t="shared" si="1"/>
        <v/>
      </c>
      <c r="R14" t="str">
        <f t="shared" si="1"/>
        <v/>
      </c>
      <c r="S14" t="str">
        <f t="shared" si="1"/>
        <v/>
      </c>
    </row>
    <row r="15" spans="1:19" x14ac:dyDescent="0.25">
      <c r="A15">
        <v>1977</v>
      </c>
      <c r="B15">
        <v>1</v>
      </c>
      <c r="C15">
        <f>'[1]11.2.2-catch'!C14/'11.6.3 Num quart long'!C14</f>
        <v>7.0824772666241926E-3</v>
      </c>
      <c r="D15">
        <f>'[1]11.2.2-catch'!D14/'11.6.3 Num quart long'!D14</f>
        <v>0.2437338040492498</v>
      </c>
      <c r="E15">
        <f>'[1]11.2.2-catch'!E14/'11.6.3 Num quart long'!E14</f>
        <v>0.46137731162020423</v>
      </c>
      <c r="F15">
        <f>'[1]11.2.2-catch'!F14/'11.6.3 Num quart long'!F14</f>
        <v>0.37163423267787882</v>
      </c>
      <c r="H15">
        <f t="shared" si="2"/>
        <v>7.0574556310777359E-3</v>
      </c>
      <c r="I15">
        <f t="shared" si="0"/>
        <v>0.21630377673989232</v>
      </c>
      <c r="J15">
        <f t="shared" si="0"/>
        <v>0.36958523029994905</v>
      </c>
      <c r="K15">
        <f t="shared" si="0"/>
        <v>0.31039356810199226</v>
      </c>
      <c r="P15">
        <f t="shared" si="3"/>
        <v>1.9095610572289444E-2</v>
      </c>
      <c r="Q15">
        <f t="shared" si="1"/>
        <v>0.58526087897057977</v>
      </c>
      <c r="R15">
        <f t="shared" si="1"/>
        <v>1</v>
      </c>
      <c r="S15">
        <f t="shared" si="1"/>
        <v>0.83984299873152979</v>
      </c>
    </row>
    <row r="16" spans="1:19" x14ac:dyDescent="0.25">
      <c r="A16">
        <v>1977</v>
      </c>
      <c r="B16">
        <v>2</v>
      </c>
      <c r="C16">
        <f>'[1]11.2.2-catch'!C15/'11.6.3 Num quart long'!C15</f>
        <v>9.6242906135667536E-3</v>
      </c>
      <c r="D16">
        <f>'[1]11.2.2-catch'!D15/'11.6.3 Num quart long'!D15</f>
        <v>0.20992274373175596</v>
      </c>
      <c r="E16">
        <f>'[1]11.2.2-catch'!E15/'11.6.3 Num quart long'!E15</f>
        <v>0.89868707742212839</v>
      </c>
      <c r="F16">
        <f>'[1]11.2.2-catch'!F15/'11.6.3 Num quart long'!F15</f>
        <v>0.58289916726229951</v>
      </c>
      <c r="H16">
        <f t="shared" si="2"/>
        <v>9.5781253500027974E-3</v>
      </c>
      <c r="I16">
        <f t="shared" si="0"/>
        <v>0.189353128896811</v>
      </c>
      <c r="J16">
        <f t="shared" si="0"/>
        <v>0.59289619520482728</v>
      </c>
      <c r="K16">
        <f t="shared" si="0"/>
        <v>0.44172252170074078</v>
      </c>
      <c r="P16">
        <f t="shared" si="3"/>
        <v>1.6154809943912444E-2</v>
      </c>
      <c r="Q16">
        <f t="shared" si="1"/>
        <v>0.31936978248172998</v>
      </c>
      <c r="R16">
        <f t="shared" si="1"/>
        <v>1</v>
      </c>
      <c r="S16">
        <f t="shared" si="1"/>
        <v>0.74502505712343003</v>
      </c>
    </row>
    <row r="17" spans="1:19" x14ac:dyDescent="0.25">
      <c r="A17">
        <v>1977</v>
      </c>
      <c r="B17">
        <v>3</v>
      </c>
      <c r="C17">
        <f>'[1]11.2.2-catch'!C16/'11.6.3 Num quart long'!C16</f>
        <v>8.9984207420185897E-2</v>
      </c>
      <c r="D17">
        <f>'[1]11.2.2-catch'!D16/'11.6.3 Num quart long'!D16</f>
        <v>0.15152746611430309</v>
      </c>
      <c r="E17">
        <f>'[1]11.2.2-catch'!E16/'11.6.3 Num quart long'!E16</f>
        <v>2.2531605915263695</v>
      </c>
      <c r="F17">
        <f>'[1]11.2.2-catch'!F16/'11.6.3 Num quart long'!F16</f>
        <v>1.4662274752954854</v>
      </c>
      <c r="H17">
        <f t="shared" si="2"/>
        <v>8.6054381283613424E-2</v>
      </c>
      <c r="I17">
        <f t="shared" si="0"/>
        <v>0.14060572227269763</v>
      </c>
      <c r="J17">
        <f t="shared" si="0"/>
        <v>2</v>
      </c>
      <c r="K17">
        <f t="shared" si="0"/>
        <v>2</v>
      </c>
      <c r="P17">
        <f t="shared" si="3"/>
        <v>4.3027190641806712E-2</v>
      </c>
      <c r="Q17">
        <f t="shared" si="1"/>
        <v>7.0302861136348815E-2</v>
      </c>
      <c r="R17">
        <f t="shared" si="1"/>
        <v>1</v>
      </c>
      <c r="S17">
        <f t="shared" si="1"/>
        <v>1</v>
      </c>
    </row>
    <row r="18" spans="1:19" x14ac:dyDescent="0.25">
      <c r="A18">
        <v>1977</v>
      </c>
      <c r="B18">
        <v>4</v>
      </c>
      <c r="C18">
        <f>'[1]11.2.2-catch'!C17/'11.6.3 Num quart long'!C17</f>
        <v>0</v>
      </c>
      <c r="D18">
        <f>'[1]11.2.2-catch'!D17/'11.6.3 Num quart long'!D17</f>
        <v>0</v>
      </c>
      <c r="E18">
        <f>'[1]11.2.2-catch'!E17/'11.6.3 Num quart long'!E17</f>
        <v>0</v>
      </c>
      <c r="F18">
        <f>'[1]11.2.2-catch'!F17/'11.6.3 Num quart long'!F17</f>
        <v>0</v>
      </c>
      <c r="H18">
        <f t="shared" si="2"/>
        <v>0</v>
      </c>
      <c r="I18">
        <f t="shared" si="0"/>
        <v>0</v>
      </c>
      <c r="J18">
        <f t="shared" si="0"/>
        <v>0</v>
      </c>
      <c r="K18">
        <f t="shared" si="0"/>
        <v>0</v>
      </c>
      <c r="P18" t="str">
        <f t="shared" si="3"/>
        <v/>
      </c>
      <c r="Q18" t="str">
        <f t="shared" si="1"/>
        <v/>
      </c>
      <c r="R18" t="str">
        <f t="shared" si="1"/>
        <v/>
      </c>
      <c r="S18" t="str">
        <f t="shared" si="1"/>
        <v/>
      </c>
    </row>
    <row r="19" spans="1:19" x14ac:dyDescent="0.25">
      <c r="A19">
        <v>1978</v>
      </c>
      <c r="B19">
        <v>1</v>
      </c>
      <c r="C19">
        <f>'[1]11.2.2-catch'!C18/'11.6.3 Num quart long'!C18</f>
        <v>7.2488777640846195E-4</v>
      </c>
      <c r="D19">
        <f>'[1]11.2.2-catch'!D18/'11.6.3 Num quart long'!D18</f>
        <v>0.35394913438718661</v>
      </c>
      <c r="E19">
        <f>'[1]11.2.2-catch'!E18/'11.6.3 Num quart long'!E18</f>
        <v>7.7571029609507264E-2</v>
      </c>
      <c r="F19">
        <f>'[1]11.2.2-catch'!F18/'11.6.3 Num quart long'!F18</f>
        <v>0.23706101859909437</v>
      </c>
      <c r="H19">
        <f t="shared" si="2"/>
        <v>7.246251087362765E-4</v>
      </c>
      <c r="I19">
        <f t="shared" si="2"/>
        <v>0.29808933043627339</v>
      </c>
      <c r="J19">
        <f t="shared" si="2"/>
        <v>7.4638705989104048E-2</v>
      </c>
      <c r="K19">
        <f t="shared" si="2"/>
        <v>0.21105685365669913</v>
      </c>
      <c r="P19">
        <f t="shared" si="3"/>
        <v>9.7084361141263516E-3</v>
      </c>
      <c r="Q19">
        <f t="shared" si="3"/>
        <v>3.9937633763343814</v>
      </c>
      <c r="R19">
        <f t="shared" si="3"/>
        <v>1</v>
      </c>
      <c r="S19">
        <f t="shared" si="3"/>
        <v>2.8277131933062956</v>
      </c>
    </row>
    <row r="20" spans="1:19" x14ac:dyDescent="0.25">
      <c r="A20">
        <v>1978</v>
      </c>
      <c r="B20">
        <v>2</v>
      </c>
      <c r="C20">
        <f>'[1]11.2.2-catch'!C19/'11.6.3 Num quart long'!C19</f>
        <v>1.2193788701828516E-2</v>
      </c>
      <c r="D20">
        <f>'[1]11.2.2-catch'!D19/'11.6.3 Num quart long'!D19</f>
        <v>0.21638529872552978</v>
      </c>
      <c r="E20">
        <f>'[1]11.2.2-catch'!E19/'11.6.3 Num quart long'!E19</f>
        <v>0.47424809745425461</v>
      </c>
      <c r="F20">
        <f>'[1]11.2.2-catch'!F19/'11.6.3 Num quart long'!F19</f>
        <v>0.58491975178691369</v>
      </c>
      <c r="H20">
        <f t="shared" si="2"/>
        <v>1.211974572076413E-2</v>
      </c>
      <c r="I20">
        <f t="shared" si="2"/>
        <v>0.19457508711136651</v>
      </c>
      <c r="J20">
        <f t="shared" si="2"/>
        <v>0.37764717074012344</v>
      </c>
      <c r="K20">
        <f t="shared" si="2"/>
        <v>0.44284942964404939</v>
      </c>
      <c r="P20">
        <f t="shared" si="3"/>
        <v>3.2092775108076448E-2</v>
      </c>
      <c r="Q20">
        <f t="shared" si="3"/>
        <v>0.5152298287579723</v>
      </c>
      <c r="R20">
        <f t="shared" si="3"/>
        <v>1</v>
      </c>
      <c r="S20">
        <f t="shared" si="3"/>
        <v>1.17265390543279</v>
      </c>
    </row>
    <row r="21" spans="1:19" x14ac:dyDescent="0.25">
      <c r="A21">
        <v>1978</v>
      </c>
      <c r="B21">
        <v>3</v>
      </c>
      <c r="C21">
        <f>'[1]11.2.2-catch'!C20/'11.6.3 Num quart long'!C20</f>
        <v>1.9429687179373854E-2</v>
      </c>
      <c r="D21">
        <f>'[1]11.2.2-catch'!D20/'11.6.3 Num quart long'!D20</f>
        <v>0.17138296772592884</v>
      </c>
      <c r="E21">
        <f>'[1]11.2.2-catch'!E20/'11.6.3 Num quart long'!E20</f>
        <v>1.2321434470001431</v>
      </c>
      <c r="F21">
        <f>'[1]11.2.2-catch'!F20/'11.6.3 Num quart long'!F20</f>
        <v>0.4398431072981549</v>
      </c>
      <c r="H21">
        <f t="shared" si="2"/>
        <v>1.9242147384689212E-2</v>
      </c>
      <c r="I21">
        <f t="shared" si="2"/>
        <v>0.15750113819171618</v>
      </c>
      <c r="J21">
        <f t="shared" si="2"/>
        <v>2</v>
      </c>
      <c r="K21">
        <f t="shared" si="2"/>
        <v>0.35586252637567239</v>
      </c>
      <c r="P21">
        <f t="shared" si="3"/>
        <v>9.6210736923446061E-3</v>
      </c>
      <c r="Q21">
        <f t="shared" si="3"/>
        <v>7.8750569095858092E-2</v>
      </c>
      <c r="R21">
        <f t="shared" si="3"/>
        <v>1</v>
      </c>
      <c r="S21">
        <f t="shared" si="3"/>
        <v>0.1779312631878362</v>
      </c>
    </row>
    <row r="22" spans="1:19" x14ac:dyDescent="0.25">
      <c r="A22">
        <v>1978</v>
      </c>
      <c r="B22">
        <v>4</v>
      </c>
      <c r="C22">
        <f>'[1]11.2.2-catch'!C21/'11.6.3 Num quart long'!C21</f>
        <v>0</v>
      </c>
      <c r="D22">
        <f>'[1]11.2.2-catch'!D21/'11.6.3 Num quart long'!D21</f>
        <v>0</v>
      </c>
      <c r="E22">
        <f>'[1]11.2.2-catch'!E21/'11.6.3 Num quart long'!E21</f>
        <v>0</v>
      </c>
      <c r="F22">
        <f>'[1]11.2.2-catch'!F21/'11.6.3 Num quart long'!F21</f>
        <v>0</v>
      </c>
      <c r="H22">
        <f t="shared" si="2"/>
        <v>0</v>
      </c>
      <c r="I22">
        <f t="shared" si="2"/>
        <v>0</v>
      </c>
      <c r="J22">
        <f t="shared" si="2"/>
        <v>0</v>
      </c>
      <c r="K22">
        <f t="shared" si="2"/>
        <v>0</v>
      </c>
      <c r="P22" t="str">
        <f t="shared" si="3"/>
        <v/>
      </c>
      <c r="Q22" t="str">
        <f t="shared" si="3"/>
        <v/>
      </c>
      <c r="R22" t="str">
        <f t="shared" si="3"/>
        <v/>
      </c>
      <c r="S22" t="str">
        <f t="shared" si="3"/>
        <v/>
      </c>
    </row>
    <row r="23" spans="1:19" x14ac:dyDescent="0.25">
      <c r="A23">
        <v>1979</v>
      </c>
      <c r="B23">
        <v>1</v>
      </c>
      <c r="C23">
        <f>'[1]11.2.2-catch'!C22/'11.6.3 Num quart long'!C22</f>
        <v>1.0170828041042603E-2</v>
      </c>
      <c r="D23">
        <f>'[1]11.2.2-catch'!D22/'11.6.3 Num quart long'!D22</f>
        <v>0.21422851863258394</v>
      </c>
      <c r="E23">
        <f>'[1]11.2.2-catch'!E22/'11.6.3 Num quart long'!E22</f>
        <v>4.3832358966331593E-2</v>
      </c>
      <c r="F23">
        <f>'[1]11.2.2-catch'!F22/'11.6.3 Num quart long'!F22</f>
        <v>0.25201480174695035</v>
      </c>
      <c r="H23">
        <f t="shared" si="2"/>
        <v>1.011928007936258E-2</v>
      </c>
      <c r="I23">
        <f t="shared" si="2"/>
        <v>0.19283608804771313</v>
      </c>
      <c r="J23">
        <f t="shared" si="2"/>
        <v>4.2885604328712468E-2</v>
      </c>
      <c r="K23">
        <f t="shared" si="2"/>
        <v>0.2227667664258417</v>
      </c>
      <c r="P23">
        <f t="shared" si="3"/>
        <v>0.23595983402261611</v>
      </c>
      <c r="Q23">
        <f t="shared" si="3"/>
        <v>4.4965225759592915</v>
      </c>
      <c r="R23">
        <f t="shared" si="3"/>
        <v>1</v>
      </c>
      <c r="S23">
        <f t="shared" si="3"/>
        <v>5.1944415827363422</v>
      </c>
    </row>
    <row r="24" spans="1:19" x14ac:dyDescent="0.25">
      <c r="A24">
        <v>1979</v>
      </c>
      <c r="B24">
        <v>2</v>
      </c>
      <c r="C24">
        <f>'[1]11.2.2-catch'!C23/'11.6.3 Num quart long'!C23</f>
        <v>4.2317894635306979E-3</v>
      </c>
      <c r="D24">
        <f>'[1]11.2.2-catch'!D23/'11.6.3 Num quart long'!D23</f>
        <v>0.11512670990189448</v>
      </c>
      <c r="E24">
        <f>'[1]11.2.2-catch'!E23/'11.6.3 Num quart long'!E23</f>
        <v>0.27242016981160733</v>
      </c>
      <c r="F24">
        <f>'[1]11.2.2-catch'!F23/'11.6.3 Num quart long'!F23</f>
        <v>0.24439200808136891</v>
      </c>
      <c r="H24">
        <f t="shared" si="2"/>
        <v>4.2228480596583351E-3</v>
      </c>
      <c r="I24">
        <f t="shared" si="2"/>
        <v>0.1087467938544977</v>
      </c>
      <c r="J24">
        <f t="shared" si="2"/>
        <v>0.23846577983104167</v>
      </c>
      <c r="K24">
        <f t="shared" si="2"/>
        <v>0.21681943902988265</v>
      </c>
      <c r="P24">
        <f t="shared" si="3"/>
        <v>1.7708402701009415E-2</v>
      </c>
      <c r="Q24">
        <f t="shared" si="3"/>
        <v>0.45602683090021234</v>
      </c>
      <c r="R24">
        <f t="shared" si="3"/>
        <v>1</v>
      </c>
      <c r="S24">
        <f t="shared" si="3"/>
        <v>0.90922663697702899</v>
      </c>
    </row>
    <row r="25" spans="1:19" x14ac:dyDescent="0.25">
      <c r="A25">
        <v>1979</v>
      </c>
      <c r="B25">
        <v>3</v>
      </c>
      <c r="C25">
        <f>'[1]11.2.2-catch'!C24/'11.6.3 Num quart long'!C24</f>
        <v>2.2705126630762122E-2</v>
      </c>
      <c r="D25">
        <f>'[1]11.2.2-catch'!D24/'11.6.3 Num quart long'!D24</f>
        <v>0.10206838416608449</v>
      </c>
      <c r="E25">
        <f>'[1]11.2.2-catch'!E24/'11.6.3 Num quart long'!E24</f>
        <v>8.9024817619787755E-2</v>
      </c>
      <c r="F25">
        <f>'[1]11.2.2-catch'!F24/'11.6.3 Num quart long'!F24</f>
        <v>0.21606237881650009</v>
      </c>
      <c r="H25">
        <f t="shared" si="2"/>
        <v>2.244930505469156E-2</v>
      </c>
      <c r="I25">
        <f t="shared" si="2"/>
        <v>9.703219914255079E-2</v>
      </c>
      <c r="J25">
        <f t="shared" si="2"/>
        <v>8.5177130433426562E-2</v>
      </c>
      <c r="K25">
        <f t="shared" si="2"/>
        <v>0.19431495737349103</v>
      </c>
      <c r="P25">
        <f t="shared" si="3"/>
        <v>0.26356024135184586</v>
      </c>
      <c r="Q25">
        <f t="shared" si="3"/>
        <v>1.1391813582918247</v>
      </c>
      <c r="R25">
        <f t="shared" si="3"/>
        <v>1</v>
      </c>
      <c r="S25">
        <f t="shared" si="3"/>
        <v>2.2813043405514266</v>
      </c>
    </row>
    <row r="26" spans="1:19" x14ac:dyDescent="0.25">
      <c r="A26">
        <v>1979</v>
      </c>
      <c r="B26">
        <v>4</v>
      </c>
      <c r="C26">
        <f>'[1]11.2.2-catch'!C25/'11.6.3 Num quart long'!C25</f>
        <v>0</v>
      </c>
      <c r="D26">
        <f>'[1]11.2.2-catch'!D25/'11.6.3 Num quart long'!D25</f>
        <v>0</v>
      </c>
      <c r="E26">
        <f>'[1]11.2.2-catch'!E25/'11.6.3 Num quart long'!E25</f>
        <v>0</v>
      </c>
      <c r="F26">
        <f>'[1]11.2.2-catch'!F25/'11.6.3 Num quart long'!F25</f>
        <v>0</v>
      </c>
      <c r="H26">
        <f t="shared" si="2"/>
        <v>0</v>
      </c>
      <c r="I26">
        <f t="shared" si="2"/>
        <v>0</v>
      </c>
      <c r="J26">
        <f t="shared" si="2"/>
        <v>0</v>
      </c>
      <c r="K26">
        <f t="shared" si="2"/>
        <v>0</v>
      </c>
      <c r="P26" t="str">
        <f t="shared" si="3"/>
        <v/>
      </c>
      <c r="Q26" t="str">
        <f t="shared" si="3"/>
        <v/>
      </c>
      <c r="R26" t="str">
        <f t="shared" si="3"/>
        <v/>
      </c>
      <c r="S26" t="str">
        <f t="shared" si="3"/>
        <v/>
      </c>
    </row>
    <row r="27" spans="1:19" x14ac:dyDescent="0.25">
      <c r="A27">
        <v>1980</v>
      </c>
      <c r="B27">
        <v>1</v>
      </c>
      <c r="C27">
        <f>'[1]11.2.2-catch'!C26/'11.6.3 Num quart long'!C26</f>
        <v>0</v>
      </c>
      <c r="D27">
        <f>'[1]11.2.2-catch'!D26/'11.6.3 Num quart long'!D26</f>
        <v>0.15478146956728767</v>
      </c>
      <c r="E27">
        <f>'[1]11.2.2-catch'!E26/'11.6.3 Num quart long'!E26</f>
        <v>0.5326785954527109</v>
      </c>
      <c r="F27">
        <f>'[1]11.2.2-catch'!F26/'11.6.3 Num quart long'!F26</f>
        <v>0.74348090177554005</v>
      </c>
      <c r="H27">
        <f t="shared" si="2"/>
        <v>0</v>
      </c>
      <c r="I27">
        <f t="shared" si="2"/>
        <v>0.14339764928629095</v>
      </c>
      <c r="J27">
        <f t="shared" si="2"/>
        <v>0.41296955521783674</v>
      </c>
      <c r="K27">
        <f t="shared" si="2"/>
        <v>0.52454398398794633</v>
      </c>
      <c r="P27">
        <f t="shared" si="3"/>
        <v>0</v>
      </c>
      <c r="Q27">
        <f t="shared" si="3"/>
        <v>0.34723540143449638</v>
      </c>
      <c r="R27">
        <f t="shared" si="3"/>
        <v>1</v>
      </c>
      <c r="S27">
        <f t="shared" si="3"/>
        <v>1.2701759182011743</v>
      </c>
    </row>
    <row r="28" spans="1:19" x14ac:dyDescent="0.25">
      <c r="A28">
        <v>1980</v>
      </c>
      <c r="B28">
        <v>2</v>
      </c>
      <c r="C28">
        <f>'[1]11.2.2-catch'!C27/'11.6.3 Num quart long'!C27</f>
        <v>0</v>
      </c>
      <c r="D28">
        <f>'[1]11.2.2-catch'!D27/'11.6.3 Num quart long'!D27</f>
        <v>0.28193485213266734</v>
      </c>
      <c r="E28">
        <f>'[1]11.2.2-catch'!E27/'11.6.3 Num quart long'!E27</f>
        <v>1.2876209040166846</v>
      </c>
      <c r="F28">
        <f>'[1]11.2.2-catch'!F27/'11.6.3 Num quart long'!F27</f>
        <v>1.6236609229891878</v>
      </c>
      <c r="H28">
        <f t="shared" si="2"/>
        <v>0</v>
      </c>
      <c r="I28">
        <f t="shared" si="2"/>
        <v>0.24567717454428284</v>
      </c>
      <c r="J28">
        <f t="shared" si="2"/>
        <v>2</v>
      </c>
      <c r="K28">
        <f t="shared" si="2"/>
        <v>2</v>
      </c>
      <c r="P28">
        <f t="shared" si="3"/>
        <v>0</v>
      </c>
      <c r="Q28">
        <f t="shared" si="3"/>
        <v>0.12283858727214142</v>
      </c>
      <c r="R28">
        <f t="shared" si="3"/>
        <v>1</v>
      </c>
      <c r="S28">
        <f t="shared" si="3"/>
        <v>1</v>
      </c>
    </row>
    <row r="29" spans="1:19" x14ac:dyDescent="0.25">
      <c r="A29">
        <v>1980</v>
      </c>
      <c r="B29">
        <v>3</v>
      </c>
      <c r="C29">
        <f>'[1]11.2.2-catch'!C28/'11.6.3 Num quart long'!C28</f>
        <v>2.7214448212216164E-2</v>
      </c>
      <c r="D29">
        <f>'[1]11.2.2-catch'!D28/'11.6.3 Num quart long'!D28</f>
        <v>0.27562744147586327</v>
      </c>
      <c r="E29">
        <f>'[1]11.2.2-catch'!E28/'11.6.3 Num quart long'!E28</f>
        <v>0.30013016520968921</v>
      </c>
      <c r="F29">
        <f>'[1]11.2.2-catch'!F28/'11.6.3 Num quart long'!F28</f>
        <v>0.11027682973075464</v>
      </c>
      <c r="H29">
        <f t="shared" si="2"/>
        <v>2.6847471673862588E-2</v>
      </c>
      <c r="I29">
        <f t="shared" si="2"/>
        <v>0.24090431434507587</v>
      </c>
      <c r="J29">
        <f t="shared" si="2"/>
        <v>0.2592782018017562</v>
      </c>
      <c r="K29">
        <f t="shared" si="2"/>
        <v>0.10441382390312393</v>
      </c>
      <c r="P29">
        <f t="shared" si="3"/>
        <v>0.10354696803393497</v>
      </c>
      <c r="Q29">
        <f t="shared" si="3"/>
        <v>0.92913446896423257</v>
      </c>
      <c r="R29">
        <f t="shared" si="3"/>
        <v>1</v>
      </c>
      <c r="S29">
        <f t="shared" si="3"/>
        <v>0.40270961144261025</v>
      </c>
    </row>
    <row r="30" spans="1:19" x14ac:dyDescent="0.25">
      <c r="A30">
        <v>1980</v>
      </c>
      <c r="B30">
        <v>4</v>
      </c>
      <c r="C30">
        <f>'[1]11.2.2-catch'!C29/'11.6.3 Num quart long'!C29</f>
        <v>0</v>
      </c>
      <c r="D30">
        <f>'[1]11.2.2-catch'!D29/'11.6.3 Num quart long'!D29</f>
        <v>0</v>
      </c>
      <c r="E30">
        <f>'[1]11.2.2-catch'!E29/'11.6.3 Num quart long'!E29</f>
        <v>0</v>
      </c>
      <c r="F30">
        <f>'[1]11.2.2-catch'!F29/'11.6.3 Num quart long'!F29</f>
        <v>0</v>
      </c>
      <c r="H30">
        <f t="shared" si="2"/>
        <v>0</v>
      </c>
      <c r="I30">
        <f t="shared" si="2"/>
        <v>0</v>
      </c>
      <c r="J30">
        <f t="shared" si="2"/>
        <v>0</v>
      </c>
      <c r="K30">
        <f t="shared" si="2"/>
        <v>0</v>
      </c>
      <c r="P30" t="str">
        <f t="shared" si="3"/>
        <v/>
      </c>
      <c r="Q30" t="str">
        <f t="shared" si="3"/>
        <v/>
      </c>
      <c r="R30" t="str">
        <f t="shared" si="3"/>
        <v/>
      </c>
      <c r="S30" t="str">
        <f t="shared" si="3"/>
        <v/>
      </c>
    </row>
    <row r="31" spans="1:19" x14ac:dyDescent="0.25">
      <c r="A31">
        <v>1981</v>
      </c>
      <c r="B31">
        <v>1</v>
      </c>
      <c r="C31">
        <f>'[1]11.2.2-catch'!C30/'11.6.3 Num quart long'!C30</f>
        <v>7.0085830525983715E-3</v>
      </c>
      <c r="D31">
        <f>'[1]11.2.2-catch'!D30/'11.6.3 Num quart long'!D30</f>
        <v>0.25230822624634514</v>
      </c>
      <c r="E31">
        <f>'[1]11.2.2-catch'!E30/'11.6.3 Num quart long'!E30</f>
        <v>0.24168946564835742</v>
      </c>
      <c r="F31">
        <f>'[1]11.2.2-catch'!F30/'11.6.3 Num quart long'!F30</f>
        <v>0.2568550984180844</v>
      </c>
      <c r="H31">
        <f t="shared" si="2"/>
        <v>6.9840802112126621E-3</v>
      </c>
      <c r="I31">
        <f t="shared" si="2"/>
        <v>0.22299479224249963</v>
      </c>
      <c r="J31">
        <f t="shared" si="2"/>
        <v>0.21469999768104786</v>
      </c>
      <c r="K31">
        <f t="shared" si="2"/>
        <v>0.22651971583758024</v>
      </c>
      <c r="P31">
        <f t="shared" si="3"/>
        <v>3.2529484334638932E-2</v>
      </c>
      <c r="Q31">
        <f t="shared" si="3"/>
        <v>1.0386343486308476</v>
      </c>
      <c r="R31">
        <f t="shared" si="3"/>
        <v>1</v>
      </c>
      <c r="S31">
        <f t="shared" si="3"/>
        <v>1.0550522509743638</v>
      </c>
    </row>
    <row r="32" spans="1:19" x14ac:dyDescent="0.25">
      <c r="A32">
        <v>1981</v>
      </c>
      <c r="B32">
        <v>2</v>
      </c>
      <c r="C32">
        <f>'[1]11.2.2-catch'!C31/'11.6.3 Num quart long'!C31</f>
        <v>9.9355431880202277E-4</v>
      </c>
      <c r="D32">
        <f>'[1]11.2.2-catch'!D31/'11.6.3 Num quart long'!D31</f>
        <v>0.14532718489240229</v>
      </c>
      <c r="E32">
        <f>'[1]11.2.2-catch'!E31/'11.6.3 Num quart long'!E31</f>
        <v>1.1149316547690562</v>
      </c>
      <c r="F32">
        <f>'[1]11.2.2-catch'!F31/'11.6.3 Num quart long'!F31</f>
        <v>0.83495739422941828</v>
      </c>
      <c r="H32">
        <f t="shared" si="2"/>
        <v>9.9306090713380257E-4</v>
      </c>
      <c r="I32">
        <f t="shared" si="2"/>
        <v>0.13526068281990666</v>
      </c>
      <c r="J32">
        <f t="shared" si="2"/>
        <v>2</v>
      </c>
      <c r="K32">
        <f t="shared" si="2"/>
        <v>0.56610703261659068</v>
      </c>
      <c r="P32">
        <f t="shared" si="3"/>
        <v>4.9653045356690129E-4</v>
      </c>
      <c r="Q32">
        <f t="shared" si="3"/>
        <v>6.7630341409953332E-2</v>
      </c>
      <c r="R32">
        <f t="shared" si="3"/>
        <v>1</v>
      </c>
      <c r="S32">
        <f t="shared" si="3"/>
        <v>0.28305351630829534</v>
      </c>
    </row>
    <row r="33" spans="1:19" x14ac:dyDescent="0.25">
      <c r="A33">
        <v>1981</v>
      </c>
      <c r="B33">
        <v>3</v>
      </c>
      <c r="C33">
        <f>'[1]11.2.2-catch'!C32/'11.6.3 Num quart long'!C32</f>
        <v>1.3305295041986335E-2</v>
      </c>
      <c r="D33">
        <f>'[1]11.2.2-catch'!D32/'11.6.3 Num quart long'!D32</f>
        <v>0.27802449809916102</v>
      </c>
      <c r="E33">
        <f>'[1]11.2.2-catch'!E32/'11.6.3 Num quart long'!E32</f>
        <v>0.33338754896349099</v>
      </c>
      <c r="F33">
        <f>'[1]11.2.2-catch'!F32/'11.6.3 Num quart long'!F32</f>
        <v>0.11688851913477537</v>
      </c>
      <c r="H33">
        <f t="shared" si="2"/>
        <v>1.3217170876219098E-2</v>
      </c>
      <c r="I33">
        <f t="shared" si="2"/>
        <v>0.24272173059104563</v>
      </c>
      <c r="J33">
        <f t="shared" si="2"/>
        <v>0.28350753556969766</v>
      </c>
      <c r="K33">
        <f t="shared" si="2"/>
        <v>0.11031562958148344</v>
      </c>
      <c r="P33">
        <f t="shared" si="3"/>
        <v>4.6620174838244398E-2</v>
      </c>
      <c r="Q33">
        <f t="shared" si="3"/>
        <v>0.85613855061490873</v>
      </c>
      <c r="R33">
        <f t="shared" si="3"/>
        <v>1</v>
      </c>
      <c r="S33">
        <f t="shared" si="3"/>
        <v>0.38911004379410363</v>
      </c>
    </row>
    <row r="34" spans="1:19" x14ac:dyDescent="0.25">
      <c r="A34">
        <v>1981</v>
      </c>
      <c r="B34">
        <v>4</v>
      </c>
      <c r="C34">
        <f>'[1]11.2.2-catch'!C33/'11.6.3 Num quart long'!C33</f>
        <v>0</v>
      </c>
      <c r="D34">
        <f>'[1]11.2.2-catch'!D33/'11.6.3 Num quart long'!D33</f>
        <v>0</v>
      </c>
      <c r="E34">
        <f>'[1]11.2.2-catch'!E33/'11.6.3 Num quart long'!E33</f>
        <v>0</v>
      </c>
      <c r="F34">
        <f>'[1]11.2.2-catch'!F33/'11.6.3 Num quart long'!F33</f>
        <v>0</v>
      </c>
      <c r="H34">
        <f t="shared" si="2"/>
        <v>0</v>
      </c>
      <c r="I34">
        <f t="shared" si="2"/>
        <v>0</v>
      </c>
      <c r="J34">
        <f t="shared" si="2"/>
        <v>0</v>
      </c>
      <c r="K34">
        <f t="shared" si="2"/>
        <v>0</v>
      </c>
      <c r="P34" t="str">
        <f t="shared" si="3"/>
        <v/>
      </c>
      <c r="Q34" t="str">
        <f t="shared" si="3"/>
        <v/>
      </c>
      <c r="R34" t="str">
        <f t="shared" si="3"/>
        <v/>
      </c>
      <c r="S34" t="str">
        <f t="shared" si="3"/>
        <v/>
      </c>
    </row>
    <row r="35" spans="1:19" x14ac:dyDescent="0.25">
      <c r="A35">
        <v>1982</v>
      </c>
      <c r="B35">
        <v>1</v>
      </c>
      <c r="C35">
        <f>'[1]11.2.2-catch'!C34/'11.6.3 Num quart long'!C34</f>
        <v>1.4695346388826809E-2</v>
      </c>
      <c r="D35">
        <f>'[1]11.2.2-catch'!D34/'11.6.3 Num quart long'!D34</f>
        <v>0.40702924606302998</v>
      </c>
      <c r="E35">
        <f>'[1]11.2.2-catch'!E34/'11.6.3 Num quart long'!E34</f>
        <v>8.2243081369357748E-2</v>
      </c>
      <c r="F35">
        <f>'[1]11.2.2-catch'!F34/'11.6.3 Num quart long'!F34</f>
        <v>0.12090035629630734</v>
      </c>
      <c r="H35">
        <f t="shared" si="2"/>
        <v>1.4587896766482089E-2</v>
      </c>
      <c r="I35">
        <f t="shared" si="2"/>
        <v>0.33437527688575319</v>
      </c>
      <c r="J35">
        <f t="shared" si="2"/>
        <v>7.8951958136814326E-2</v>
      </c>
      <c r="K35">
        <f t="shared" si="2"/>
        <v>0.11387774830299002</v>
      </c>
      <c r="P35">
        <f t="shared" si="3"/>
        <v>0.18476928388784233</v>
      </c>
      <c r="Q35">
        <f t="shared" si="3"/>
        <v>4.2351739561205148</v>
      </c>
      <c r="R35">
        <f t="shared" si="3"/>
        <v>1</v>
      </c>
      <c r="S35">
        <f t="shared" si="3"/>
        <v>1.4423676244438861</v>
      </c>
    </row>
    <row r="36" spans="1:19" x14ac:dyDescent="0.25">
      <c r="A36">
        <v>1982</v>
      </c>
      <c r="B36">
        <v>2</v>
      </c>
      <c r="C36">
        <f>'[1]11.2.2-catch'!C35/'11.6.3 Num quart long'!C35</f>
        <v>3.2992668072053623E-2</v>
      </c>
      <c r="D36">
        <f>'[1]11.2.2-catch'!D35/'11.6.3 Num quart long'!D35</f>
        <v>0.60637937884868298</v>
      </c>
      <c r="E36">
        <f>'[1]11.2.2-catch'!E35/'11.6.3 Num quart long'!E35</f>
        <v>0.30702984120431293</v>
      </c>
      <c r="F36">
        <f>'[1]11.2.2-catch'!F35/'11.6.3 Num quart long'!F35</f>
        <v>0.19847270744707562</v>
      </c>
      <c r="H36">
        <f t="shared" si="2"/>
        <v>3.2454346461957662E-2</v>
      </c>
      <c r="I36">
        <f t="shared" si="2"/>
        <v>0.45467829760890055</v>
      </c>
      <c r="J36">
        <f t="shared" si="2"/>
        <v>0.26437135146508706</v>
      </c>
      <c r="K36">
        <f t="shared" si="2"/>
        <v>0.18001785015876637</v>
      </c>
      <c r="P36">
        <f t="shared" si="3"/>
        <v>0.12276045147139776</v>
      </c>
      <c r="Q36">
        <f t="shared" si="3"/>
        <v>1.7198470828596777</v>
      </c>
      <c r="R36">
        <f t="shared" si="3"/>
        <v>1</v>
      </c>
      <c r="S36">
        <f t="shared" si="3"/>
        <v>0.68092797937880789</v>
      </c>
    </row>
    <row r="37" spans="1:19" x14ac:dyDescent="0.25">
      <c r="A37">
        <v>1982</v>
      </c>
      <c r="B37">
        <v>3</v>
      </c>
      <c r="C37">
        <f>'[1]11.2.2-catch'!C36/'11.6.3 Num quart long'!C36</f>
        <v>0.13911370207900436</v>
      </c>
      <c r="D37">
        <f>'[1]11.2.2-catch'!D36/'11.6.3 Num quart long'!D36</f>
        <v>7.5999788174461028E-2</v>
      </c>
      <c r="E37">
        <f>'[1]11.2.2-catch'!E36/'11.6.3 Num quart long'!E36</f>
        <v>3.1915342331555456E-2</v>
      </c>
      <c r="F37">
        <f>'[1]11.2.2-catch'!F36/'11.6.3 Num quart long'!F36</f>
        <v>3.0193236714975844E-2</v>
      </c>
      <c r="H37">
        <f t="shared" si="2"/>
        <v>0.12987091265278039</v>
      </c>
      <c r="I37">
        <f t="shared" si="2"/>
        <v>7.3183597117254529E-2</v>
      </c>
      <c r="J37">
        <f t="shared" si="2"/>
        <v>3.1411422940987421E-2</v>
      </c>
      <c r="K37">
        <f t="shared" si="2"/>
        <v>2.9741974041198938E-2</v>
      </c>
      <c r="P37">
        <f t="shared" si="3"/>
        <v>4.1345122408739208</v>
      </c>
      <c r="Q37">
        <f t="shared" si="3"/>
        <v>2.3298402385254691</v>
      </c>
      <c r="R37">
        <f t="shared" si="3"/>
        <v>1</v>
      </c>
      <c r="S37">
        <f t="shared" si="3"/>
        <v>0.94685217212461614</v>
      </c>
    </row>
    <row r="38" spans="1:19" x14ac:dyDescent="0.25">
      <c r="A38">
        <v>1982</v>
      </c>
      <c r="B38">
        <v>4</v>
      </c>
      <c r="C38">
        <f>'[1]11.2.2-catch'!C37/'11.6.3 Num quart long'!C37</f>
        <v>0</v>
      </c>
      <c r="D38">
        <f>'[1]11.2.2-catch'!D37/'11.6.3 Num quart long'!D37</f>
        <v>0</v>
      </c>
      <c r="E38">
        <f>'[1]11.2.2-catch'!E37/'11.6.3 Num quart long'!E37</f>
        <v>0</v>
      </c>
      <c r="F38">
        <f>'[1]11.2.2-catch'!F37/'11.6.3 Num quart long'!F37</f>
        <v>0</v>
      </c>
      <c r="H38">
        <f t="shared" si="2"/>
        <v>0</v>
      </c>
      <c r="I38">
        <f t="shared" si="2"/>
        <v>0</v>
      </c>
      <c r="J38">
        <f t="shared" si="2"/>
        <v>0</v>
      </c>
      <c r="K38">
        <f t="shared" si="2"/>
        <v>0</v>
      </c>
      <c r="P38" t="str">
        <f t="shared" si="3"/>
        <v/>
      </c>
      <c r="Q38" t="str">
        <f t="shared" si="3"/>
        <v/>
      </c>
      <c r="R38" t="str">
        <f t="shared" si="3"/>
        <v/>
      </c>
      <c r="S38" t="str">
        <f t="shared" si="3"/>
        <v/>
      </c>
    </row>
    <row r="39" spans="1:19" x14ac:dyDescent="0.25">
      <c r="A39">
        <v>1983</v>
      </c>
      <c r="B39">
        <v>1</v>
      </c>
      <c r="C39">
        <f>'[1]11.2.2-catch'!C38/'11.6.3 Num quart long'!C38</f>
        <v>0.11113146178408886</v>
      </c>
      <c r="D39">
        <f>'[1]11.2.2-catch'!D38/'11.6.3 Num quart long'!D38</f>
        <v>0.25433422344110856</v>
      </c>
      <c r="E39">
        <f>'[1]11.2.2-catch'!E38/'11.6.3 Num quart long'!E38</f>
        <v>0.30968006719962182</v>
      </c>
      <c r="F39">
        <f>'[1]11.2.2-catch'!F38/'11.6.3 Num quart long'!F38</f>
        <v>0.1691468598949821</v>
      </c>
      <c r="H39">
        <f t="shared" si="2"/>
        <v>0.10517889358263677</v>
      </c>
      <c r="I39">
        <f t="shared" si="2"/>
        <v>0.22456740901722383</v>
      </c>
      <c r="J39">
        <f t="shared" si="2"/>
        <v>0.26631835249635982</v>
      </c>
      <c r="K39">
        <f t="shared" si="2"/>
        <v>0.15561511199616251</v>
      </c>
      <c r="P39">
        <f t="shared" si="3"/>
        <v>0.39493670862985086</v>
      </c>
      <c r="Q39">
        <f t="shared" si="3"/>
        <v>0.84322919135020302</v>
      </c>
      <c r="R39">
        <f t="shared" si="3"/>
        <v>1</v>
      </c>
      <c r="S39">
        <f t="shared" si="3"/>
        <v>0.58431989585955979</v>
      </c>
    </row>
    <row r="40" spans="1:19" x14ac:dyDescent="0.25">
      <c r="A40">
        <v>1983</v>
      </c>
      <c r="B40">
        <v>2</v>
      </c>
      <c r="C40">
        <f>'[1]11.2.2-catch'!C39/'11.6.3 Num quart long'!C39</f>
        <v>7.1398265353961557E-2</v>
      </c>
      <c r="D40">
        <f>'[1]11.2.2-catch'!D39/'11.6.3 Num quart long'!D39</f>
        <v>0.27552696351727501</v>
      </c>
      <c r="E40">
        <f>'[1]11.2.2-catch'!E39/'11.6.3 Num quart long'!E39</f>
        <v>0.52502876305485935</v>
      </c>
      <c r="F40">
        <f>'[1]11.2.2-catch'!F39/'11.6.3 Num quart long'!F39</f>
        <v>0.2456186699519341</v>
      </c>
      <c r="H40">
        <f t="shared" si="2"/>
        <v>6.8909003010333647E-2</v>
      </c>
      <c r="I40">
        <f t="shared" si="2"/>
        <v>0.24082803812823306</v>
      </c>
      <c r="J40">
        <f t="shared" si="2"/>
        <v>0.40846165032788406</v>
      </c>
      <c r="K40">
        <f t="shared" si="2"/>
        <v>0.21777954777700703</v>
      </c>
      <c r="P40">
        <f t="shared" si="3"/>
        <v>0.16870372764497812</v>
      </c>
      <c r="Q40">
        <f t="shared" si="3"/>
        <v>0.58959767198441615</v>
      </c>
      <c r="R40">
        <f t="shared" si="3"/>
        <v>1</v>
      </c>
      <c r="S40">
        <f t="shared" si="3"/>
        <v>0.53317012160673849</v>
      </c>
    </row>
    <row r="41" spans="1:19" x14ac:dyDescent="0.25">
      <c r="A41">
        <v>1983</v>
      </c>
      <c r="B41">
        <v>3</v>
      </c>
      <c r="C41">
        <f>'[1]11.2.2-catch'!C40/'11.6.3 Num quart long'!C40</f>
        <v>6.9725773661621859E-2</v>
      </c>
      <c r="D41">
        <f>'[1]11.2.2-catch'!D40/'11.6.3 Num quart long'!D40</f>
        <v>0.22902042492124339</v>
      </c>
      <c r="E41">
        <f>'[1]11.2.2-catch'!E40/'11.6.3 Num quart long'!E40</f>
        <v>2.4894631784737272E-2</v>
      </c>
      <c r="F41">
        <f>'[1]11.2.2-catch'!F40/'11.6.3 Num quart long'!F40</f>
        <v>0</v>
      </c>
      <c r="H41">
        <f t="shared" si="2"/>
        <v>6.7350458089640575E-2</v>
      </c>
      <c r="I41">
        <f t="shared" si="2"/>
        <v>0.20468771085167003</v>
      </c>
      <c r="J41">
        <f t="shared" si="2"/>
        <v>2.45873158925487E-2</v>
      </c>
      <c r="K41">
        <f t="shared" si="2"/>
        <v>0</v>
      </c>
      <c r="P41">
        <f t="shared" si="3"/>
        <v>2.7392358882919563</v>
      </c>
      <c r="Q41">
        <f t="shared" si="3"/>
        <v>8.3249311045660583</v>
      </c>
      <c r="R41">
        <f t="shared" si="3"/>
        <v>1</v>
      </c>
      <c r="S41">
        <f t="shared" si="3"/>
        <v>0</v>
      </c>
    </row>
    <row r="42" spans="1:19" x14ac:dyDescent="0.25">
      <c r="A42">
        <v>1983</v>
      </c>
      <c r="B42">
        <v>4</v>
      </c>
      <c r="C42">
        <f>'[1]11.2.2-catch'!C41/'11.6.3 Num quart long'!C41</f>
        <v>0</v>
      </c>
      <c r="D42">
        <f>'[1]11.2.2-catch'!D41/'11.6.3 Num quart long'!D41</f>
        <v>0</v>
      </c>
      <c r="E42">
        <f>'[1]11.2.2-catch'!E41/'11.6.3 Num quart long'!E41</f>
        <v>0</v>
      </c>
      <c r="F42">
        <f>'[1]11.2.2-catch'!F41/'11.6.3 Num quart long'!F41</f>
        <v>0</v>
      </c>
      <c r="H42">
        <f t="shared" si="2"/>
        <v>0</v>
      </c>
      <c r="I42">
        <f t="shared" si="2"/>
        <v>0</v>
      </c>
      <c r="J42">
        <f t="shared" si="2"/>
        <v>0</v>
      </c>
      <c r="K42">
        <f t="shared" si="2"/>
        <v>0</v>
      </c>
      <c r="P42" t="str">
        <f t="shared" si="3"/>
        <v/>
      </c>
      <c r="Q42" t="str">
        <f t="shared" si="3"/>
        <v/>
      </c>
      <c r="R42" t="str">
        <f t="shared" si="3"/>
        <v/>
      </c>
      <c r="S42" t="str">
        <f t="shared" si="3"/>
        <v/>
      </c>
    </row>
    <row r="43" spans="1:19" x14ac:dyDescent="0.25">
      <c r="A43">
        <v>1984</v>
      </c>
      <c r="B43">
        <v>1</v>
      </c>
      <c r="C43">
        <f>'[1]11.2.2-catch'!C42/'11.6.3 Num quart long'!C42</f>
        <v>3.8265433311022848E-2</v>
      </c>
      <c r="D43">
        <f>'[1]11.2.2-catch'!D42/'11.6.3 Num quart long'!D42</f>
        <v>0.4293125716899942</v>
      </c>
      <c r="E43">
        <f>'[1]11.2.2-catch'!E42/'11.6.3 Num quart long'!E42</f>
        <v>0.28020966951195758</v>
      </c>
      <c r="F43">
        <f>'[1]11.2.2-catch'!F42/'11.6.3 Num quart long'!F42</f>
        <v>1.3472528174185103E-2</v>
      </c>
      <c r="H43">
        <f t="shared" si="2"/>
        <v>3.7542561281371789E-2</v>
      </c>
      <c r="I43">
        <f t="shared" si="2"/>
        <v>0.34904357317229395</v>
      </c>
      <c r="J43">
        <f t="shared" si="2"/>
        <v>0.24437470674103257</v>
      </c>
      <c r="K43">
        <f t="shared" si="2"/>
        <v>1.3382179861664123E-2</v>
      </c>
      <c r="P43">
        <f t="shared" si="3"/>
        <v>0.15362703359131266</v>
      </c>
      <c r="Q43">
        <f t="shared" si="3"/>
        <v>1.4283130108967477</v>
      </c>
      <c r="R43">
        <f t="shared" si="3"/>
        <v>1</v>
      </c>
      <c r="S43">
        <f t="shared" si="3"/>
        <v>5.4760904023694296E-2</v>
      </c>
    </row>
    <row r="44" spans="1:19" x14ac:dyDescent="0.25">
      <c r="A44">
        <v>1984</v>
      </c>
      <c r="B44">
        <v>2</v>
      </c>
      <c r="C44">
        <f>'[1]11.2.2-catch'!C43/'11.6.3 Num quart long'!C43</f>
        <v>3.2021819699089411E-2</v>
      </c>
      <c r="D44">
        <f>'[1]11.2.2-catch'!D43/'11.6.3 Num quart long'!D43</f>
        <v>0.31264461648116132</v>
      </c>
      <c r="E44">
        <f>'[1]11.2.2-catch'!E43/'11.6.3 Num quart long'!E43</f>
        <v>0.34267457579745098</v>
      </c>
      <c r="F44">
        <f>'[1]11.2.2-catch'!F43/'11.6.3 Num quart long'!F43</f>
        <v>4.8156651994746183E-2</v>
      </c>
      <c r="H44">
        <f t="shared" si="2"/>
        <v>3.1514550212438541E-2</v>
      </c>
      <c r="I44">
        <f t="shared" si="2"/>
        <v>0.2684901670810701</v>
      </c>
      <c r="J44">
        <f t="shared" si="2"/>
        <v>0.29013081741095292</v>
      </c>
      <c r="K44">
        <f t="shared" si="2"/>
        <v>4.7015511537232713E-2</v>
      </c>
      <c r="P44">
        <f t="shared" si="3"/>
        <v>0.10862186407381905</v>
      </c>
      <c r="Q44">
        <f t="shared" si="3"/>
        <v>0.92541071464590352</v>
      </c>
      <c r="R44">
        <f t="shared" si="3"/>
        <v>1</v>
      </c>
      <c r="S44">
        <f t="shared" si="3"/>
        <v>0.16204935400101966</v>
      </c>
    </row>
    <row r="45" spans="1:19" x14ac:dyDescent="0.25">
      <c r="A45">
        <v>1984</v>
      </c>
      <c r="B45">
        <v>3</v>
      </c>
      <c r="C45">
        <f>'[1]11.2.2-catch'!C44/'11.6.3 Num quart long'!C44</f>
        <v>3.4955129864526709E-2</v>
      </c>
      <c r="D45">
        <f>'[1]11.2.2-catch'!D44/'11.6.3 Num quart long'!D44</f>
        <v>0.11609655392058359</v>
      </c>
      <c r="E45">
        <f>'[1]11.2.2-catch'!E44/'11.6.3 Num quart long'!E44</f>
        <v>3.221034736233918E-2</v>
      </c>
      <c r="F45">
        <f>'[1]11.2.2-catch'!F44/'11.6.3 Num quart long'!F44</f>
        <v>2.354019493874631E-2</v>
      </c>
      <c r="H45">
        <f t="shared" si="2"/>
        <v>3.4351255924537027E-2</v>
      </c>
      <c r="I45">
        <f t="shared" si="2"/>
        <v>0.10961075142585419</v>
      </c>
      <c r="J45">
        <f t="shared" si="2"/>
        <v>3.1697119300975851E-2</v>
      </c>
      <c r="K45">
        <f t="shared" si="2"/>
        <v>2.3265285912193345E-2</v>
      </c>
      <c r="P45">
        <f t="shared" si="3"/>
        <v>1.0837343166222511</v>
      </c>
      <c r="Q45">
        <f t="shared" si="3"/>
        <v>3.4580666585205941</v>
      </c>
      <c r="R45">
        <f t="shared" si="3"/>
        <v>1</v>
      </c>
      <c r="S45">
        <f t="shared" si="3"/>
        <v>0.73398739144970448</v>
      </c>
    </row>
    <row r="46" spans="1:19" x14ac:dyDescent="0.25">
      <c r="A46">
        <v>1984</v>
      </c>
      <c r="B46">
        <v>4</v>
      </c>
      <c r="C46">
        <f>'[1]11.2.2-catch'!C45/'11.6.3 Num quart long'!C45</f>
        <v>0</v>
      </c>
      <c r="D46">
        <f>'[1]11.2.2-catch'!D45/'11.6.3 Num quart long'!D45</f>
        <v>0</v>
      </c>
      <c r="E46">
        <f>'[1]11.2.2-catch'!E45/'11.6.3 Num quart long'!E45</f>
        <v>0</v>
      </c>
      <c r="F46">
        <f>'[1]11.2.2-catch'!F45/'11.6.3 Num quart long'!F45</f>
        <v>0</v>
      </c>
      <c r="H46">
        <f t="shared" si="2"/>
        <v>0</v>
      </c>
      <c r="I46">
        <f t="shared" si="2"/>
        <v>0</v>
      </c>
      <c r="J46">
        <f t="shared" si="2"/>
        <v>0</v>
      </c>
      <c r="K46">
        <f t="shared" si="2"/>
        <v>0</v>
      </c>
      <c r="P46" t="str">
        <f t="shared" si="3"/>
        <v/>
      </c>
      <c r="Q46" t="str">
        <f t="shared" si="3"/>
        <v/>
      </c>
      <c r="R46" t="str">
        <f t="shared" si="3"/>
        <v/>
      </c>
      <c r="S46" t="str">
        <f t="shared" si="3"/>
        <v/>
      </c>
    </row>
    <row r="47" spans="1:19" x14ac:dyDescent="0.25">
      <c r="A47">
        <v>1985</v>
      </c>
      <c r="B47">
        <v>1</v>
      </c>
      <c r="C47">
        <f>'[1]11.2.2-catch'!C46/'11.6.3 Num quart long'!C46</f>
        <v>0</v>
      </c>
      <c r="D47">
        <f>'[1]11.2.2-catch'!D46/'11.6.3 Num quart long'!D46</f>
        <v>0.18288275910413235</v>
      </c>
      <c r="E47">
        <f>'[1]11.2.2-catch'!E46/'11.6.3 Num quart long'!E46</f>
        <v>0.61779133224312821</v>
      </c>
      <c r="F47">
        <f>'[1]11.2.2-catch'!F46/'11.6.3 Num quart long'!F46</f>
        <v>0.16686077664657664</v>
      </c>
      <c r="H47">
        <f t="shared" si="2"/>
        <v>0</v>
      </c>
      <c r="I47">
        <f t="shared" si="2"/>
        <v>0.16713420405467949</v>
      </c>
      <c r="J47">
        <f t="shared" si="2"/>
        <v>0.46086610880064316</v>
      </c>
      <c r="K47">
        <f t="shared" si="2"/>
        <v>0.15368256971387151</v>
      </c>
      <c r="P47">
        <f t="shared" si="3"/>
        <v>0</v>
      </c>
      <c r="Q47">
        <f t="shared" si="3"/>
        <v>0.3626524078536153</v>
      </c>
      <c r="R47">
        <f t="shared" si="3"/>
        <v>1</v>
      </c>
      <c r="S47">
        <f t="shared" si="3"/>
        <v>0.3334646804769712</v>
      </c>
    </row>
    <row r="48" spans="1:19" x14ac:dyDescent="0.25">
      <c r="A48">
        <v>1985</v>
      </c>
      <c r="B48">
        <v>2</v>
      </c>
      <c r="C48">
        <f>'[1]11.2.2-catch'!C47/'11.6.3 Num quart long'!C47</f>
        <v>0</v>
      </c>
      <c r="D48">
        <f>'[1]11.2.2-catch'!D47/'11.6.3 Num quart long'!D47</f>
        <v>0.1726967184853164</v>
      </c>
      <c r="E48">
        <f>'[1]11.2.2-catch'!E47/'11.6.3 Num quart long'!E47</f>
        <v>0.67854220726091119</v>
      </c>
      <c r="F48">
        <f>'[1]11.2.2-catch'!F47/'11.6.3 Num quart long'!F47</f>
        <v>0.16744663506536639</v>
      </c>
      <c r="H48">
        <f t="shared" si="2"/>
        <v>0</v>
      </c>
      <c r="I48">
        <f t="shared" si="2"/>
        <v>0.15860724497779521</v>
      </c>
      <c r="J48">
        <f t="shared" si="2"/>
        <v>0.49264392647875843</v>
      </c>
      <c r="K48">
        <f t="shared" si="2"/>
        <v>0.15417824669293001</v>
      </c>
      <c r="P48">
        <f t="shared" si="3"/>
        <v>0</v>
      </c>
      <c r="Q48">
        <f t="shared" si="3"/>
        <v>0.32195108160870417</v>
      </c>
      <c r="R48">
        <f t="shared" si="3"/>
        <v>1</v>
      </c>
      <c r="S48">
        <f t="shared" si="3"/>
        <v>0.31296081897312861</v>
      </c>
    </row>
    <row r="49" spans="1:19" x14ac:dyDescent="0.25">
      <c r="A49">
        <v>1985</v>
      </c>
      <c r="B49">
        <v>3</v>
      </c>
      <c r="C49">
        <f>'[1]11.2.2-catch'!C48/'11.6.3 Num quart long'!C48</f>
        <v>1.2027847389945764E-2</v>
      </c>
      <c r="D49">
        <f>'[1]11.2.2-catch'!D48/'11.6.3 Num quart long'!D48</f>
        <v>0.11816265868171691</v>
      </c>
      <c r="E49">
        <f>'[1]11.2.2-catch'!E48/'11.6.3 Num quart long'!E48</f>
        <v>0.35831480214391609</v>
      </c>
      <c r="F49">
        <f>'[1]11.2.2-catch'!F48/'11.6.3 Num quart long'!F48</f>
        <v>0.47319332529661823</v>
      </c>
      <c r="H49">
        <f t="shared" si="2"/>
        <v>1.1955801973241975E-2</v>
      </c>
      <c r="I49">
        <f t="shared" si="2"/>
        <v>0.11144848975789334</v>
      </c>
      <c r="J49">
        <f t="shared" si="2"/>
        <v>0.30114696006066788</v>
      </c>
      <c r="K49">
        <f t="shared" si="2"/>
        <v>0.37699038398429419</v>
      </c>
      <c r="P49">
        <f t="shared" si="3"/>
        <v>3.9700888798058616E-2</v>
      </c>
      <c r="Q49">
        <f t="shared" si="3"/>
        <v>0.3700800756396192</v>
      </c>
      <c r="R49">
        <f t="shared" si="3"/>
        <v>1</v>
      </c>
      <c r="S49">
        <f t="shared" si="3"/>
        <v>1.2518485456680259</v>
      </c>
    </row>
    <row r="50" spans="1:19" x14ac:dyDescent="0.25">
      <c r="A50">
        <v>1985</v>
      </c>
      <c r="B50">
        <v>4</v>
      </c>
      <c r="C50">
        <f>'[1]11.2.2-catch'!C49/'11.6.3 Num quart long'!C49</f>
        <v>0</v>
      </c>
      <c r="D50">
        <f>'[1]11.2.2-catch'!D49/'11.6.3 Num quart long'!D49</f>
        <v>0</v>
      </c>
      <c r="E50">
        <f>'[1]11.2.2-catch'!E49/'11.6.3 Num quart long'!E49</f>
        <v>0</v>
      </c>
      <c r="F50">
        <f>'[1]11.2.2-catch'!F49/'11.6.3 Num quart long'!F49</f>
        <v>0</v>
      </c>
      <c r="H50">
        <f t="shared" si="2"/>
        <v>0</v>
      </c>
      <c r="I50">
        <f t="shared" si="2"/>
        <v>0</v>
      </c>
      <c r="J50">
        <f t="shared" si="2"/>
        <v>0</v>
      </c>
      <c r="K50">
        <f t="shared" si="2"/>
        <v>0</v>
      </c>
      <c r="P50" t="str">
        <f t="shared" si="3"/>
        <v/>
      </c>
      <c r="Q50" t="str">
        <f t="shared" si="3"/>
        <v/>
      </c>
      <c r="R50" t="str">
        <f t="shared" si="3"/>
        <v/>
      </c>
      <c r="S50" t="str">
        <f t="shared" si="3"/>
        <v/>
      </c>
    </row>
    <row r="51" spans="1:19" x14ac:dyDescent="0.25">
      <c r="A51">
        <v>1986</v>
      </c>
      <c r="B51">
        <v>1</v>
      </c>
      <c r="C51">
        <f>'[1]11.2.2-catch'!C50/'11.6.3 Num quart long'!C50</f>
        <v>0</v>
      </c>
      <c r="D51">
        <f>'[1]11.2.2-catch'!D50/'11.6.3 Num quart long'!D50</f>
        <v>4.2185542351645851E-2</v>
      </c>
      <c r="E51">
        <f>'[1]11.2.2-catch'!E50/'11.6.3 Num quart long'!E50</f>
        <v>0.42858968533454506</v>
      </c>
      <c r="F51">
        <f>'[1]11.2.2-catch'!F50/'11.6.3 Num quart long'!F50</f>
        <v>1.3606544543604195</v>
      </c>
      <c r="H51">
        <f t="shared" si="2"/>
        <v>0</v>
      </c>
      <c r="I51">
        <f t="shared" si="2"/>
        <v>4.1308113877537411E-2</v>
      </c>
      <c r="J51">
        <f t="shared" si="2"/>
        <v>0.34857283552893781</v>
      </c>
      <c r="K51">
        <f t="shared" si="2"/>
        <v>2</v>
      </c>
      <c r="P51">
        <f t="shared" si="3"/>
        <v>0</v>
      </c>
      <c r="Q51">
        <f t="shared" si="3"/>
        <v>0.11850640574115563</v>
      </c>
      <c r="R51">
        <f t="shared" si="3"/>
        <v>1</v>
      </c>
      <c r="S51">
        <f t="shared" si="3"/>
        <v>5.7376817587208802</v>
      </c>
    </row>
    <row r="52" spans="1:19" x14ac:dyDescent="0.25">
      <c r="A52">
        <v>1986</v>
      </c>
      <c r="B52">
        <v>2</v>
      </c>
      <c r="C52">
        <f>'[1]11.2.2-catch'!C51/'11.6.3 Num quart long'!C51</f>
        <v>0</v>
      </c>
      <c r="D52">
        <f>'[1]11.2.2-catch'!D51/'11.6.3 Num quart long'!D51</f>
        <v>7.7872456575682383E-2</v>
      </c>
      <c r="E52">
        <f>'[1]11.2.2-catch'!E51/'11.6.3 Num quart long'!E51</f>
        <v>0.8908755283668337</v>
      </c>
      <c r="F52">
        <f>'[1]11.2.2-catch'!F51/'11.6.3 Num quart long'!F51</f>
        <v>2.5959725865132413</v>
      </c>
      <c r="H52">
        <f t="shared" si="2"/>
        <v>0</v>
      </c>
      <c r="I52">
        <f t="shared" si="2"/>
        <v>7.4917592802459021E-2</v>
      </c>
      <c r="J52">
        <f t="shared" si="2"/>
        <v>0.58970363066004949</v>
      </c>
      <c r="K52">
        <f t="shared" si="2"/>
        <v>2</v>
      </c>
      <c r="P52">
        <f t="shared" si="3"/>
        <v>0</v>
      </c>
      <c r="Q52">
        <f t="shared" si="3"/>
        <v>0.12704278710070768</v>
      </c>
      <c r="R52">
        <f t="shared" si="3"/>
        <v>1</v>
      </c>
      <c r="S52">
        <f t="shared" si="3"/>
        <v>3.3915341470111344</v>
      </c>
    </row>
    <row r="53" spans="1:19" x14ac:dyDescent="0.25">
      <c r="A53">
        <v>1986</v>
      </c>
      <c r="B53">
        <v>3</v>
      </c>
      <c r="C53">
        <f>'[1]11.2.2-catch'!C52/'11.6.3 Num quart long'!C52</f>
        <v>2.3908307097145913E-2</v>
      </c>
      <c r="D53">
        <f>'[1]11.2.2-catch'!D52/'11.6.3 Num quart long'!D52</f>
        <v>5.1924505607245194E-2</v>
      </c>
      <c r="E53">
        <f>'[1]11.2.2-catch'!E52/'11.6.3 Num quart long'!E52</f>
        <v>4.4935632742288071E-3</v>
      </c>
      <c r="F53">
        <f>'[1]11.2.2-catch'!F52/'11.6.3 Num quart long'!F52</f>
        <v>0</v>
      </c>
      <c r="H53">
        <f t="shared" si="2"/>
        <v>2.3624767667118407E-2</v>
      </c>
      <c r="I53">
        <f t="shared" si="2"/>
        <v>5.0599461445411387E-2</v>
      </c>
      <c r="J53">
        <f t="shared" si="2"/>
        <v>4.4834823242272392E-3</v>
      </c>
      <c r="K53">
        <f t="shared" si="2"/>
        <v>0</v>
      </c>
      <c r="P53">
        <f t="shared" si="3"/>
        <v>5.2692897972315098</v>
      </c>
      <c r="Q53">
        <f t="shared" si="3"/>
        <v>11.28575017949526</v>
      </c>
      <c r="R53">
        <f t="shared" si="3"/>
        <v>1</v>
      </c>
      <c r="S53">
        <f t="shared" si="3"/>
        <v>0</v>
      </c>
    </row>
    <row r="54" spans="1:19" x14ac:dyDescent="0.25">
      <c r="A54">
        <v>1986</v>
      </c>
      <c r="B54">
        <v>4</v>
      </c>
      <c r="C54">
        <f>'[1]11.2.2-catch'!C53/'11.6.3 Num quart long'!C53</f>
        <v>0</v>
      </c>
      <c r="D54">
        <f>'[1]11.2.2-catch'!D53/'11.6.3 Num quart long'!D53</f>
        <v>0</v>
      </c>
      <c r="E54">
        <f>'[1]11.2.2-catch'!E53/'11.6.3 Num quart long'!E53</f>
        <v>0</v>
      </c>
      <c r="F54">
        <f>'[1]11.2.2-catch'!F53/'11.6.3 Num quart long'!F53</f>
        <v>0</v>
      </c>
      <c r="H54">
        <f t="shared" si="2"/>
        <v>0</v>
      </c>
      <c r="I54">
        <f t="shared" si="2"/>
        <v>0</v>
      </c>
      <c r="J54">
        <f t="shared" si="2"/>
        <v>0</v>
      </c>
      <c r="K54">
        <f t="shared" si="2"/>
        <v>0</v>
      </c>
      <c r="P54" t="str">
        <f t="shared" si="3"/>
        <v/>
      </c>
      <c r="Q54" t="str">
        <f t="shared" si="3"/>
        <v/>
      </c>
      <c r="R54" t="str">
        <f t="shared" si="3"/>
        <v/>
      </c>
      <c r="S54" t="str">
        <f t="shared" si="3"/>
        <v/>
      </c>
    </row>
    <row r="55" spans="1:19" x14ac:dyDescent="0.25">
      <c r="A55">
        <v>1987</v>
      </c>
      <c r="B55">
        <v>1</v>
      </c>
      <c r="C55">
        <f>'[1]11.2.2-catch'!C54/'11.6.3 Num quart long'!C54</f>
        <v>6.3231538850916664E-5</v>
      </c>
      <c r="D55">
        <f>'[1]11.2.2-catch'!D54/'11.6.3 Num quart long'!D54</f>
        <v>0.16070455924881288</v>
      </c>
      <c r="E55">
        <f>'[1]11.2.2-catch'!E54/'11.6.3 Num quart long'!E54</f>
        <v>0.19594933543546245</v>
      </c>
      <c r="F55">
        <f>'[1]11.2.2-catch'!F54/'11.6.3 Num quart long'!F54</f>
        <v>2.1182885906040269E-2</v>
      </c>
      <c r="H55">
        <f t="shared" si="2"/>
        <v>6.3229539779330324E-5</v>
      </c>
      <c r="I55">
        <f t="shared" si="2"/>
        <v>0.14845638536760697</v>
      </c>
      <c r="J55">
        <f t="shared" si="2"/>
        <v>0.17794611737487032</v>
      </c>
      <c r="K55">
        <f t="shared" si="2"/>
        <v>2.0960104402992785E-2</v>
      </c>
      <c r="P55">
        <f t="shared" si="3"/>
        <v>3.5532969593333563E-4</v>
      </c>
      <c r="Q55">
        <f t="shared" si="3"/>
        <v>0.83427718209136992</v>
      </c>
      <c r="R55">
        <f t="shared" si="3"/>
        <v>1</v>
      </c>
      <c r="S55">
        <f t="shared" si="3"/>
        <v>0.11778905160845497</v>
      </c>
    </row>
    <row r="56" spans="1:19" x14ac:dyDescent="0.25">
      <c r="A56">
        <v>1987</v>
      </c>
      <c r="B56">
        <v>2</v>
      </c>
      <c r="C56">
        <f>'[1]11.2.2-catch'!C55/'11.6.3 Num quart long'!C55</f>
        <v>2.3085828995588337E-3</v>
      </c>
      <c r="D56">
        <f>'[1]11.2.2-catch'!D55/'11.6.3 Num quart long'!D55</f>
        <v>0.22782982730755036</v>
      </c>
      <c r="E56">
        <f>'[1]11.2.2-catch'!E55/'11.6.3 Num quart long'!E55</f>
        <v>0.7502901939673301</v>
      </c>
      <c r="F56">
        <f>'[1]11.2.2-catch'!F55/'11.6.3 Num quart long'!F55</f>
        <v>1.4103192685951605E-2</v>
      </c>
      <c r="H56">
        <f t="shared" si="2"/>
        <v>2.3059201714937805E-3</v>
      </c>
      <c r="I56">
        <f t="shared" si="2"/>
        <v>0.20374025002769192</v>
      </c>
      <c r="J56">
        <f t="shared" si="2"/>
        <v>0.52777050529528968</v>
      </c>
      <c r="K56">
        <f t="shared" si="2"/>
        <v>1.4004208541178009E-2</v>
      </c>
      <c r="P56">
        <f t="shared" si="3"/>
        <v>4.3691721086300738E-3</v>
      </c>
      <c r="Q56">
        <f t="shared" si="3"/>
        <v>0.38603947735521604</v>
      </c>
      <c r="R56">
        <f t="shared" si="3"/>
        <v>1</v>
      </c>
      <c r="S56">
        <f t="shared" si="3"/>
        <v>2.6534655500201929E-2</v>
      </c>
    </row>
    <row r="57" spans="1:19" x14ac:dyDescent="0.25">
      <c r="A57">
        <v>1987</v>
      </c>
      <c r="B57">
        <v>3</v>
      </c>
      <c r="C57">
        <f>'[1]11.2.2-catch'!C56/'11.6.3 Num quart long'!C56</f>
        <v>1.558881226964689E-2</v>
      </c>
      <c r="D57">
        <f>'[1]11.2.2-catch'!D56/'11.6.3 Num quart long'!D56</f>
        <v>0.16099275040686492</v>
      </c>
      <c r="E57">
        <f>'[1]11.2.2-catch'!E56/'11.6.3 Num quart long'!E56</f>
        <v>0.16572538959298541</v>
      </c>
      <c r="F57">
        <f>'[1]11.2.2-catch'!F56/'11.6.3 Num quart long'!F56</f>
        <v>0.78370799866926477</v>
      </c>
      <c r="H57">
        <f t="shared" si="2"/>
        <v>1.5467935658363352E-2</v>
      </c>
      <c r="I57">
        <f t="shared" si="2"/>
        <v>0.14870175734932367</v>
      </c>
      <c r="J57">
        <f t="shared" si="2"/>
        <v>0.15272112615829658</v>
      </c>
      <c r="K57">
        <f t="shared" si="2"/>
        <v>0.54329061009579116</v>
      </c>
      <c r="P57">
        <f t="shared" si="3"/>
        <v>0.10128222628695602</v>
      </c>
      <c r="Q57">
        <f t="shared" si="3"/>
        <v>0.97368164503444787</v>
      </c>
      <c r="R57">
        <f t="shared" si="3"/>
        <v>1</v>
      </c>
      <c r="S57">
        <f t="shared" si="3"/>
        <v>3.5574031161390627</v>
      </c>
    </row>
    <row r="58" spans="1:19" x14ac:dyDescent="0.25">
      <c r="A58">
        <v>1987</v>
      </c>
      <c r="B58">
        <v>4</v>
      </c>
      <c r="C58">
        <f>'[1]11.2.2-catch'!C57/'11.6.3 Num quart long'!C57</f>
        <v>0</v>
      </c>
      <c r="D58">
        <f>'[1]11.2.2-catch'!D57/'11.6.3 Num quart long'!D57</f>
        <v>0</v>
      </c>
      <c r="E58">
        <f>'[1]11.2.2-catch'!E57/'11.6.3 Num quart long'!E57</f>
        <v>0</v>
      </c>
      <c r="F58">
        <f>'[1]11.2.2-catch'!F57/'11.6.3 Num quart long'!F57</f>
        <v>0</v>
      </c>
      <c r="H58">
        <f t="shared" si="2"/>
        <v>0</v>
      </c>
      <c r="I58">
        <f t="shared" si="2"/>
        <v>0</v>
      </c>
      <c r="J58">
        <f t="shared" si="2"/>
        <v>0</v>
      </c>
      <c r="K58">
        <f t="shared" si="2"/>
        <v>0</v>
      </c>
      <c r="P58" t="str">
        <f t="shared" si="3"/>
        <v/>
      </c>
      <c r="Q58" t="str">
        <f t="shared" si="3"/>
        <v/>
      </c>
      <c r="R58" t="str">
        <f t="shared" si="3"/>
        <v/>
      </c>
      <c r="S58" t="str">
        <f t="shared" si="3"/>
        <v/>
      </c>
    </row>
    <row r="59" spans="1:19" x14ac:dyDescent="0.25">
      <c r="A59">
        <v>1988</v>
      </c>
      <c r="B59">
        <v>1</v>
      </c>
      <c r="C59">
        <f>'[1]11.2.2-catch'!C58/'11.6.3 Num quart long'!C58</f>
        <v>8.0494090510315724E-2</v>
      </c>
      <c r="D59">
        <f>'[1]11.2.2-catch'!D58/'11.6.3 Num quart long'!D58</f>
        <v>0.27169696663440374</v>
      </c>
      <c r="E59">
        <f>'[1]11.2.2-catch'!E58/'11.6.3 Num quart long'!E58</f>
        <v>0.86558170262483403</v>
      </c>
      <c r="F59">
        <f>'[1]11.2.2-catch'!F58/'11.6.3 Num quart long'!F58</f>
        <v>0.2537511006223383</v>
      </c>
      <c r="H59">
        <f t="shared" si="2"/>
        <v>7.7339643980497974E-2</v>
      </c>
      <c r="I59">
        <f t="shared" si="2"/>
        <v>0.23791483666555535</v>
      </c>
      <c r="J59">
        <f t="shared" si="2"/>
        <v>0.57919330294256421</v>
      </c>
      <c r="K59">
        <f t="shared" si="2"/>
        <v>0.22411510471734097</v>
      </c>
      <c r="P59">
        <f t="shared" si="3"/>
        <v>0.13352993480341979</v>
      </c>
      <c r="Q59">
        <f t="shared" si="3"/>
        <v>0.41076931562716673</v>
      </c>
      <c r="R59">
        <f t="shared" si="3"/>
        <v>1</v>
      </c>
      <c r="S59">
        <f t="shared" si="3"/>
        <v>0.3869435360849906</v>
      </c>
    </row>
    <row r="60" spans="1:19" x14ac:dyDescent="0.25">
      <c r="A60">
        <v>1988</v>
      </c>
      <c r="B60">
        <v>2</v>
      </c>
      <c r="C60">
        <f>'[1]11.2.2-catch'!C59/'11.6.3 Num quart long'!C59</f>
        <v>3.878832715166905E-2</v>
      </c>
      <c r="D60">
        <f>'[1]11.2.2-catch'!D59/'11.6.3 Num quart long'!D59</f>
        <v>9.1944945320000943E-2</v>
      </c>
      <c r="E60">
        <f>'[1]11.2.2-catch'!E59/'11.6.3 Num quart long'!E59</f>
        <v>0.41945596390040835</v>
      </c>
      <c r="F60">
        <f>'[1]11.2.2-catch'!F59/'11.6.3 Num quart long'!F59</f>
        <v>0.15872097826985046</v>
      </c>
      <c r="H60">
        <f t="shared" si="2"/>
        <v>3.8045692794313579E-2</v>
      </c>
      <c r="I60">
        <f t="shared" si="2"/>
        <v>8.7844633415447015E-2</v>
      </c>
      <c r="J60">
        <f t="shared" si="2"/>
        <v>0.34259562574339897</v>
      </c>
      <c r="K60">
        <f t="shared" si="2"/>
        <v>0.14676560330367272</v>
      </c>
      <c r="P60">
        <f t="shared" si="3"/>
        <v>0.11105130928556999</v>
      </c>
      <c r="Q60">
        <f t="shared" si="3"/>
        <v>0.25640909227849235</v>
      </c>
      <c r="R60">
        <f t="shared" si="3"/>
        <v>1</v>
      </c>
      <c r="S60">
        <f t="shared" si="3"/>
        <v>0.42839310334218578</v>
      </c>
    </row>
    <row r="61" spans="1:19" x14ac:dyDescent="0.25">
      <c r="A61">
        <v>1988</v>
      </c>
      <c r="B61">
        <v>3</v>
      </c>
      <c r="C61">
        <f>'[1]11.2.2-catch'!C60/'11.6.3 Num quart long'!C60</f>
        <v>9.7890536224937666E-2</v>
      </c>
      <c r="D61">
        <f>'[1]11.2.2-catch'!D60/'11.6.3 Num quart long'!D60</f>
        <v>0.34501012047149493</v>
      </c>
      <c r="E61">
        <f>'[1]11.2.2-catch'!E60/'11.6.3 Num quart long'!E60</f>
        <v>0.32234870284693518</v>
      </c>
      <c r="F61">
        <f>'[1]11.2.2-catch'!F60/'11.6.3 Num quart long'!F60</f>
        <v>0.24415295686971988</v>
      </c>
      <c r="H61">
        <f t="shared" si="2"/>
        <v>9.3251845602342121E-2</v>
      </c>
      <c r="I61">
        <f t="shared" si="2"/>
        <v>0.2917868140198302</v>
      </c>
      <c r="J61">
        <f t="shared" si="2"/>
        <v>0.27555446993799637</v>
      </c>
      <c r="K61">
        <f t="shared" si="2"/>
        <v>0.21663219638844422</v>
      </c>
      <c r="P61">
        <f t="shared" si="3"/>
        <v>0.33841528908358881</v>
      </c>
      <c r="Q61">
        <f t="shared" si="3"/>
        <v>1.0589079323789823</v>
      </c>
      <c r="R61">
        <f t="shared" si="3"/>
        <v>1</v>
      </c>
      <c r="S61">
        <f t="shared" si="3"/>
        <v>0.78616832612873055</v>
      </c>
    </row>
    <row r="62" spans="1:19" x14ac:dyDescent="0.25">
      <c r="A62">
        <v>1988</v>
      </c>
      <c r="B62">
        <v>4</v>
      </c>
      <c r="C62">
        <f>'[1]11.2.2-catch'!C61/'11.6.3 Num quart long'!C61</f>
        <v>0</v>
      </c>
      <c r="D62">
        <f>'[1]11.2.2-catch'!D61/'11.6.3 Num quart long'!D61</f>
        <v>0</v>
      </c>
      <c r="E62">
        <f>'[1]11.2.2-catch'!E61/'11.6.3 Num quart long'!E61</f>
        <v>0</v>
      </c>
      <c r="F62">
        <f>'[1]11.2.2-catch'!F61/'11.6.3 Num quart long'!F61</f>
        <v>0</v>
      </c>
      <c r="H62">
        <f t="shared" si="2"/>
        <v>0</v>
      </c>
      <c r="I62">
        <f t="shared" si="2"/>
        <v>0</v>
      </c>
      <c r="J62">
        <f t="shared" si="2"/>
        <v>0</v>
      </c>
      <c r="K62">
        <f t="shared" si="2"/>
        <v>0</v>
      </c>
      <c r="P62" t="str">
        <f t="shared" si="3"/>
        <v/>
      </c>
      <c r="Q62" t="str">
        <f t="shared" si="3"/>
        <v/>
      </c>
      <c r="R62" t="str">
        <f t="shared" si="3"/>
        <v/>
      </c>
      <c r="S62" t="str">
        <f t="shared" si="3"/>
        <v/>
      </c>
    </row>
    <row r="63" spans="1:19" x14ac:dyDescent="0.25">
      <c r="A63">
        <v>1989</v>
      </c>
      <c r="B63">
        <v>1</v>
      </c>
      <c r="C63">
        <f>'[1]11.2.2-catch'!C62/'11.6.3 Num quart long'!C62</f>
        <v>2.9163826642587945E-4</v>
      </c>
      <c r="D63">
        <f>'[1]11.2.2-catch'!D62/'11.6.3 Num quart long'!D62</f>
        <v>0.16729632243393711</v>
      </c>
      <c r="E63">
        <f>'[1]11.2.2-catch'!E62/'11.6.3 Num quart long'!E62</f>
        <v>3.4720094153816592</v>
      </c>
      <c r="F63">
        <f>'[1]11.2.2-catch'!F62/'11.6.3 Num quart long'!F62</f>
        <v>2.5692197051420354E-2</v>
      </c>
      <c r="H63">
        <f t="shared" si="2"/>
        <v>2.9159574412052081E-4</v>
      </c>
      <c r="I63">
        <f t="shared" si="2"/>
        <v>0.15405109944379092</v>
      </c>
      <c r="J63">
        <f t="shared" si="2"/>
        <v>2</v>
      </c>
      <c r="K63">
        <f t="shared" si="2"/>
        <v>2.5364961017481868E-2</v>
      </c>
      <c r="P63">
        <f t="shared" si="3"/>
        <v>1.457978720602604E-4</v>
      </c>
      <c r="Q63">
        <f t="shared" si="3"/>
        <v>7.7025549721895459E-2</v>
      </c>
      <c r="R63">
        <f t="shared" si="3"/>
        <v>1</v>
      </c>
      <c r="S63">
        <f t="shared" si="3"/>
        <v>1.2682480508740934E-2</v>
      </c>
    </row>
    <row r="64" spans="1:19" x14ac:dyDescent="0.25">
      <c r="A64">
        <v>1989</v>
      </c>
      <c r="B64">
        <v>2</v>
      </c>
      <c r="C64">
        <f>'[1]11.2.2-catch'!C63/'11.6.3 Num quart long'!C63</f>
        <v>3.079403783379872E-5</v>
      </c>
      <c r="D64">
        <f>'[1]11.2.2-catch'!D63/'11.6.3 Num quart long'!D63</f>
        <v>1.3367047599389155E-2</v>
      </c>
      <c r="E64">
        <f>'[1]11.2.2-catch'!E63/'11.6.3 Num quart long'!E63</f>
        <v>0.15632086516589261</v>
      </c>
      <c r="F64">
        <f>'[1]11.2.2-catch'!F63/'11.6.3 Num quart long'!F63</f>
        <v>2.5743125757427495E-3</v>
      </c>
      <c r="H64">
        <f t="shared" si="2"/>
        <v>3.079356370228048E-5</v>
      </c>
      <c r="I64">
        <f t="shared" si="2"/>
        <v>1.327810535806917E-2</v>
      </c>
      <c r="J64">
        <f t="shared" si="2"/>
        <v>0.14471528473342599</v>
      </c>
      <c r="K64">
        <f t="shared" si="2"/>
        <v>2.5710018746597507E-3</v>
      </c>
      <c r="P64">
        <f t="shared" si="3"/>
        <v>2.1278722395498185E-4</v>
      </c>
      <c r="Q64">
        <f t="shared" si="3"/>
        <v>9.1753302925314459E-2</v>
      </c>
      <c r="R64">
        <f t="shared" si="3"/>
        <v>1</v>
      </c>
      <c r="S64">
        <f t="shared" si="3"/>
        <v>1.7765931770066214E-2</v>
      </c>
    </row>
    <row r="65" spans="1:19" x14ac:dyDescent="0.25">
      <c r="A65">
        <v>1989</v>
      </c>
      <c r="B65">
        <v>3</v>
      </c>
      <c r="C65">
        <f>'[1]11.2.2-catch'!C64/'11.6.3 Num quart long'!C64</f>
        <v>2.9144762164913893E-2</v>
      </c>
      <c r="D65">
        <f>'[1]11.2.2-catch'!D64/'11.6.3 Num quart long'!D64</f>
        <v>0.10928469013024936</v>
      </c>
      <c r="E65">
        <f>'[1]11.2.2-catch'!E64/'11.6.3 Num quart long'!E64</f>
        <v>0.10262120800934502</v>
      </c>
      <c r="F65">
        <f>'[1]11.2.2-catch'!F64/'11.6.3 Num quart long'!F64</f>
        <v>0.15992324286359302</v>
      </c>
      <c r="H65">
        <f t="shared" si="2"/>
        <v>2.872414970577275E-2</v>
      </c>
      <c r="I65">
        <f t="shared" si="2"/>
        <v>0.10352483646525468</v>
      </c>
      <c r="J65">
        <f t="shared" si="2"/>
        <v>9.7531243318092153E-2</v>
      </c>
      <c r="K65">
        <f t="shared" si="2"/>
        <v>0.14779080040640646</v>
      </c>
      <c r="P65">
        <f t="shared" si="3"/>
        <v>0.29451228886820097</v>
      </c>
      <c r="Q65">
        <f t="shared" si="3"/>
        <v>1.0614530579459014</v>
      </c>
      <c r="R65">
        <f t="shared" si="3"/>
        <v>1</v>
      </c>
      <c r="S65">
        <f t="shared" si="3"/>
        <v>1.5153175062517747</v>
      </c>
    </row>
    <row r="66" spans="1:19" x14ac:dyDescent="0.25">
      <c r="A66">
        <v>1989</v>
      </c>
      <c r="B66">
        <v>4</v>
      </c>
      <c r="C66">
        <f>'[1]11.2.2-catch'!C65/'11.6.3 Num quart long'!C65</f>
        <v>0</v>
      </c>
      <c r="D66">
        <f>'[1]11.2.2-catch'!D65/'11.6.3 Num quart long'!D65</f>
        <v>0</v>
      </c>
      <c r="E66">
        <f>'[1]11.2.2-catch'!E65/'11.6.3 Num quart long'!E65</f>
        <v>0</v>
      </c>
      <c r="F66">
        <f>'[1]11.2.2-catch'!F65/'11.6.3 Num quart long'!F65</f>
        <v>0</v>
      </c>
      <c r="H66">
        <f t="shared" si="2"/>
        <v>0</v>
      </c>
      <c r="I66">
        <f t="shared" si="2"/>
        <v>0</v>
      </c>
      <c r="J66">
        <f t="shared" si="2"/>
        <v>0</v>
      </c>
      <c r="K66">
        <f t="shared" si="2"/>
        <v>0</v>
      </c>
      <c r="P66" t="str">
        <f t="shared" si="3"/>
        <v/>
      </c>
      <c r="Q66" t="str">
        <f t="shared" si="3"/>
        <v/>
      </c>
      <c r="R66" t="str">
        <f t="shared" si="3"/>
        <v/>
      </c>
      <c r="S66" t="str">
        <f t="shared" si="3"/>
        <v/>
      </c>
    </row>
    <row r="67" spans="1:19" x14ac:dyDescent="0.25">
      <c r="A67">
        <v>1990</v>
      </c>
      <c r="B67">
        <v>1</v>
      </c>
      <c r="C67">
        <f>'[1]11.2.2-catch'!C66/'11.6.3 Num quart long'!C66</f>
        <v>2.562480899875308E-5</v>
      </c>
      <c r="D67">
        <f>'[1]11.2.2-catch'!D66/'11.6.3 Num quart long'!D66</f>
        <v>0.29422121109184202</v>
      </c>
      <c r="E67">
        <f>'[1]11.2.2-catch'!E66/'11.6.3 Num quart long'!E66</f>
        <v>0.97680762134606469</v>
      </c>
      <c r="F67">
        <f>'[1]11.2.2-catch'!F66/'11.6.3 Num quart long'!F66</f>
        <v>1.3630716210139247</v>
      </c>
      <c r="H67">
        <f t="shared" si="2"/>
        <v>2.5624480686103901E-5</v>
      </c>
      <c r="I67">
        <f t="shared" si="2"/>
        <v>0.25488835374964292</v>
      </c>
      <c r="J67">
        <f t="shared" si="2"/>
        <v>0.62348885152080458</v>
      </c>
      <c r="K67">
        <f t="shared" si="2"/>
        <v>2</v>
      </c>
      <c r="P67">
        <f t="shared" si="3"/>
        <v>4.1098538688544399E-5</v>
      </c>
      <c r="Q67">
        <f t="shared" si="3"/>
        <v>0.40880980169560865</v>
      </c>
      <c r="R67">
        <f t="shared" si="3"/>
        <v>1</v>
      </c>
      <c r="S67">
        <f t="shared" si="3"/>
        <v>3.2077558325567974</v>
      </c>
    </row>
    <row r="68" spans="1:19" x14ac:dyDescent="0.25">
      <c r="A68">
        <v>1990</v>
      </c>
      <c r="B68">
        <v>2</v>
      </c>
      <c r="C68">
        <f>'[1]11.2.2-catch'!C67/'11.6.3 Num quart long'!C67</f>
        <v>3.2832932637543183E-5</v>
      </c>
      <c r="D68">
        <f>'[1]11.2.2-catch'!D67/'11.6.3 Num quart long'!D67</f>
        <v>0.54276811498648381</v>
      </c>
      <c r="E68">
        <f>'[1]11.2.2-catch'!E67/'11.6.3 Num quart long'!E67</f>
        <v>2.1211064846980174</v>
      </c>
      <c r="F68">
        <f>'[1]11.2.2-catch'!F67/'11.6.3 Num quart long'!F67</f>
        <v>2.6788812728273377</v>
      </c>
      <c r="H68">
        <f t="shared" ref="H68:K131" si="4">IF(C68&lt;1,1-EXP(-C68),2)</f>
        <v>3.2832393642712177E-5</v>
      </c>
      <c r="I68">
        <f t="shared" si="4"/>
        <v>0.41886263121264433</v>
      </c>
      <c r="J68">
        <f t="shared" si="4"/>
        <v>2</v>
      </c>
      <c r="K68">
        <f t="shared" si="4"/>
        <v>2</v>
      </c>
      <c r="P68">
        <f t="shared" ref="P68:S131" si="5">IF($J68=0,"",H68/$J68)</f>
        <v>1.6416196821356088E-5</v>
      </c>
      <c r="Q68">
        <f t="shared" si="5"/>
        <v>0.20943131560632217</v>
      </c>
      <c r="R68">
        <f t="shared" si="5"/>
        <v>1</v>
      </c>
      <c r="S68">
        <f t="shared" si="5"/>
        <v>1</v>
      </c>
    </row>
    <row r="69" spans="1:19" x14ac:dyDescent="0.25">
      <c r="A69">
        <v>1990</v>
      </c>
      <c r="B69">
        <v>3</v>
      </c>
      <c r="C69">
        <f>'[1]11.2.2-catch'!C68/'11.6.3 Num quart long'!C68</f>
        <v>1.2333364324836027E-2</v>
      </c>
      <c r="D69">
        <f>'[1]11.2.2-catch'!D68/'11.6.3 Num quart long'!D68</f>
        <v>3.2157090366347257E-2</v>
      </c>
      <c r="E69">
        <f>'[1]11.2.2-catch'!E68/'11.6.3 Num quart long'!E68</f>
        <v>8.632882341952872E-3</v>
      </c>
      <c r="F69">
        <f>'[1]11.2.2-catch'!F68/'11.6.3 Num quart long'!F68</f>
        <v>1.6905071521456438E-2</v>
      </c>
      <c r="H69">
        <f t="shared" si="4"/>
        <v>1.2257620100536992E-2</v>
      </c>
      <c r="I69">
        <f t="shared" si="4"/>
        <v>3.1645549025112629E-2</v>
      </c>
      <c r="J69">
        <f t="shared" si="4"/>
        <v>8.5957260121385382E-3</v>
      </c>
      <c r="K69">
        <f t="shared" si="4"/>
        <v>1.6762982601019716E-2</v>
      </c>
      <c r="P69">
        <f t="shared" si="5"/>
        <v>1.4260133563153683</v>
      </c>
      <c r="Q69">
        <f t="shared" si="5"/>
        <v>3.6815446397923872</v>
      </c>
      <c r="R69">
        <f t="shared" si="5"/>
        <v>1</v>
      </c>
      <c r="S69">
        <f t="shared" si="5"/>
        <v>1.9501532014105274</v>
      </c>
    </row>
    <row r="70" spans="1:19" x14ac:dyDescent="0.25">
      <c r="A70">
        <v>1990</v>
      </c>
      <c r="B70">
        <v>4</v>
      </c>
      <c r="C70">
        <f>'[1]11.2.2-catch'!C69/'11.6.3 Num quart long'!C69</f>
        <v>0</v>
      </c>
      <c r="D70">
        <f>'[1]11.2.2-catch'!D69/'11.6.3 Num quart long'!D69</f>
        <v>0</v>
      </c>
      <c r="E70">
        <f>'[1]11.2.2-catch'!E69/'11.6.3 Num quart long'!E69</f>
        <v>0</v>
      </c>
      <c r="F70">
        <f>'[1]11.2.2-catch'!F69/'11.6.3 Num quart long'!F69</f>
        <v>0</v>
      </c>
      <c r="H70">
        <f t="shared" si="4"/>
        <v>0</v>
      </c>
      <c r="I70">
        <f t="shared" si="4"/>
        <v>0</v>
      </c>
      <c r="J70">
        <f t="shared" si="4"/>
        <v>0</v>
      </c>
      <c r="K70">
        <f t="shared" si="4"/>
        <v>0</v>
      </c>
      <c r="P70" t="str">
        <f t="shared" si="5"/>
        <v/>
      </c>
      <c r="Q70" t="str">
        <f t="shared" si="5"/>
        <v/>
      </c>
      <c r="R70" t="str">
        <f t="shared" si="5"/>
        <v/>
      </c>
      <c r="S70" t="str">
        <f t="shared" si="5"/>
        <v/>
      </c>
    </row>
    <row r="71" spans="1:19" x14ac:dyDescent="0.25">
      <c r="A71">
        <v>1991</v>
      </c>
      <c r="B71">
        <v>1</v>
      </c>
      <c r="C71">
        <f>'[1]11.2.2-catch'!C70/'11.6.3 Num quart long'!C70</f>
        <v>3.8686507860704119E-4</v>
      </c>
      <c r="D71">
        <f>'[1]11.2.2-catch'!D70/'11.6.3 Num quart long'!D70</f>
        <v>0.12969660100722305</v>
      </c>
      <c r="E71">
        <f>'[1]11.2.2-catch'!E70/'11.6.3 Num quart long'!E70</f>
        <v>2.4358617714588662</v>
      </c>
      <c r="F71">
        <f>'[1]11.2.2-catch'!F70/'11.6.3 Num quart long'!F70</f>
        <v>7.1558249063752535E-2</v>
      </c>
      <c r="H71">
        <f t="shared" si="4"/>
        <v>3.8679025596155547E-4</v>
      </c>
      <c r="I71">
        <f t="shared" si="4"/>
        <v>0.12163811539128899</v>
      </c>
      <c r="J71">
        <f t="shared" si="4"/>
        <v>2</v>
      </c>
      <c r="K71">
        <f t="shared" si="4"/>
        <v>6.905795048728236E-2</v>
      </c>
      <c r="P71">
        <f t="shared" si="5"/>
        <v>1.9339512798077774E-4</v>
      </c>
      <c r="Q71">
        <f t="shared" si="5"/>
        <v>6.0819057695644496E-2</v>
      </c>
      <c r="R71">
        <f t="shared" si="5"/>
        <v>1</v>
      </c>
      <c r="S71">
        <f t="shared" si="5"/>
        <v>3.452897524364118E-2</v>
      </c>
    </row>
    <row r="72" spans="1:19" x14ac:dyDescent="0.25">
      <c r="A72">
        <v>1991</v>
      </c>
      <c r="B72">
        <v>2</v>
      </c>
      <c r="C72">
        <f>'[1]11.2.2-catch'!C71/'11.6.3 Num quart long'!C71</f>
        <v>2.3466378233908687E-2</v>
      </c>
      <c r="D72">
        <f>'[1]11.2.2-catch'!D71/'11.6.3 Num quart long'!D71</f>
        <v>0.41684177506259618</v>
      </c>
      <c r="E72">
        <f>'[1]11.2.2-catch'!E71/'11.6.3 Num quart long'!E71</f>
        <v>1.2135490550157464</v>
      </c>
      <c r="F72">
        <f>'[1]11.2.2-catch'!F71/'11.6.3 Num quart long'!F71</f>
        <v>0.15785747217282486</v>
      </c>
      <c r="H72">
        <f t="shared" si="4"/>
        <v>2.3193183912965654E-2</v>
      </c>
      <c r="I72">
        <f t="shared" si="4"/>
        <v>0.34087479826230083</v>
      </c>
      <c r="J72">
        <f t="shared" si="4"/>
        <v>2</v>
      </c>
      <c r="K72">
        <f t="shared" si="4"/>
        <v>0.14602851200431854</v>
      </c>
      <c r="P72">
        <f t="shared" si="5"/>
        <v>1.1596591956482827E-2</v>
      </c>
      <c r="Q72">
        <f t="shared" si="5"/>
        <v>0.17043739913115041</v>
      </c>
      <c r="R72">
        <f t="shared" si="5"/>
        <v>1</v>
      </c>
      <c r="S72">
        <f t="shared" si="5"/>
        <v>7.3014256002159272E-2</v>
      </c>
    </row>
    <row r="73" spans="1:19" x14ac:dyDescent="0.25">
      <c r="A73">
        <v>1991</v>
      </c>
      <c r="B73">
        <v>3</v>
      </c>
      <c r="C73">
        <f>'[1]11.2.2-catch'!C72/'11.6.3 Num quart long'!C72</f>
        <v>4.7544200735690099E-3</v>
      </c>
      <c r="D73">
        <f>'[1]11.2.2-catch'!D72/'11.6.3 Num quart long'!D72</f>
        <v>1.4197786055757618E-2</v>
      </c>
      <c r="E73">
        <f>'[1]11.2.2-catch'!E72/'11.6.3 Num quart long'!E72</f>
        <v>4.0831448097554054E-3</v>
      </c>
      <c r="F73">
        <f>'[1]11.2.2-catch'!F72/'11.6.3 Num quart long'!F72</f>
        <v>3.3014306199353055E-3</v>
      </c>
      <c r="H73">
        <f t="shared" si="4"/>
        <v>4.7431357090705895E-3</v>
      </c>
      <c r="I73">
        <f t="shared" si="4"/>
        <v>1.4097472794547095E-2</v>
      </c>
      <c r="J73">
        <f t="shared" si="4"/>
        <v>4.0748201081616253E-3</v>
      </c>
      <c r="K73">
        <f t="shared" si="4"/>
        <v>3.2959868902125988E-3</v>
      </c>
      <c r="P73">
        <f t="shared" si="5"/>
        <v>1.1640110687513217</v>
      </c>
      <c r="Q73">
        <f t="shared" si="5"/>
        <v>3.459655253568295</v>
      </c>
      <c r="R73">
        <f t="shared" si="5"/>
        <v>1</v>
      </c>
      <c r="S73">
        <f t="shared" si="5"/>
        <v>0.8088668463206341</v>
      </c>
    </row>
    <row r="74" spans="1:19" x14ac:dyDescent="0.25">
      <c r="A74">
        <v>1991</v>
      </c>
      <c r="B74">
        <v>4</v>
      </c>
      <c r="C74">
        <f>'[1]11.2.2-catch'!C73/'11.6.3 Num quart long'!C73</f>
        <v>0</v>
      </c>
      <c r="D74">
        <f>'[1]11.2.2-catch'!D73/'11.6.3 Num quart long'!D73</f>
        <v>0</v>
      </c>
      <c r="E74">
        <f>'[1]11.2.2-catch'!E73/'11.6.3 Num quart long'!E73</f>
        <v>0</v>
      </c>
      <c r="F74">
        <f>'[1]11.2.2-catch'!F73/'11.6.3 Num quart long'!F73</f>
        <v>0</v>
      </c>
      <c r="H74">
        <f t="shared" si="4"/>
        <v>0</v>
      </c>
      <c r="I74">
        <f t="shared" si="4"/>
        <v>0</v>
      </c>
      <c r="J74">
        <f t="shared" si="4"/>
        <v>0</v>
      </c>
      <c r="K74">
        <f t="shared" si="4"/>
        <v>0</v>
      </c>
      <c r="P74" t="str">
        <f t="shared" si="5"/>
        <v/>
      </c>
      <c r="Q74" t="str">
        <f t="shared" si="5"/>
        <v/>
      </c>
      <c r="R74" t="str">
        <f t="shared" si="5"/>
        <v/>
      </c>
      <c r="S74" t="str">
        <f t="shared" si="5"/>
        <v/>
      </c>
    </row>
    <row r="75" spans="1:19" x14ac:dyDescent="0.25">
      <c r="A75">
        <v>1992</v>
      </c>
      <c r="B75">
        <v>1</v>
      </c>
      <c r="C75">
        <f>'[1]11.2.2-catch'!C74/'11.6.3 Num quart long'!C74</f>
        <v>1.8564640180277275E-4</v>
      </c>
      <c r="D75">
        <f>'[1]11.2.2-catch'!D74/'11.6.3 Num quart long'!D74</f>
        <v>0.39343847517946345</v>
      </c>
      <c r="E75">
        <f>'[1]11.2.2-catch'!E74/'11.6.3 Num quart long'!E74</f>
        <v>0.52282989768580723</v>
      </c>
      <c r="F75">
        <f>'[1]11.2.2-catch'!F74/'11.6.3 Num quart long'!F74</f>
        <v>1.1378921468115646</v>
      </c>
      <c r="H75">
        <f t="shared" si="4"/>
        <v>1.8562917057585171E-4</v>
      </c>
      <c r="I75">
        <f t="shared" si="4"/>
        <v>0.32526717088391432</v>
      </c>
      <c r="J75">
        <f t="shared" si="4"/>
        <v>0.40715950604099138</v>
      </c>
      <c r="K75">
        <f t="shared" si="4"/>
        <v>2</v>
      </c>
      <c r="P75">
        <f t="shared" si="5"/>
        <v>4.5591265295710234E-4</v>
      </c>
      <c r="Q75">
        <f t="shared" si="5"/>
        <v>0.79886915584175888</v>
      </c>
      <c r="R75">
        <f t="shared" si="5"/>
        <v>1</v>
      </c>
      <c r="S75">
        <f t="shared" si="5"/>
        <v>4.9120798368358543</v>
      </c>
    </row>
    <row r="76" spans="1:19" x14ac:dyDescent="0.25">
      <c r="A76">
        <v>1992</v>
      </c>
      <c r="B76">
        <v>2</v>
      </c>
      <c r="C76">
        <f>'[1]11.2.2-catch'!C75/'11.6.3 Num quart long'!C75</f>
        <v>3.3579391360261178E-3</v>
      </c>
      <c r="D76">
        <f>'[1]11.2.2-catch'!D75/'11.6.3 Num quart long'!D75</f>
        <v>8.9416256101885458E-2</v>
      </c>
      <c r="E76">
        <f>'[1]11.2.2-catch'!E75/'11.6.3 Num quart long'!E75</f>
        <v>0.10688199521252507</v>
      </c>
      <c r="F76">
        <f>'[1]11.2.2-catch'!F75/'11.6.3 Num quart long'!F75</f>
        <v>0.20660753213560851</v>
      </c>
      <c r="H76">
        <f t="shared" si="4"/>
        <v>3.3523075636614497E-3</v>
      </c>
      <c r="I76">
        <f t="shared" si="4"/>
        <v>8.5535157231573233E-2</v>
      </c>
      <c r="J76">
        <f t="shared" si="4"/>
        <v>0.10136829042232309</v>
      </c>
      <c r="K76">
        <f t="shared" si="4"/>
        <v>0.18666120330337299</v>
      </c>
      <c r="P76">
        <f t="shared" si="5"/>
        <v>3.3070574138075945E-2</v>
      </c>
      <c r="Q76">
        <f t="shared" si="5"/>
        <v>0.8438058575834172</v>
      </c>
      <c r="R76">
        <f t="shared" si="5"/>
        <v>1</v>
      </c>
      <c r="S76">
        <f t="shared" si="5"/>
        <v>1.8414161127281563</v>
      </c>
    </row>
    <row r="77" spans="1:19" x14ac:dyDescent="0.25">
      <c r="A77">
        <v>1992</v>
      </c>
      <c r="B77">
        <v>3</v>
      </c>
      <c r="C77">
        <f>'[1]11.2.2-catch'!C76/'11.6.3 Num quart long'!C76</f>
        <v>2.8044002708263491E-2</v>
      </c>
      <c r="D77">
        <f>'[1]11.2.2-catch'!D76/'11.6.3 Num quart long'!D76</f>
        <v>0.18603628522199947</v>
      </c>
      <c r="E77">
        <f>'[1]11.2.2-catch'!E76/'11.6.3 Num quart long'!E76</f>
        <v>0.45941807858544081</v>
      </c>
      <c r="F77">
        <f>'[1]11.2.2-catch'!F76/'11.6.3 Num quart long'!F76</f>
        <v>0.16207712654879577</v>
      </c>
      <c r="H77">
        <f t="shared" si="4"/>
        <v>2.7654419979002309E-2</v>
      </c>
      <c r="I77">
        <f t="shared" si="4"/>
        <v>0.16975653113321187</v>
      </c>
      <c r="J77">
        <f t="shared" si="4"/>
        <v>0.36834889011376648</v>
      </c>
      <c r="K77">
        <f t="shared" si="4"/>
        <v>0.14962438452546523</v>
      </c>
      <c r="P77">
        <f t="shared" si="5"/>
        <v>7.5076702336366749E-2</v>
      </c>
      <c r="Q77">
        <f t="shared" si="5"/>
        <v>0.46085799547483824</v>
      </c>
      <c r="R77">
        <f t="shared" si="5"/>
        <v>1</v>
      </c>
      <c r="S77">
        <f t="shared" si="5"/>
        <v>0.40620289226133666</v>
      </c>
    </row>
    <row r="78" spans="1:19" x14ac:dyDescent="0.25">
      <c r="A78">
        <v>1992</v>
      </c>
      <c r="B78">
        <v>4</v>
      </c>
      <c r="C78">
        <f>'[1]11.2.2-catch'!C77/'11.6.3 Num quart long'!C77</f>
        <v>0</v>
      </c>
      <c r="D78">
        <f>'[1]11.2.2-catch'!D77/'11.6.3 Num quart long'!D77</f>
        <v>0</v>
      </c>
      <c r="E78">
        <f>'[1]11.2.2-catch'!E77/'11.6.3 Num quart long'!E77</f>
        <v>0</v>
      </c>
      <c r="F78">
        <f>'[1]11.2.2-catch'!F77/'11.6.3 Num quart long'!F77</f>
        <v>0</v>
      </c>
      <c r="H78">
        <f t="shared" si="4"/>
        <v>0</v>
      </c>
      <c r="I78">
        <f t="shared" si="4"/>
        <v>0</v>
      </c>
      <c r="J78">
        <f t="shared" si="4"/>
        <v>0</v>
      </c>
      <c r="K78">
        <f t="shared" si="4"/>
        <v>0</v>
      </c>
      <c r="P78" t="str">
        <f t="shared" si="5"/>
        <v/>
      </c>
      <c r="Q78" t="str">
        <f t="shared" si="5"/>
        <v/>
      </c>
      <c r="R78" t="str">
        <f t="shared" si="5"/>
        <v/>
      </c>
      <c r="S78" t="str">
        <f t="shared" si="5"/>
        <v/>
      </c>
    </row>
    <row r="79" spans="1:19" x14ac:dyDescent="0.25">
      <c r="A79">
        <v>1993</v>
      </c>
      <c r="B79">
        <v>1</v>
      </c>
      <c r="C79">
        <f>'[1]11.2.2-catch'!C78/'11.6.3 Num quart long'!C78</f>
        <v>1.9690010882041651E-3</v>
      </c>
      <c r="D79">
        <f>'[1]11.2.2-catch'!D78/'11.6.3 Num quart long'!D78</f>
        <v>0.11529121165836954</v>
      </c>
      <c r="E79">
        <f>'[1]11.2.2-catch'!E78/'11.6.3 Num quart long'!E78</f>
        <v>1.1269961856795168</v>
      </c>
      <c r="F79">
        <f>'[1]11.2.2-catch'!F78/'11.6.3 Num quart long'!F78</f>
        <v>0.756647097075552</v>
      </c>
      <c r="H79">
        <f t="shared" si="4"/>
        <v>1.9670638772268934E-3</v>
      </c>
      <c r="I79">
        <f t="shared" si="4"/>
        <v>0.10889339451400903</v>
      </c>
      <c r="J79">
        <f t="shared" si="4"/>
        <v>2</v>
      </c>
      <c r="K79">
        <f t="shared" si="4"/>
        <v>0.53076290117569513</v>
      </c>
      <c r="P79">
        <f t="shared" si="5"/>
        <v>9.8353193861344668E-4</v>
      </c>
      <c r="Q79">
        <f t="shared" si="5"/>
        <v>5.4446697257004517E-2</v>
      </c>
      <c r="R79">
        <f t="shared" si="5"/>
        <v>1</v>
      </c>
      <c r="S79">
        <f t="shared" si="5"/>
        <v>0.26538145058784757</v>
      </c>
    </row>
    <row r="80" spans="1:19" x14ac:dyDescent="0.25">
      <c r="A80">
        <v>1993</v>
      </c>
      <c r="B80">
        <v>2</v>
      </c>
      <c r="C80">
        <f>'[1]11.2.2-catch'!C79/'11.6.3 Num quart long'!C79</f>
        <v>1.6285258134058872E-2</v>
      </c>
      <c r="D80">
        <f>'[1]11.2.2-catch'!D79/'11.6.3 Num quart long'!D79</f>
        <v>0.40866453658171287</v>
      </c>
      <c r="E80">
        <f>'[1]11.2.2-catch'!E79/'11.6.3 Num quart long'!E79</f>
        <v>0.72458325810916535</v>
      </c>
      <c r="F80">
        <f>'[1]11.2.2-catch'!F79/'11.6.3 Num quart long'!F79</f>
        <v>0.23261234728686758</v>
      </c>
      <c r="H80">
        <f t="shared" si="4"/>
        <v>1.6153370231213215E-2</v>
      </c>
      <c r="I80">
        <f t="shared" si="4"/>
        <v>0.33546287717087619</v>
      </c>
      <c r="J80">
        <f t="shared" si="4"/>
        <v>0.51547355064490541</v>
      </c>
      <c r="K80">
        <f t="shared" si="4"/>
        <v>0.20753928646570896</v>
      </c>
      <c r="P80">
        <f t="shared" si="5"/>
        <v>3.1336952615713932E-2</v>
      </c>
      <c r="Q80">
        <f t="shared" si="5"/>
        <v>0.6507858196626789</v>
      </c>
      <c r="R80">
        <f t="shared" si="5"/>
        <v>1</v>
      </c>
      <c r="S80">
        <f t="shared" si="5"/>
        <v>0.40261869150426438</v>
      </c>
    </row>
    <row r="81" spans="1:19" x14ac:dyDescent="0.25">
      <c r="A81">
        <v>1993</v>
      </c>
      <c r="B81">
        <v>3</v>
      </c>
      <c r="C81">
        <f>'[1]11.2.2-catch'!C80/'11.6.3 Num quart long'!C80</f>
        <v>2.8866311730660753E-2</v>
      </c>
      <c r="D81">
        <f>'[1]11.2.2-catch'!D80/'11.6.3 Num quart long'!D80</f>
        <v>0.2684837028937711</v>
      </c>
      <c r="E81">
        <f>'[1]11.2.2-catch'!E80/'11.6.3 Num quart long'!E80</f>
        <v>0.62826137321953168</v>
      </c>
      <c r="F81">
        <f>'[1]11.2.2-catch'!F80/'11.6.3 Num quart long'!F80</f>
        <v>1.1660566518141311</v>
      </c>
      <c r="H81">
        <f t="shared" si="4"/>
        <v>2.8453659866219838E-2</v>
      </c>
      <c r="I81">
        <f t="shared" si="4"/>
        <v>0.2354621175365903</v>
      </c>
      <c r="J81">
        <f t="shared" si="4"/>
        <v>0.46648141519270547</v>
      </c>
      <c r="K81">
        <f t="shared" si="4"/>
        <v>2</v>
      </c>
      <c r="P81">
        <f t="shared" si="5"/>
        <v>6.0996341846685377E-2</v>
      </c>
      <c r="Q81">
        <f t="shared" si="5"/>
        <v>0.50476205453827117</v>
      </c>
      <c r="R81">
        <f t="shared" si="5"/>
        <v>1</v>
      </c>
      <c r="S81">
        <f t="shared" si="5"/>
        <v>4.2874162503854336</v>
      </c>
    </row>
    <row r="82" spans="1:19" x14ac:dyDescent="0.25">
      <c r="A82">
        <v>1993</v>
      </c>
      <c r="B82">
        <v>4</v>
      </c>
      <c r="C82">
        <f>'[1]11.2.2-catch'!C81/'11.6.3 Num quart long'!C81</f>
        <v>0</v>
      </c>
      <c r="D82">
        <f>'[1]11.2.2-catch'!D81/'11.6.3 Num quart long'!D81</f>
        <v>0</v>
      </c>
      <c r="E82">
        <f>'[1]11.2.2-catch'!E81/'11.6.3 Num quart long'!E81</f>
        <v>0</v>
      </c>
      <c r="F82">
        <f>'[1]11.2.2-catch'!F81/'11.6.3 Num quart long'!F81</f>
        <v>0</v>
      </c>
      <c r="H82">
        <f t="shared" si="4"/>
        <v>0</v>
      </c>
      <c r="I82">
        <f t="shared" si="4"/>
        <v>0</v>
      </c>
      <c r="J82">
        <f t="shared" si="4"/>
        <v>0</v>
      </c>
      <c r="K82">
        <f t="shared" si="4"/>
        <v>0</v>
      </c>
      <c r="P82" t="str">
        <f t="shared" si="5"/>
        <v/>
      </c>
      <c r="Q82" t="str">
        <f t="shared" si="5"/>
        <v/>
      </c>
      <c r="R82" t="str">
        <f t="shared" si="5"/>
        <v/>
      </c>
      <c r="S82" t="str">
        <f t="shared" si="5"/>
        <v/>
      </c>
    </row>
    <row r="83" spans="1:19" x14ac:dyDescent="0.25">
      <c r="A83">
        <v>1994</v>
      </c>
      <c r="B83">
        <v>1</v>
      </c>
      <c r="C83">
        <f>'[1]11.2.2-catch'!C82/'11.6.3 Num quart long'!C82</f>
        <v>3.7750368750317886E-3</v>
      </c>
      <c r="D83">
        <f>'[1]11.2.2-catch'!D82/'11.6.3 Num quart long'!D82</f>
        <v>1.0795033071325371</v>
      </c>
      <c r="E83">
        <f>'[1]11.2.2-catch'!E82/'11.6.3 Num quart long'!E82</f>
        <v>0.14325182025548711</v>
      </c>
      <c r="F83">
        <f>'[1]11.2.2-catch'!F82/'11.6.3 Num quart long'!F82</f>
        <v>0.3600334525856061</v>
      </c>
      <c r="H83">
        <f t="shared" si="4"/>
        <v>3.7679203811532558E-3</v>
      </c>
      <c r="I83">
        <f t="shared" si="4"/>
        <v>2</v>
      </c>
      <c r="J83">
        <f t="shared" si="4"/>
        <v>0.13346416985596243</v>
      </c>
      <c r="K83">
        <f t="shared" si="4"/>
        <v>0.30234701261562025</v>
      </c>
      <c r="P83">
        <f t="shared" si="5"/>
        <v>2.8231699827898988E-2</v>
      </c>
      <c r="Q83">
        <f t="shared" si="5"/>
        <v>14.985295320522695</v>
      </c>
      <c r="R83">
        <f t="shared" si="5"/>
        <v>1</v>
      </c>
      <c r="S83">
        <f t="shared" si="5"/>
        <v>2.2653796366614354</v>
      </c>
    </row>
    <row r="84" spans="1:19" x14ac:dyDescent="0.25">
      <c r="A84">
        <v>1994</v>
      </c>
      <c r="B84">
        <v>2</v>
      </c>
      <c r="C84">
        <f>'[1]11.2.2-catch'!C83/'11.6.3 Num quart long'!C83</f>
        <v>2.4675533067536289E-2</v>
      </c>
      <c r="D84">
        <f>'[1]11.2.2-catch'!D83/'11.6.3 Num quart long'!D83</f>
        <v>0.34633496486551973</v>
      </c>
      <c r="E84">
        <f>'[1]11.2.2-catch'!E83/'11.6.3 Num quart long'!E83</f>
        <v>0.79092395881442035</v>
      </c>
      <c r="F84">
        <f>'[1]11.2.2-catch'!F83/'11.6.3 Num quart long'!F83</f>
        <v>0.9698002988724358</v>
      </c>
      <c r="H84">
        <f t="shared" si="4"/>
        <v>2.4373580811033135E-2</v>
      </c>
      <c r="I84">
        <f t="shared" si="4"/>
        <v>0.29272446503105953</v>
      </c>
      <c r="J84">
        <f t="shared" si="4"/>
        <v>0.54657434495264845</v>
      </c>
      <c r="K84">
        <f t="shared" si="4"/>
        <v>0.62084125102693011</v>
      </c>
      <c r="P84">
        <f t="shared" si="5"/>
        <v>4.4593349534443848E-2</v>
      </c>
      <c r="Q84">
        <f t="shared" si="5"/>
        <v>0.53556202872350189</v>
      </c>
      <c r="R84">
        <f t="shared" si="5"/>
        <v>1</v>
      </c>
      <c r="S84">
        <f t="shared" si="5"/>
        <v>1.1358770435533627</v>
      </c>
    </row>
    <row r="85" spans="1:19" x14ac:dyDescent="0.25">
      <c r="A85">
        <v>1994</v>
      </c>
      <c r="B85">
        <v>3</v>
      </c>
      <c r="C85">
        <f>'[1]11.2.2-catch'!C84/'11.6.3 Num quart long'!C84</f>
        <v>1.4980288492321201E-2</v>
      </c>
      <c r="D85">
        <f>'[1]11.2.2-catch'!D84/'11.6.3 Num quart long'!D84</f>
        <v>0.21415635278930517</v>
      </c>
      <c r="E85">
        <f>'[1]11.2.2-catch'!E84/'11.6.3 Num quart long'!E84</f>
        <v>0.62076562472280861</v>
      </c>
      <c r="F85">
        <f>'[1]11.2.2-catch'!F84/'11.6.3 Num quart long'!F84</f>
        <v>0.32436159927202413</v>
      </c>
      <c r="H85">
        <f t="shared" si="4"/>
        <v>1.4868642163994639E-2</v>
      </c>
      <c r="I85">
        <f t="shared" si="4"/>
        <v>0.19277783628147427</v>
      </c>
      <c r="J85">
        <f t="shared" si="4"/>
        <v>0.46246726834001306</v>
      </c>
      <c r="K85">
        <f t="shared" si="4"/>
        <v>0.27701123710304898</v>
      </c>
      <c r="P85">
        <f t="shared" si="5"/>
        <v>3.2150690831297887E-2</v>
      </c>
      <c r="Q85">
        <f t="shared" si="5"/>
        <v>0.41684644401631693</v>
      </c>
      <c r="R85">
        <f t="shared" si="5"/>
        <v>1</v>
      </c>
      <c r="S85">
        <f t="shared" si="5"/>
        <v>0.59898560626216268</v>
      </c>
    </row>
    <row r="86" spans="1:19" x14ac:dyDescent="0.25">
      <c r="A86">
        <v>1994</v>
      </c>
      <c r="B86">
        <v>4</v>
      </c>
      <c r="C86">
        <f>'[1]11.2.2-catch'!C85/'11.6.3 Num quart long'!C85</f>
        <v>0</v>
      </c>
      <c r="D86">
        <f>'[1]11.2.2-catch'!D85/'11.6.3 Num quart long'!D85</f>
        <v>0</v>
      </c>
      <c r="E86">
        <f>'[1]11.2.2-catch'!E85/'11.6.3 Num quart long'!E85</f>
        <v>0</v>
      </c>
      <c r="F86">
        <f>'[1]11.2.2-catch'!F85/'11.6.3 Num quart long'!F85</f>
        <v>0</v>
      </c>
      <c r="H86">
        <f t="shared" si="4"/>
        <v>0</v>
      </c>
      <c r="I86">
        <f t="shared" si="4"/>
        <v>0</v>
      </c>
      <c r="J86">
        <f t="shared" si="4"/>
        <v>0</v>
      </c>
      <c r="K86">
        <f t="shared" si="4"/>
        <v>0</v>
      </c>
      <c r="P86" t="str">
        <f t="shared" si="5"/>
        <v/>
      </c>
      <c r="Q86" t="str">
        <f t="shared" si="5"/>
        <v/>
      </c>
      <c r="R86" t="str">
        <f t="shared" si="5"/>
        <v/>
      </c>
      <c r="S86" t="str">
        <f t="shared" si="5"/>
        <v/>
      </c>
    </row>
    <row r="87" spans="1:19" x14ac:dyDescent="0.25">
      <c r="A87">
        <v>1995</v>
      </c>
      <c r="B87">
        <v>1</v>
      </c>
      <c r="C87">
        <f>'[1]11.2.2-catch'!C86/'11.6.3 Num quart long'!C86</f>
        <v>4.9483259941267019E-3</v>
      </c>
      <c r="D87">
        <f>'[1]11.2.2-catch'!D86/'11.6.3 Num quart long'!D86</f>
        <v>0.74603233360572763</v>
      </c>
      <c r="E87">
        <f>'[1]11.2.2-catch'!E86/'11.6.3 Num quart long'!E86</f>
        <v>0.39154252592176497</v>
      </c>
      <c r="F87">
        <f>'[1]11.2.2-catch'!F86/'11.6.3 Num quart long'!F86</f>
        <v>0.66065119882853873</v>
      </c>
      <c r="H87">
        <f t="shared" si="4"/>
        <v>4.9361031981584036E-3</v>
      </c>
      <c r="I87">
        <f t="shared" si="4"/>
        <v>0.52575553135355291</v>
      </c>
      <c r="J87">
        <f t="shared" si="4"/>
        <v>0.32398669820536286</v>
      </c>
      <c r="K87">
        <f t="shared" si="4"/>
        <v>0.48348512892766815</v>
      </c>
      <c r="P87">
        <f t="shared" si="5"/>
        <v>1.523551190681784E-2</v>
      </c>
      <c r="Q87">
        <f t="shared" si="5"/>
        <v>1.6227688799133859</v>
      </c>
      <c r="R87">
        <f t="shared" si="5"/>
        <v>1</v>
      </c>
      <c r="S87">
        <f t="shared" si="5"/>
        <v>1.4922993184775917</v>
      </c>
    </row>
    <row r="88" spans="1:19" x14ac:dyDescent="0.25">
      <c r="A88">
        <v>1995</v>
      </c>
      <c r="B88">
        <v>2</v>
      </c>
      <c r="C88">
        <f>'[1]11.2.2-catch'!C87/'11.6.3 Num quart long'!C87</f>
        <v>2.8017048003589052E-2</v>
      </c>
      <c r="D88">
        <f>'[1]11.2.2-catch'!D87/'11.6.3 Num quart long'!D87</f>
        <v>0.57270844129097409</v>
      </c>
      <c r="E88">
        <f>'[1]11.2.2-catch'!E87/'11.6.3 Num quart long'!E87</f>
        <v>0.89183901673249188</v>
      </c>
      <c r="F88">
        <f>'[1]11.2.2-catch'!F87/'11.6.3 Num quart long'!F87</f>
        <v>2.1357282479745674</v>
      </c>
      <c r="H88">
        <f t="shared" si="4"/>
        <v>2.7628210337816372E-2</v>
      </c>
      <c r="I88">
        <f t="shared" si="4"/>
        <v>0.43600418137158936</v>
      </c>
      <c r="J88">
        <f t="shared" si="4"/>
        <v>0.59009875605845163</v>
      </c>
      <c r="K88">
        <f t="shared" si="4"/>
        <v>2</v>
      </c>
      <c r="P88">
        <f t="shared" si="5"/>
        <v>4.6819638330299562E-2</v>
      </c>
      <c r="Q88">
        <f t="shared" si="5"/>
        <v>0.73886646412181456</v>
      </c>
      <c r="R88">
        <f t="shared" si="5"/>
        <v>1</v>
      </c>
      <c r="S88">
        <f t="shared" si="5"/>
        <v>3.3892632029237695</v>
      </c>
    </row>
    <row r="89" spans="1:19" x14ac:dyDescent="0.25">
      <c r="A89">
        <v>1995</v>
      </c>
      <c r="B89">
        <v>3</v>
      </c>
      <c r="C89">
        <f>'[1]11.2.2-catch'!C88/'11.6.3 Num quart long'!C88</f>
        <v>0.11433206980767274</v>
      </c>
      <c r="D89">
        <f>'[1]11.2.2-catch'!D88/'11.6.3 Num quart long'!D88</f>
        <v>0.52559316575617587</v>
      </c>
      <c r="E89">
        <f>'[1]11.2.2-catch'!E88/'11.6.3 Num quart long'!E88</f>
        <v>0.53583073006593163</v>
      </c>
      <c r="F89">
        <f>'[1]11.2.2-catch'!F88/'11.6.3 Num quart long'!F88</f>
        <v>1.8570228299918878</v>
      </c>
      <c r="H89">
        <f t="shared" si="4"/>
        <v>0.10803828685603922</v>
      </c>
      <c r="I89">
        <f t="shared" si="4"/>
        <v>0.40879542197070262</v>
      </c>
      <c r="J89">
        <f t="shared" si="4"/>
        <v>0.414817040910339</v>
      </c>
      <c r="K89">
        <f t="shared" si="4"/>
        <v>2</v>
      </c>
      <c r="P89">
        <f t="shared" si="5"/>
        <v>0.2604480438386601</v>
      </c>
      <c r="Q89">
        <f t="shared" si="5"/>
        <v>0.98548367510066226</v>
      </c>
      <c r="R89">
        <f t="shared" si="5"/>
        <v>1</v>
      </c>
      <c r="S89">
        <f t="shared" si="5"/>
        <v>4.8214026974660662</v>
      </c>
    </row>
    <row r="90" spans="1:19" x14ac:dyDescent="0.25">
      <c r="A90">
        <v>1995</v>
      </c>
      <c r="B90">
        <v>4</v>
      </c>
      <c r="C90">
        <f>'[1]11.2.2-catch'!C89/'11.6.3 Num quart long'!C89</f>
        <v>0</v>
      </c>
      <c r="D90">
        <f>'[1]11.2.2-catch'!D89/'11.6.3 Num quart long'!D89</f>
        <v>0</v>
      </c>
      <c r="E90">
        <f>'[1]11.2.2-catch'!E89/'11.6.3 Num quart long'!E89</f>
        <v>0</v>
      </c>
      <c r="F90">
        <f>'[1]11.2.2-catch'!F89/'11.6.3 Num quart long'!F89</f>
        <v>0</v>
      </c>
      <c r="H90">
        <f t="shared" si="4"/>
        <v>0</v>
      </c>
      <c r="I90">
        <f t="shared" si="4"/>
        <v>0</v>
      </c>
      <c r="J90">
        <f t="shared" si="4"/>
        <v>0</v>
      </c>
      <c r="K90">
        <f t="shared" si="4"/>
        <v>0</v>
      </c>
      <c r="P90" t="str">
        <f t="shared" si="5"/>
        <v/>
      </c>
      <c r="Q90" t="str">
        <f t="shared" si="5"/>
        <v/>
      </c>
      <c r="R90" t="str">
        <f t="shared" si="5"/>
        <v/>
      </c>
      <c r="S90" t="str">
        <f t="shared" si="5"/>
        <v/>
      </c>
    </row>
    <row r="91" spans="1:19" x14ac:dyDescent="0.25">
      <c r="A91">
        <v>1996</v>
      </c>
      <c r="B91">
        <v>1</v>
      </c>
      <c r="C91">
        <f>'[1]11.2.2-catch'!C90/'11.6.3 Num quart long'!C90</f>
        <v>4.7301136363636365E-3</v>
      </c>
      <c r="D91">
        <f>'[1]11.2.2-catch'!D90/'11.6.3 Num quart long'!D90</f>
        <v>2.4059478680555055E-2</v>
      </c>
      <c r="E91">
        <f>'[1]11.2.2-catch'!E90/'11.6.3 Num quart long'!E90</f>
        <v>0.16565012486990605</v>
      </c>
      <c r="F91">
        <f>'[1]11.2.2-catch'!F90/'11.6.3 Num quart long'!F90</f>
        <v>0.51825261158594493</v>
      </c>
      <c r="H91">
        <f t="shared" si="4"/>
        <v>4.7189442665928061E-3</v>
      </c>
      <c r="I91">
        <f t="shared" si="4"/>
        <v>2.377235670107658E-2</v>
      </c>
      <c r="J91">
        <f t="shared" si="4"/>
        <v>0.1526573535486021</v>
      </c>
      <c r="K91">
        <f t="shared" si="4"/>
        <v>0.40443968553897081</v>
      </c>
      <c r="P91">
        <f t="shared" si="5"/>
        <v>3.0912001006819616E-2</v>
      </c>
      <c r="Q91">
        <f t="shared" si="5"/>
        <v>0.15572362646459795</v>
      </c>
      <c r="R91">
        <f t="shared" si="5"/>
        <v>1</v>
      </c>
      <c r="S91">
        <f t="shared" si="5"/>
        <v>2.6493298628435071</v>
      </c>
    </row>
    <row r="92" spans="1:19" x14ac:dyDescent="0.25">
      <c r="A92">
        <v>1996</v>
      </c>
      <c r="B92">
        <v>2</v>
      </c>
      <c r="C92">
        <f>'[1]11.2.2-catch'!C91/'11.6.3 Num quart long'!C91</f>
        <v>2.7200175702811243E-2</v>
      </c>
      <c r="D92">
        <f>'[1]11.2.2-catch'!D91/'11.6.3 Num quart long'!D91</f>
        <v>0.16388391340763855</v>
      </c>
      <c r="E92">
        <f>'[1]11.2.2-catch'!E91/'11.6.3 Num quart long'!E91</f>
        <v>1.0434066375339555</v>
      </c>
      <c r="F92">
        <f>'[1]11.2.2-catch'!F91/'11.6.3 Num quart long'!F91</f>
        <v>3.5578981891442361</v>
      </c>
      <c r="H92">
        <f t="shared" si="4"/>
        <v>2.6833582246131416E-2</v>
      </c>
      <c r="I92">
        <f t="shared" si="4"/>
        <v>0.15115944483159305</v>
      </c>
      <c r="J92">
        <f t="shared" si="4"/>
        <v>2</v>
      </c>
      <c r="K92">
        <f t="shared" si="4"/>
        <v>2</v>
      </c>
      <c r="P92">
        <f t="shared" si="5"/>
        <v>1.3416791123065708E-2</v>
      </c>
      <c r="Q92">
        <f t="shared" si="5"/>
        <v>7.5579722415796524E-2</v>
      </c>
      <c r="R92">
        <f t="shared" si="5"/>
        <v>1</v>
      </c>
      <c r="S92">
        <f t="shared" si="5"/>
        <v>1</v>
      </c>
    </row>
    <row r="93" spans="1:19" x14ac:dyDescent="0.25">
      <c r="A93">
        <v>1996</v>
      </c>
      <c r="B93">
        <v>3</v>
      </c>
      <c r="C93">
        <f>'[1]11.2.2-catch'!C92/'11.6.3 Num quart long'!C92</f>
        <v>6.2579763126549753E-2</v>
      </c>
      <c r="D93">
        <f>'[1]11.2.2-catch'!D92/'11.6.3 Num quart long'!D92</f>
        <v>0.10439871183412343</v>
      </c>
      <c r="E93">
        <f>'[1]11.2.2-catch'!E92/'11.6.3 Num quart long'!E92</f>
        <v>0.15325763555771449</v>
      </c>
      <c r="F93">
        <f>'[1]11.2.2-catch'!F92/'11.6.3 Num quart long'!F92</f>
        <v>0.57226368446590725</v>
      </c>
      <c r="H93">
        <f t="shared" si="4"/>
        <v>6.0661864721268999E-2</v>
      </c>
      <c r="I93">
        <f t="shared" si="4"/>
        <v>9.9133960145207589E-2</v>
      </c>
      <c r="J93">
        <f t="shared" si="4"/>
        <v>0.14209133444087829</v>
      </c>
      <c r="K93">
        <f t="shared" si="4"/>
        <v>0.43575328459205342</v>
      </c>
      <c r="P93">
        <f t="shared" si="5"/>
        <v>0.42692163431338126</v>
      </c>
      <c r="Q93">
        <f t="shared" si="5"/>
        <v>0.69767773337687589</v>
      </c>
      <c r="R93">
        <f t="shared" si="5"/>
        <v>1</v>
      </c>
      <c r="S93">
        <f t="shared" si="5"/>
        <v>3.0667125923387166</v>
      </c>
    </row>
    <row r="94" spans="1:19" x14ac:dyDescent="0.25">
      <c r="A94">
        <v>1996</v>
      </c>
      <c r="B94">
        <v>4</v>
      </c>
      <c r="C94">
        <f>'[1]11.2.2-catch'!C93/'11.6.3 Num quart long'!C93</f>
        <v>0</v>
      </c>
      <c r="D94">
        <f>'[1]11.2.2-catch'!D93/'11.6.3 Num quart long'!D93</f>
        <v>0</v>
      </c>
      <c r="E94">
        <f>'[1]11.2.2-catch'!E93/'11.6.3 Num quart long'!E93</f>
        <v>0</v>
      </c>
      <c r="F94">
        <f>'[1]11.2.2-catch'!F93/'11.6.3 Num quart long'!F93</f>
        <v>0</v>
      </c>
      <c r="H94">
        <f t="shared" si="4"/>
        <v>0</v>
      </c>
      <c r="I94">
        <f t="shared" si="4"/>
        <v>0</v>
      </c>
      <c r="J94">
        <f t="shared" si="4"/>
        <v>0</v>
      </c>
      <c r="K94">
        <f t="shared" si="4"/>
        <v>0</v>
      </c>
      <c r="P94" t="str">
        <f t="shared" si="5"/>
        <v/>
      </c>
      <c r="Q94" t="str">
        <f t="shared" si="5"/>
        <v/>
      </c>
      <c r="R94" t="str">
        <f t="shared" si="5"/>
        <v/>
      </c>
      <c r="S94" t="str">
        <f t="shared" si="5"/>
        <v/>
      </c>
    </row>
    <row r="95" spans="1:19" x14ac:dyDescent="0.25">
      <c r="A95">
        <v>1997</v>
      </c>
      <c r="B95">
        <v>1</v>
      </c>
      <c r="C95">
        <f>'[1]11.2.2-catch'!C94/'11.6.3 Num quart long'!C94</f>
        <v>1.1904366226831079E-4</v>
      </c>
      <c r="D95">
        <f>'[1]11.2.2-catch'!D94/'11.6.3 Num quart long'!D94</f>
        <v>0.13714216312503374</v>
      </c>
      <c r="E95">
        <f>'[1]11.2.2-catch'!E94/'11.6.3 Num quart long'!E94</f>
        <v>7.7377898123515018E-2</v>
      </c>
      <c r="F95">
        <f>'[1]11.2.2-catch'!F94/'11.6.3 Num quart long'!F94</f>
        <v>0.43476080031896147</v>
      </c>
      <c r="H95">
        <f t="shared" si="4"/>
        <v>1.1903657685274904E-4</v>
      </c>
      <c r="I95">
        <f t="shared" si="4"/>
        <v>0.12815372706917794</v>
      </c>
      <c r="J95">
        <f t="shared" si="4"/>
        <v>7.4459972328318802E-2</v>
      </c>
      <c r="K95">
        <f t="shared" si="4"/>
        <v>0.35258048890147098</v>
      </c>
      <c r="P95">
        <f t="shared" si="5"/>
        <v>1.5986653383092482E-3</v>
      </c>
      <c r="Q95">
        <f t="shared" si="5"/>
        <v>1.7211089805957152</v>
      </c>
      <c r="R95">
        <f t="shared" si="5"/>
        <v>1</v>
      </c>
      <c r="S95">
        <f t="shared" si="5"/>
        <v>4.7351681430504193</v>
      </c>
    </row>
    <row r="96" spans="1:19" x14ac:dyDescent="0.25">
      <c r="A96">
        <v>1997</v>
      </c>
      <c r="B96">
        <v>2</v>
      </c>
      <c r="C96">
        <f>'[1]11.2.2-catch'!C95/'11.6.3 Num quart long'!C95</f>
        <v>4.1995045015777418E-3</v>
      </c>
      <c r="D96">
        <f>'[1]11.2.2-catch'!D95/'11.6.3 Num quart long'!D95</f>
        <v>0.47888302230512436</v>
      </c>
      <c r="E96">
        <f>'[1]11.2.2-catch'!E95/'11.6.3 Num quart long'!E95</f>
        <v>1.2656441112877062</v>
      </c>
      <c r="F96">
        <f>'[1]11.2.2-catch'!F95/'11.6.3 Num quart long'!F95</f>
        <v>1.1072666430015834</v>
      </c>
      <c r="H96">
        <f t="shared" si="4"/>
        <v>4.1906989132302064E-3</v>
      </c>
      <c r="I96">
        <f t="shared" si="4"/>
        <v>0.38052505479429188</v>
      </c>
      <c r="J96">
        <f t="shared" si="4"/>
        <v>2</v>
      </c>
      <c r="K96">
        <f t="shared" si="4"/>
        <v>2</v>
      </c>
      <c r="P96">
        <f t="shared" si="5"/>
        <v>2.0953494566151032E-3</v>
      </c>
      <c r="Q96">
        <f t="shared" si="5"/>
        <v>0.19026252739714594</v>
      </c>
      <c r="R96">
        <f t="shared" si="5"/>
        <v>1</v>
      </c>
      <c r="S96">
        <f t="shared" si="5"/>
        <v>1</v>
      </c>
    </row>
    <row r="97" spans="1:19" x14ac:dyDescent="0.25">
      <c r="A97">
        <v>1997</v>
      </c>
      <c r="B97">
        <v>3</v>
      </c>
      <c r="C97">
        <f>'[1]11.2.2-catch'!C96/'11.6.3 Num quart long'!C96</f>
        <v>2.4770480974162751E-2</v>
      </c>
      <c r="D97">
        <f>'[1]11.2.2-catch'!D96/'11.6.3 Num quart long'!D96</f>
        <v>0.12234022894274416</v>
      </c>
      <c r="E97">
        <f>'[1]11.2.2-catch'!E96/'11.6.3 Num quart long'!E96</f>
        <v>0.47362587667591155</v>
      </c>
      <c r="F97">
        <f>'[1]11.2.2-catch'!F96/'11.6.3 Num quart long'!F96</f>
        <v>0.41380992072640854</v>
      </c>
      <c r="H97">
        <f t="shared" si="4"/>
        <v>2.4466210099636454E-2</v>
      </c>
      <c r="I97">
        <f t="shared" si="4"/>
        <v>0.11515273336627052</v>
      </c>
      <c r="J97">
        <f t="shared" si="4"/>
        <v>0.377259809378651</v>
      </c>
      <c r="K97">
        <f t="shared" si="4"/>
        <v>0.33887339421164586</v>
      </c>
      <c r="P97">
        <f t="shared" si="5"/>
        <v>6.4852416004589616E-2</v>
      </c>
      <c r="Q97">
        <f t="shared" si="5"/>
        <v>0.30523456382997094</v>
      </c>
      <c r="R97">
        <f t="shared" si="5"/>
        <v>1</v>
      </c>
      <c r="S97">
        <f t="shared" si="5"/>
        <v>0.89824939149964644</v>
      </c>
    </row>
    <row r="98" spans="1:19" x14ac:dyDescent="0.25">
      <c r="A98">
        <v>1997</v>
      </c>
      <c r="B98">
        <v>4</v>
      </c>
      <c r="C98">
        <f>'[1]11.2.2-catch'!C97/'11.6.3 Num quart long'!C97</f>
        <v>0</v>
      </c>
      <c r="D98">
        <f>'[1]11.2.2-catch'!D97/'11.6.3 Num quart long'!D97</f>
        <v>0</v>
      </c>
      <c r="E98">
        <f>'[1]11.2.2-catch'!E97/'11.6.3 Num quart long'!E97</f>
        <v>0</v>
      </c>
      <c r="F98">
        <f>'[1]11.2.2-catch'!F97/'11.6.3 Num quart long'!F97</f>
        <v>0</v>
      </c>
      <c r="H98">
        <f t="shared" si="4"/>
        <v>0</v>
      </c>
      <c r="I98">
        <f t="shared" si="4"/>
        <v>0</v>
      </c>
      <c r="J98">
        <f t="shared" si="4"/>
        <v>0</v>
      </c>
      <c r="K98">
        <f t="shared" si="4"/>
        <v>0</v>
      </c>
      <c r="P98" t="str">
        <f t="shared" si="5"/>
        <v/>
      </c>
      <c r="Q98" t="str">
        <f t="shared" si="5"/>
        <v/>
      </c>
      <c r="R98" t="str">
        <f t="shared" si="5"/>
        <v/>
      </c>
      <c r="S98" t="str">
        <f t="shared" si="5"/>
        <v/>
      </c>
    </row>
    <row r="99" spans="1:19" x14ac:dyDescent="0.25">
      <c r="A99">
        <v>1998</v>
      </c>
      <c r="B99">
        <v>1</v>
      </c>
      <c r="C99">
        <f>'[1]11.2.2-catch'!C98/'11.6.3 Num quart long'!C98</f>
        <v>7.3583841697852056E-4</v>
      </c>
      <c r="D99">
        <f>'[1]11.2.2-catch'!D98/'11.6.3 Num quart long'!D98</f>
        <v>0.23655636824201109</v>
      </c>
      <c r="E99">
        <f>'[1]11.2.2-catch'!E98/'11.6.3 Num quart long'!E98</f>
        <v>0.40746293415713958</v>
      </c>
      <c r="F99">
        <f>'[1]11.2.2-catch'!F98/'11.6.3 Num quart long'!F98</f>
        <v>0.87764784021633413</v>
      </c>
      <c r="H99">
        <f t="shared" si="4"/>
        <v>7.3556775428262888E-4</v>
      </c>
      <c r="I99">
        <f t="shared" si="4"/>
        <v>0.21065861273841946</v>
      </c>
      <c r="J99">
        <f t="shared" si="4"/>
        <v>0.33466388781522727</v>
      </c>
      <c r="K99">
        <f t="shared" si="4"/>
        <v>0.58424030430892793</v>
      </c>
      <c r="P99">
        <f t="shared" si="5"/>
        <v>2.1979298665434329E-3</v>
      </c>
      <c r="Q99">
        <f t="shared" si="5"/>
        <v>0.62946323283833694</v>
      </c>
      <c r="R99">
        <f t="shared" si="5"/>
        <v>1</v>
      </c>
      <c r="S99">
        <f t="shared" si="5"/>
        <v>1.7457524566603235</v>
      </c>
    </row>
    <row r="100" spans="1:19" x14ac:dyDescent="0.25">
      <c r="A100">
        <v>1998</v>
      </c>
      <c r="B100">
        <v>2</v>
      </c>
      <c r="C100">
        <f>'[1]11.2.2-catch'!C99/'11.6.3 Num quart long'!C99</f>
        <v>7.068419970437731E-2</v>
      </c>
      <c r="D100">
        <f>'[1]11.2.2-catch'!D99/'11.6.3 Num quart long'!D99</f>
        <v>0.37851428181860791</v>
      </c>
      <c r="E100">
        <f>'[1]11.2.2-catch'!E99/'11.6.3 Num quart long'!E99</f>
        <v>0.99789951199395144</v>
      </c>
      <c r="F100">
        <f>'[1]11.2.2-catch'!F99/'11.6.3 Num quart long'!F99</f>
        <v>2.5857636193704754</v>
      </c>
      <c r="H100">
        <f t="shared" si="4"/>
        <v>6.8243905479356437E-2</v>
      </c>
      <c r="I100">
        <f t="shared" si="4"/>
        <v>0.31512181032084519</v>
      </c>
      <c r="J100">
        <f t="shared" si="4"/>
        <v>0.6313470203549697</v>
      </c>
      <c r="K100">
        <f t="shared" si="4"/>
        <v>2</v>
      </c>
      <c r="P100">
        <f t="shared" si="5"/>
        <v>0.10809254384535918</v>
      </c>
      <c r="Q100">
        <f t="shared" si="5"/>
        <v>0.49912615433532975</v>
      </c>
      <c r="R100">
        <f t="shared" si="5"/>
        <v>1</v>
      </c>
      <c r="S100">
        <f t="shared" si="5"/>
        <v>3.1678299501208009</v>
      </c>
    </row>
    <row r="101" spans="1:19" x14ac:dyDescent="0.25">
      <c r="A101">
        <v>1998</v>
      </c>
      <c r="B101">
        <v>3</v>
      </c>
      <c r="C101">
        <f>'[1]11.2.2-catch'!C100/'11.6.3 Num quart long'!C100</f>
        <v>3.1712410758790679E-2</v>
      </c>
      <c r="D101">
        <f>'[1]11.2.2-catch'!D100/'11.6.3 Num quart long'!D100</f>
        <v>0.28011653779048235</v>
      </c>
      <c r="E101">
        <f>'[1]11.2.2-catch'!E100/'11.6.3 Num quart long'!E100</f>
        <v>1.185553203752767</v>
      </c>
      <c r="F101">
        <f>'[1]11.2.2-catch'!F100/'11.6.3 Num quart long'!F100</f>
        <v>7.0535677775506027</v>
      </c>
      <c r="H101">
        <f t="shared" si="4"/>
        <v>3.1214845792502555E-2</v>
      </c>
      <c r="I101">
        <f t="shared" si="4"/>
        <v>0.24430433077961478</v>
      </c>
      <c r="J101">
        <f t="shared" si="4"/>
        <v>2</v>
      </c>
      <c r="K101">
        <f t="shared" si="4"/>
        <v>2</v>
      </c>
      <c r="P101">
        <f t="shared" si="5"/>
        <v>1.5607422896251277E-2</v>
      </c>
      <c r="Q101">
        <f t="shared" si="5"/>
        <v>0.12215216538980739</v>
      </c>
      <c r="R101">
        <f t="shared" si="5"/>
        <v>1</v>
      </c>
      <c r="S101">
        <f t="shared" si="5"/>
        <v>1</v>
      </c>
    </row>
    <row r="102" spans="1:19" x14ac:dyDescent="0.25">
      <c r="A102">
        <v>1998</v>
      </c>
      <c r="B102">
        <v>4</v>
      </c>
      <c r="C102">
        <f>'[1]11.2.2-catch'!C101/'11.6.3 Num quart long'!C101</f>
        <v>0</v>
      </c>
      <c r="D102">
        <f>'[1]11.2.2-catch'!D101/'11.6.3 Num quart long'!D101</f>
        <v>0</v>
      </c>
      <c r="E102">
        <f>'[1]11.2.2-catch'!E101/'11.6.3 Num quart long'!E101</f>
        <v>0</v>
      </c>
      <c r="F102">
        <f>'[1]11.2.2-catch'!F101/'11.6.3 Num quart long'!F101</f>
        <v>0</v>
      </c>
      <c r="H102">
        <f t="shared" si="4"/>
        <v>0</v>
      </c>
      <c r="I102">
        <f t="shared" si="4"/>
        <v>0</v>
      </c>
      <c r="J102">
        <f t="shared" si="4"/>
        <v>0</v>
      </c>
      <c r="K102">
        <f t="shared" si="4"/>
        <v>0</v>
      </c>
      <c r="P102" t="str">
        <f t="shared" si="5"/>
        <v/>
      </c>
      <c r="Q102" t="str">
        <f t="shared" si="5"/>
        <v/>
      </c>
      <c r="R102" t="str">
        <f t="shared" si="5"/>
        <v/>
      </c>
      <c r="S102" t="str">
        <f t="shared" si="5"/>
        <v/>
      </c>
    </row>
    <row r="103" spans="1:19" x14ac:dyDescent="0.25">
      <c r="A103">
        <v>1999</v>
      </c>
      <c r="B103">
        <v>1</v>
      </c>
      <c r="C103">
        <f>'[1]11.2.2-catch'!C102/'11.6.3 Num quart long'!C102</f>
        <v>1.114092464305417E-5</v>
      </c>
      <c r="D103">
        <f>'[1]11.2.2-catch'!D102/'11.6.3 Num quart long'!D102</f>
        <v>0.52006107906345433</v>
      </c>
      <c r="E103">
        <f>'[1]11.2.2-catch'!E102/'11.6.3 Num quart long'!E102</f>
        <v>0.21926064950142482</v>
      </c>
      <c r="F103">
        <f>'[1]11.2.2-catch'!F102/'11.6.3 Num quart long'!F102</f>
        <v>0.30553115606502673</v>
      </c>
      <c r="H103">
        <f t="shared" si="4"/>
        <v>1.1140862583136624E-5</v>
      </c>
      <c r="I103">
        <f t="shared" si="4"/>
        <v>0.40551576367912801</v>
      </c>
      <c r="J103">
        <f t="shared" si="4"/>
        <v>0.19688763996596392</v>
      </c>
      <c r="K103">
        <f t="shared" si="4"/>
        <v>0.26326804919664426</v>
      </c>
      <c r="P103">
        <f t="shared" si="5"/>
        <v>5.6584875439933916E-5</v>
      </c>
      <c r="Q103">
        <f t="shared" si="5"/>
        <v>2.0596303747113316</v>
      </c>
      <c r="R103">
        <f t="shared" si="5"/>
        <v>1</v>
      </c>
      <c r="S103">
        <f t="shared" si="5"/>
        <v>1.3371486866425721</v>
      </c>
    </row>
    <row r="104" spans="1:19" x14ac:dyDescent="0.25">
      <c r="A104">
        <v>1999</v>
      </c>
      <c r="B104">
        <v>2</v>
      </c>
      <c r="C104">
        <f>'[1]11.2.2-catch'!C103/'11.6.3 Num quart long'!C103</f>
        <v>1.8251057088843833E-3</v>
      </c>
      <c r="D104">
        <f>'[1]11.2.2-catch'!D103/'11.6.3 Num quart long'!D103</f>
        <v>0.14152230532538923</v>
      </c>
      <c r="E104">
        <f>'[1]11.2.2-catch'!E103/'11.6.3 Num quart long'!E103</f>
        <v>0.22455737011785845</v>
      </c>
      <c r="F104">
        <f>'[1]11.2.2-catch'!F103/'11.6.3 Num quart long'!F103</f>
        <v>0.36618452969185161</v>
      </c>
      <c r="H104">
        <f t="shared" si="4"/>
        <v>1.8234412162391189E-3</v>
      </c>
      <c r="I104">
        <f t="shared" si="4"/>
        <v>0.13196418645231645</v>
      </c>
      <c r="J104">
        <f t="shared" si="4"/>
        <v>0.20113025586614985</v>
      </c>
      <c r="K104">
        <f t="shared" si="4"/>
        <v>0.30662515884187214</v>
      </c>
      <c r="P104">
        <f t="shared" si="5"/>
        <v>9.065971742474194E-3</v>
      </c>
      <c r="Q104">
        <f t="shared" si="5"/>
        <v>0.65611305412019794</v>
      </c>
      <c r="R104">
        <f t="shared" si="5"/>
        <v>1</v>
      </c>
      <c r="S104">
        <f t="shared" si="5"/>
        <v>1.5245103603205679</v>
      </c>
    </row>
    <row r="105" spans="1:19" x14ac:dyDescent="0.25">
      <c r="A105">
        <v>1999</v>
      </c>
      <c r="B105">
        <v>3</v>
      </c>
      <c r="C105">
        <f>'[1]11.2.2-catch'!C104/'11.6.3 Num quart long'!C104</f>
        <v>5.6072184960421413E-2</v>
      </c>
      <c r="D105">
        <f>'[1]11.2.2-catch'!D104/'11.6.3 Num quart long'!D104</f>
        <v>0.2914073339940535</v>
      </c>
      <c r="E105">
        <f>'[1]11.2.2-catch'!E104/'11.6.3 Num quart long'!E104</f>
        <v>1.2088746996948863</v>
      </c>
      <c r="F105">
        <f>'[1]11.2.2-catch'!F104/'11.6.3 Num quart long'!F104</f>
        <v>3.2709871137245088</v>
      </c>
      <c r="H105">
        <f t="shared" si="4"/>
        <v>5.4529115351318658E-2</v>
      </c>
      <c r="I105">
        <f t="shared" si="4"/>
        <v>0.25278874852280508</v>
      </c>
      <c r="J105">
        <f t="shared" si="4"/>
        <v>2</v>
      </c>
      <c r="K105">
        <f t="shared" si="4"/>
        <v>2</v>
      </c>
      <c r="P105">
        <f t="shared" si="5"/>
        <v>2.7264557675659329E-2</v>
      </c>
      <c r="Q105">
        <f t="shared" si="5"/>
        <v>0.12639437426140254</v>
      </c>
      <c r="R105">
        <f t="shared" si="5"/>
        <v>1</v>
      </c>
      <c r="S105">
        <f t="shared" si="5"/>
        <v>1</v>
      </c>
    </row>
    <row r="106" spans="1:19" x14ac:dyDescent="0.25">
      <c r="A106">
        <v>1999</v>
      </c>
      <c r="B106">
        <v>4</v>
      </c>
      <c r="C106">
        <f>'[1]11.2.2-catch'!C105/'11.6.3 Num quart long'!C105</f>
        <v>0</v>
      </c>
      <c r="D106">
        <f>'[1]11.2.2-catch'!D105/'11.6.3 Num quart long'!D105</f>
        <v>0</v>
      </c>
      <c r="E106">
        <f>'[1]11.2.2-catch'!E105/'11.6.3 Num quart long'!E105</f>
        <v>0</v>
      </c>
      <c r="F106">
        <f>'[1]11.2.2-catch'!F105/'11.6.3 Num quart long'!F105</f>
        <v>0</v>
      </c>
      <c r="H106">
        <f t="shared" si="4"/>
        <v>0</v>
      </c>
      <c r="I106">
        <f t="shared" si="4"/>
        <v>0</v>
      </c>
      <c r="J106">
        <f t="shared" si="4"/>
        <v>0</v>
      </c>
      <c r="K106">
        <f t="shared" si="4"/>
        <v>0</v>
      </c>
      <c r="P106" t="str">
        <f t="shared" si="5"/>
        <v/>
      </c>
      <c r="Q106" t="str">
        <f t="shared" si="5"/>
        <v/>
      </c>
      <c r="R106" t="str">
        <f t="shared" si="5"/>
        <v/>
      </c>
      <c r="S106" t="str">
        <f t="shared" si="5"/>
        <v/>
      </c>
    </row>
    <row r="107" spans="1:19" x14ac:dyDescent="0.25">
      <c r="A107">
        <v>2000</v>
      </c>
      <c r="B107">
        <v>1</v>
      </c>
      <c r="C107">
        <f>'[1]11.2.2-catch'!C106/'11.6.3 Num quart long'!C106</f>
        <v>8.7339057637192896E-5</v>
      </c>
      <c r="D107">
        <f>'[1]11.2.2-catch'!D106/'11.6.3 Num quart long'!D106</f>
        <v>0.47225732473052107</v>
      </c>
      <c r="E107">
        <f>'[1]11.2.2-catch'!E106/'11.6.3 Num quart long'!E106</f>
        <v>0.26816994078961343</v>
      </c>
      <c r="F107">
        <f>'[1]11.2.2-catch'!F106/'11.6.3 Num quart long'!F106</f>
        <v>0.2143684289324049</v>
      </c>
      <c r="H107">
        <f t="shared" si="4"/>
        <v>8.7335243692754361E-5</v>
      </c>
      <c r="I107">
        <f t="shared" si="4"/>
        <v>0.37640697363740572</v>
      </c>
      <c r="J107">
        <f t="shared" si="4"/>
        <v>0.23522219688484436</v>
      </c>
      <c r="K107">
        <f t="shared" si="4"/>
        <v>0.19294901069293424</v>
      </c>
      <c r="P107">
        <f t="shared" si="5"/>
        <v>3.7128827487105864E-4</v>
      </c>
      <c r="Q107">
        <f t="shared" si="5"/>
        <v>1.6002187660107601</v>
      </c>
      <c r="R107">
        <f t="shared" si="5"/>
        <v>1</v>
      </c>
      <c r="S107">
        <f t="shared" si="5"/>
        <v>0.82028402611763118</v>
      </c>
    </row>
    <row r="108" spans="1:19" x14ac:dyDescent="0.25">
      <c r="A108">
        <v>2000</v>
      </c>
      <c r="B108">
        <v>2</v>
      </c>
      <c r="C108">
        <f>'[1]11.2.2-catch'!C107/'11.6.3 Num quart long'!C107</f>
        <v>1.7362162162162162E-3</v>
      </c>
      <c r="D108">
        <f>'[1]11.2.2-catch'!D107/'11.6.3 Num quart long'!D107</f>
        <v>7.8736772811680206E-2</v>
      </c>
      <c r="E108">
        <f>'[1]11.2.2-catch'!E107/'11.6.3 Num quart long'!E107</f>
        <v>0.14068820804895613</v>
      </c>
      <c r="F108">
        <f>'[1]11.2.2-catch'!F107/'11.6.3 Num quart long'!F107</f>
        <v>0.34347577326338863</v>
      </c>
      <c r="H108">
        <f t="shared" si="4"/>
        <v>1.7347098647515491E-3</v>
      </c>
      <c r="I108">
        <f t="shared" si="4"/>
        <v>7.571681110820272E-2</v>
      </c>
      <c r="J108">
        <f t="shared" si="4"/>
        <v>0.13123985810623362</v>
      </c>
      <c r="K108">
        <f t="shared" si="4"/>
        <v>0.29069933502334355</v>
      </c>
      <c r="P108">
        <f t="shared" si="5"/>
        <v>1.3217858429467122E-2</v>
      </c>
      <c r="Q108">
        <f t="shared" si="5"/>
        <v>0.57693457003674042</v>
      </c>
      <c r="R108">
        <f t="shared" si="5"/>
        <v>1</v>
      </c>
      <c r="S108">
        <f t="shared" si="5"/>
        <v>2.2150232346947041</v>
      </c>
    </row>
    <row r="109" spans="1:19" x14ac:dyDescent="0.25">
      <c r="A109">
        <v>2000</v>
      </c>
      <c r="B109">
        <v>3</v>
      </c>
      <c r="C109">
        <f>'[1]11.2.2-catch'!C108/'11.6.3 Num quart long'!C108</f>
        <v>3.3408677110318197E-2</v>
      </c>
      <c r="D109">
        <f>'[1]11.2.2-catch'!D108/'11.6.3 Num quart long'!D108</f>
        <v>0.48276660876743427</v>
      </c>
      <c r="E109">
        <f>'[1]11.2.2-catch'!E108/'11.6.3 Num quart long'!E108</f>
        <v>1.5434947811917898</v>
      </c>
      <c r="F109">
        <f>'[1]11.2.2-catch'!F108/'11.6.3 Num quart long'!F108</f>
        <v>4.1763647554566541</v>
      </c>
      <c r="H109">
        <f t="shared" si="4"/>
        <v>3.2856770486943465E-2</v>
      </c>
      <c r="I109">
        <f t="shared" si="4"/>
        <v>0.38292617381072525</v>
      </c>
      <c r="J109">
        <f t="shared" si="4"/>
        <v>2</v>
      </c>
      <c r="K109">
        <f t="shared" si="4"/>
        <v>2</v>
      </c>
      <c r="P109">
        <f t="shared" si="5"/>
        <v>1.6428385243471733E-2</v>
      </c>
      <c r="Q109">
        <f t="shared" si="5"/>
        <v>0.19146308690536262</v>
      </c>
      <c r="R109">
        <f t="shared" si="5"/>
        <v>1</v>
      </c>
      <c r="S109">
        <f t="shared" si="5"/>
        <v>1</v>
      </c>
    </row>
    <row r="110" spans="1:19" x14ac:dyDescent="0.25">
      <c r="A110">
        <v>2000</v>
      </c>
      <c r="B110">
        <v>4</v>
      </c>
      <c r="C110">
        <f>'[1]11.2.2-catch'!C109/'11.6.3 Num quart long'!C109</f>
        <v>0</v>
      </c>
      <c r="D110">
        <f>'[1]11.2.2-catch'!D109/'11.6.3 Num quart long'!D109</f>
        <v>0</v>
      </c>
      <c r="E110">
        <f>'[1]11.2.2-catch'!E109/'11.6.3 Num quart long'!E109</f>
        <v>0</v>
      </c>
      <c r="F110">
        <f>'[1]11.2.2-catch'!F109/'11.6.3 Num quart long'!F109</f>
        <v>0</v>
      </c>
      <c r="H110">
        <f t="shared" si="4"/>
        <v>0</v>
      </c>
      <c r="I110">
        <f t="shared" si="4"/>
        <v>0</v>
      </c>
      <c r="J110">
        <f t="shared" si="4"/>
        <v>0</v>
      </c>
      <c r="K110">
        <f t="shared" si="4"/>
        <v>0</v>
      </c>
      <c r="P110" t="str">
        <f t="shared" si="5"/>
        <v/>
      </c>
      <c r="Q110" t="str">
        <f t="shared" si="5"/>
        <v/>
      </c>
      <c r="R110" t="str">
        <f t="shared" si="5"/>
        <v/>
      </c>
      <c r="S110" t="str">
        <f t="shared" si="5"/>
        <v/>
      </c>
    </row>
    <row r="111" spans="1:19" x14ac:dyDescent="0.25">
      <c r="A111">
        <v>2001</v>
      </c>
      <c r="B111">
        <v>1</v>
      </c>
      <c r="C111">
        <f>'[1]11.2.2-catch'!C110/'11.6.3 Num quart long'!C110</f>
        <v>2.1717325455479982E-4</v>
      </c>
      <c r="D111">
        <f>'[1]11.2.2-catch'!D110/'11.6.3 Num quart long'!D110</f>
        <v>0.28620192236121933</v>
      </c>
      <c r="E111">
        <f>'[1]11.2.2-catch'!E110/'11.6.3 Num quart long'!E110</f>
        <v>9.4834944220042322E-2</v>
      </c>
      <c r="F111">
        <f>'[1]11.2.2-catch'!F110/'11.6.3 Num quart long'!F110</f>
        <v>1.6610140950884155E-2</v>
      </c>
      <c r="H111">
        <f t="shared" si="4"/>
        <v>2.1714967415054076E-4</v>
      </c>
      <c r="I111">
        <f t="shared" si="4"/>
        <v>0.24888906545997247</v>
      </c>
      <c r="J111">
        <f t="shared" si="4"/>
        <v>9.0476955884905896E-2</v>
      </c>
      <c r="K111">
        <f t="shared" si="4"/>
        <v>1.6472953179301308E-2</v>
      </c>
      <c r="P111">
        <f t="shared" si="5"/>
        <v>2.4000550419354619E-3</v>
      </c>
      <c r="Q111">
        <f t="shared" si="5"/>
        <v>2.7508558729206114</v>
      </c>
      <c r="R111">
        <f t="shared" si="5"/>
        <v>1</v>
      </c>
      <c r="S111">
        <f t="shared" si="5"/>
        <v>0.18206794225323247</v>
      </c>
    </row>
    <row r="112" spans="1:19" x14ac:dyDescent="0.25">
      <c r="A112">
        <v>2001</v>
      </c>
      <c r="B112">
        <v>2</v>
      </c>
      <c r="C112">
        <f>'[1]11.2.2-catch'!C111/'11.6.3 Num quart long'!C111</f>
        <v>1.3590573457855328E-2</v>
      </c>
      <c r="D112">
        <f>'[1]11.2.2-catch'!D111/'11.6.3 Num quart long'!D111</f>
        <v>0.39838880872262505</v>
      </c>
      <c r="E112">
        <f>'[1]11.2.2-catch'!E111/'11.6.3 Num quart long'!E111</f>
        <v>1.0985835734766767</v>
      </c>
      <c r="F112">
        <f>'[1]11.2.2-catch'!F111/'11.6.3 Num quart long'!F111</f>
        <v>2.3865185752585218</v>
      </c>
      <c r="H112">
        <f t="shared" si="4"/>
        <v>1.3498638568280596E-2</v>
      </c>
      <c r="I112">
        <f t="shared" si="4"/>
        <v>0.32859906963125951</v>
      </c>
      <c r="J112">
        <f t="shared" si="4"/>
        <v>2</v>
      </c>
      <c r="K112">
        <f t="shared" si="4"/>
        <v>2</v>
      </c>
      <c r="P112">
        <f t="shared" si="5"/>
        <v>6.7493192841402982E-3</v>
      </c>
      <c r="Q112">
        <f t="shared" si="5"/>
        <v>0.16429953481562976</v>
      </c>
      <c r="R112">
        <f t="shared" si="5"/>
        <v>1</v>
      </c>
      <c r="S112">
        <f t="shared" si="5"/>
        <v>1</v>
      </c>
    </row>
    <row r="113" spans="1:19" x14ac:dyDescent="0.25">
      <c r="A113">
        <v>2001</v>
      </c>
      <c r="B113">
        <v>3</v>
      </c>
      <c r="C113">
        <f>'[1]11.2.2-catch'!C112/'11.6.3 Num quart long'!C112</f>
        <v>5.0130042202375111E-3</v>
      </c>
      <c r="D113">
        <f>'[1]11.2.2-catch'!D112/'11.6.3 Num quart long'!D112</f>
        <v>9.4187393912763068E-2</v>
      </c>
      <c r="E113">
        <f>'[1]11.2.2-catch'!E112/'11.6.3 Num quart long'!E112</f>
        <v>0.13805517212676965</v>
      </c>
      <c r="F113">
        <f>'[1]11.2.2-catch'!F112/'11.6.3 Num quart long'!F112</f>
        <v>0.22022715336134455</v>
      </c>
      <c r="H113">
        <f t="shared" si="4"/>
        <v>5.0004600846034197E-3</v>
      </c>
      <c r="I113">
        <f t="shared" si="4"/>
        <v>8.9887803225805918E-2</v>
      </c>
      <c r="J113">
        <f t="shared" si="4"/>
        <v>0.12894936729587958</v>
      </c>
      <c r="K113">
        <f t="shared" si="4"/>
        <v>0.19766347617714541</v>
      </c>
      <c r="P113">
        <f t="shared" si="5"/>
        <v>3.8778477083409493E-2</v>
      </c>
      <c r="Q113">
        <f t="shared" si="5"/>
        <v>0.69707828049714027</v>
      </c>
      <c r="R113">
        <f t="shared" si="5"/>
        <v>1</v>
      </c>
      <c r="S113">
        <f t="shared" si="5"/>
        <v>1.5328766656419377</v>
      </c>
    </row>
    <row r="114" spans="1:19" x14ac:dyDescent="0.25">
      <c r="A114">
        <v>2001</v>
      </c>
      <c r="B114">
        <v>4</v>
      </c>
      <c r="C114">
        <f>'[1]11.2.2-catch'!C113/'11.6.3 Num quart long'!C113</f>
        <v>0</v>
      </c>
      <c r="D114">
        <f>'[1]11.2.2-catch'!D113/'11.6.3 Num quart long'!D113</f>
        <v>0</v>
      </c>
      <c r="E114">
        <f>'[1]11.2.2-catch'!E113/'11.6.3 Num quart long'!E113</f>
        <v>0</v>
      </c>
      <c r="F114">
        <f>'[1]11.2.2-catch'!F113/'11.6.3 Num quart long'!F113</f>
        <v>0</v>
      </c>
      <c r="H114">
        <f t="shared" si="4"/>
        <v>0</v>
      </c>
      <c r="I114">
        <f t="shared" si="4"/>
        <v>0</v>
      </c>
      <c r="J114">
        <f t="shared" si="4"/>
        <v>0</v>
      </c>
      <c r="K114">
        <f t="shared" si="4"/>
        <v>0</v>
      </c>
      <c r="P114" t="str">
        <f t="shared" si="5"/>
        <v/>
      </c>
      <c r="Q114" t="str">
        <f t="shared" si="5"/>
        <v/>
      </c>
      <c r="R114" t="str">
        <f t="shared" si="5"/>
        <v/>
      </c>
      <c r="S114" t="str">
        <f t="shared" si="5"/>
        <v/>
      </c>
    </row>
    <row r="115" spans="1:19" x14ac:dyDescent="0.25">
      <c r="A115">
        <v>2002</v>
      </c>
      <c r="B115">
        <v>1</v>
      </c>
      <c r="C115">
        <f>'[1]11.2.2-catch'!C114/'11.6.3 Num quart long'!C114</f>
        <v>8.1127619671426488E-4</v>
      </c>
      <c r="D115">
        <f>'[1]11.2.2-catch'!D114/'11.6.3 Num quart long'!D114</f>
        <v>0.38330483667281606</v>
      </c>
      <c r="E115">
        <f>'[1]11.2.2-catch'!E114/'11.6.3 Num quart long'!E114</f>
        <v>0.18901407376087639</v>
      </c>
      <c r="F115">
        <f>'[1]11.2.2-catch'!F114/'11.6.3 Num quart long'!F114</f>
        <v>0.43855776603042651</v>
      </c>
      <c r="H115">
        <f t="shared" si="4"/>
        <v>8.1094720115537644E-4</v>
      </c>
      <c r="I115">
        <f t="shared" si="4"/>
        <v>0.31839491061406233</v>
      </c>
      <c r="J115">
        <f t="shared" si="4"/>
        <v>0.17222514329263849</v>
      </c>
      <c r="K115">
        <f t="shared" si="4"/>
        <v>0.35503405758022644</v>
      </c>
      <c r="P115">
        <f t="shared" si="5"/>
        <v>4.7086458205318222E-3</v>
      </c>
      <c r="Q115">
        <f t="shared" si="5"/>
        <v>1.8487132861492683</v>
      </c>
      <c r="R115">
        <f t="shared" si="5"/>
        <v>1</v>
      </c>
      <c r="S115">
        <f t="shared" si="5"/>
        <v>2.0614531118546719</v>
      </c>
    </row>
    <row r="116" spans="1:19" x14ac:dyDescent="0.25">
      <c r="A116">
        <v>2002</v>
      </c>
      <c r="B116">
        <v>2</v>
      </c>
      <c r="C116">
        <f>'[1]11.2.2-catch'!C115/'11.6.3 Num quart long'!C115</f>
        <v>1.7764865455130636E-2</v>
      </c>
      <c r="D116">
        <f>'[1]11.2.2-catch'!D115/'11.6.3 Num quart long'!D115</f>
        <v>0.53575271713220429</v>
      </c>
      <c r="E116">
        <f>'[1]11.2.2-catch'!E115/'11.6.3 Num quart long'!E115</f>
        <v>0.54009648428253076</v>
      </c>
      <c r="F116">
        <f>'[1]11.2.2-catch'!F115/'11.6.3 Num quart long'!F115</f>
        <v>0.55072734228475984</v>
      </c>
      <c r="H116">
        <f t="shared" si="4"/>
        <v>1.7608000501254661E-2</v>
      </c>
      <c r="I116">
        <f t="shared" si="4"/>
        <v>0.41477138729016982</v>
      </c>
      <c r="J116">
        <f t="shared" si="4"/>
        <v>0.41730797096065908</v>
      </c>
      <c r="K116">
        <f t="shared" si="4"/>
        <v>0.42346967703882488</v>
      </c>
      <c r="P116">
        <f t="shared" si="5"/>
        <v>4.2194258740661877E-2</v>
      </c>
      <c r="Q116">
        <f t="shared" si="5"/>
        <v>0.99392155471018218</v>
      </c>
      <c r="R116">
        <f t="shared" si="5"/>
        <v>1</v>
      </c>
      <c r="S116">
        <f t="shared" si="5"/>
        <v>1.0147653687610647</v>
      </c>
    </row>
    <row r="117" spans="1:19" x14ac:dyDescent="0.25">
      <c r="A117">
        <v>2002</v>
      </c>
      <c r="B117">
        <v>3</v>
      </c>
      <c r="C117">
        <f>'[1]11.2.2-catch'!C116/'11.6.3 Num quart long'!C116</f>
        <v>3.2850091798670655E-2</v>
      </c>
      <c r="D117">
        <f>'[1]11.2.2-catch'!D116/'11.6.3 Num quart long'!D116</f>
        <v>0.2734641706327578</v>
      </c>
      <c r="E117">
        <f>'[1]11.2.2-catch'!E116/'11.6.3 Num quart long'!E116</f>
        <v>0.87678886782311838</v>
      </c>
      <c r="F117">
        <f>'[1]11.2.2-catch'!F116/'11.6.3 Num quart long'!F116</f>
        <v>2.3893979057591621</v>
      </c>
      <c r="H117">
        <f t="shared" si="4"/>
        <v>3.2316387573749883E-2</v>
      </c>
      <c r="I117">
        <f t="shared" si="4"/>
        <v>0.2392604073141853</v>
      </c>
      <c r="J117">
        <f t="shared" si="4"/>
        <v>0.58388302478346077</v>
      </c>
      <c r="K117">
        <f t="shared" si="4"/>
        <v>2</v>
      </c>
      <c r="P117">
        <f t="shared" si="5"/>
        <v>5.5347366171049003E-2</v>
      </c>
      <c r="Q117">
        <f t="shared" si="5"/>
        <v>0.40977455613291303</v>
      </c>
      <c r="R117">
        <f t="shared" si="5"/>
        <v>1</v>
      </c>
      <c r="S117">
        <f t="shared" si="5"/>
        <v>3.4253436306728071</v>
      </c>
    </row>
    <row r="118" spans="1:19" x14ac:dyDescent="0.25">
      <c r="A118">
        <v>2002</v>
      </c>
      <c r="B118">
        <v>4</v>
      </c>
      <c r="C118">
        <f>'[1]11.2.2-catch'!C117/'11.6.3 Num quart long'!C117</f>
        <v>0</v>
      </c>
      <c r="D118">
        <f>'[1]11.2.2-catch'!D117/'11.6.3 Num quart long'!D117</f>
        <v>0</v>
      </c>
      <c r="E118">
        <f>'[1]11.2.2-catch'!E117/'11.6.3 Num quart long'!E117</f>
        <v>0</v>
      </c>
      <c r="F118">
        <f>'[1]11.2.2-catch'!F117/'11.6.3 Num quart long'!F117</f>
        <v>0</v>
      </c>
      <c r="H118">
        <f t="shared" si="4"/>
        <v>0</v>
      </c>
      <c r="I118">
        <f t="shared" si="4"/>
        <v>0</v>
      </c>
      <c r="J118">
        <f t="shared" si="4"/>
        <v>0</v>
      </c>
      <c r="K118">
        <f t="shared" si="4"/>
        <v>0</v>
      </c>
      <c r="P118" t="str">
        <f t="shared" si="5"/>
        <v/>
      </c>
      <c r="Q118" t="str">
        <f t="shared" si="5"/>
        <v/>
      </c>
      <c r="R118" t="str">
        <f t="shared" si="5"/>
        <v/>
      </c>
      <c r="S118" t="str">
        <f t="shared" si="5"/>
        <v/>
      </c>
    </row>
    <row r="119" spans="1:19" x14ac:dyDescent="0.25">
      <c r="A119">
        <v>2003</v>
      </c>
      <c r="B119">
        <v>1</v>
      </c>
      <c r="C119">
        <f>'[1]11.2.2-catch'!C118/'11.6.3 Num quart long'!C118</f>
        <v>1.8407111789961908E-3</v>
      </c>
      <c r="D119">
        <f>'[1]11.2.2-catch'!D118/'11.6.3 Num quart long'!D118</f>
        <v>0.18195981110035409</v>
      </c>
      <c r="E119">
        <f>'[1]11.2.2-catch'!E118/'11.6.3 Num quart long'!E118</f>
        <v>0.24045381006309657</v>
      </c>
      <c r="F119">
        <f>'[1]11.2.2-catch'!F118/'11.6.3 Num quart long'!F118</f>
        <v>0.37086986573492037</v>
      </c>
      <c r="H119">
        <f t="shared" si="4"/>
        <v>1.8390181091507696E-3</v>
      </c>
      <c r="I119">
        <f t="shared" si="4"/>
        <v>0.16636515739044633</v>
      </c>
      <c r="J119">
        <f t="shared" si="4"/>
        <v>0.21372903758448603</v>
      </c>
      <c r="K119">
        <f t="shared" si="4"/>
        <v>0.30986625423682823</v>
      </c>
      <c r="P119">
        <f t="shared" si="5"/>
        <v>8.6044373283804022E-3</v>
      </c>
      <c r="Q119">
        <f t="shared" si="5"/>
        <v>0.77839286262019036</v>
      </c>
      <c r="R119">
        <f t="shared" si="5"/>
        <v>1</v>
      </c>
      <c r="S119">
        <f t="shared" si="5"/>
        <v>1.4498088689251671</v>
      </c>
    </row>
    <row r="120" spans="1:19" x14ac:dyDescent="0.25">
      <c r="A120">
        <v>2003</v>
      </c>
      <c r="B120">
        <v>2</v>
      </c>
      <c r="C120">
        <f>'[1]11.2.2-catch'!C119/'11.6.3 Num quart long'!C119</f>
        <v>3.8274978908867066E-2</v>
      </c>
      <c r="D120">
        <f>'[1]11.2.2-catch'!D119/'11.6.3 Num quart long'!D119</f>
        <v>0.59809355669651465</v>
      </c>
      <c r="E120">
        <f>'[1]11.2.2-catch'!E119/'11.6.3 Num quart long'!E119</f>
        <v>1.0071253869549914</v>
      </c>
      <c r="F120">
        <f>'[1]11.2.2-catch'!F119/'11.6.3 Num quart long'!F119</f>
        <v>2.435108375702435</v>
      </c>
      <c r="H120">
        <f t="shared" si="4"/>
        <v>3.7551748469175306E-2</v>
      </c>
      <c r="I120">
        <f t="shared" si="4"/>
        <v>0.45014108766827821</v>
      </c>
      <c r="J120">
        <f t="shared" si="4"/>
        <v>2</v>
      </c>
      <c r="K120">
        <f t="shared" si="4"/>
        <v>2</v>
      </c>
      <c r="P120">
        <f t="shared" si="5"/>
        <v>1.8775874234587653E-2</v>
      </c>
      <c r="Q120">
        <f t="shared" si="5"/>
        <v>0.2250705438341391</v>
      </c>
      <c r="R120">
        <f t="shared" si="5"/>
        <v>1</v>
      </c>
      <c r="S120">
        <f t="shared" si="5"/>
        <v>1</v>
      </c>
    </row>
    <row r="121" spans="1:19" x14ac:dyDescent="0.25">
      <c r="A121">
        <v>2003</v>
      </c>
      <c r="B121">
        <v>3</v>
      </c>
      <c r="C121">
        <f>'[1]11.2.2-catch'!C120/'11.6.3 Num quart long'!C120</f>
        <v>1.3782176266326055E-2</v>
      </c>
      <c r="D121">
        <f>'[1]11.2.2-catch'!D120/'11.6.3 Num quart long'!D120</f>
        <v>5.9293757509614542E-3</v>
      </c>
      <c r="E121">
        <f>'[1]11.2.2-catch'!E120/'11.6.3 Num quart long'!E120</f>
        <v>7.6464953349033471E-2</v>
      </c>
      <c r="F121">
        <f>'[1]11.2.2-catch'!F120/'11.6.3 Num quart long'!F120</f>
        <v>0.89534489768261283</v>
      </c>
      <c r="H121">
        <f t="shared" si="4"/>
        <v>1.3687636892808053E-2</v>
      </c>
      <c r="I121">
        <f t="shared" si="4"/>
        <v>5.9118316947904814E-3</v>
      </c>
      <c r="J121">
        <f t="shared" si="4"/>
        <v>7.3614619575007589E-2</v>
      </c>
      <c r="K121">
        <f t="shared" si="4"/>
        <v>0.59153330487297628</v>
      </c>
      <c r="P121">
        <f t="shared" si="5"/>
        <v>0.18593639377381299</v>
      </c>
      <c r="Q121">
        <f t="shared" si="5"/>
        <v>8.0307848208965929E-2</v>
      </c>
      <c r="R121">
        <f t="shared" si="5"/>
        <v>1</v>
      </c>
      <c r="S121">
        <f t="shared" si="5"/>
        <v>8.0355411504945664</v>
      </c>
    </row>
    <row r="122" spans="1:19" x14ac:dyDescent="0.25">
      <c r="A122">
        <v>2003</v>
      </c>
      <c r="B122">
        <v>4</v>
      </c>
      <c r="C122">
        <f>'[1]11.2.2-catch'!C121/'11.6.3 Num quart long'!C121</f>
        <v>0</v>
      </c>
      <c r="D122">
        <f>'[1]11.2.2-catch'!D121/'11.6.3 Num quart long'!D121</f>
        <v>0</v>
      </c>
      <c r="E122">
        <f>'[1]11.2.2-catch'!E121/'11.6.3 Num quart long'!E121</f>
        <v>0</v>
      </c>
      <c r="F122">
        <f>'[1]11.2.2-catch'!F121/'11.6.3 Num quart long'!F121</f>
        <v>0</v>
      </c>
      <c r="H122">
        <f t="shared" si="4"/>
        <v>0</v>
      </c>
      <c r="I122">
        <f t="shared" si="4"/>
        <v>0</v>
      </c>
      <c r="J122">
        <f t="shared" si="4"/>
        <v>0</v>
      </c>
      <c r="K122">
        <f t="shared" si="4"/>
        <v>0</v>
      </c>
      <c r="P122" t="str">
        <f t="shared" si="5"/>
        <v/>
      </c>
      <c r="Q122" t="str">
        <f t="shared" si="5"/>
        <v/>
      </c>
      <c r="R122" t="str">
        <f t="shared" si="5"/>
        <v/>
      </c>
      <c r="S122" t="str">
        <f t="shared" si="5"/>
        <v/>
      </c>
    </row>
    <row r="123" spans="1:19" x14ac:dyDescent="0.25">
      <c r="A123">
        <v>2004</v>
      </c>
      <c r="B123">
        <v>1</v>
      </c>
      <c r="C123">
        <f>'[1]11.2.2-catch'!C122/'11.6.3 Num quart long'!C122</f>
        <v>1.2766695431895999E-3</v>
      </c>
      <c r="D123">
        <f>'[1]11.2.2-catch'!D122/'11.6.3 Num quart long'!D122</f>
        <v>0.1419395997549795</v>
      </c>
      <c r="E123">
        <f>'[1]11.2.2-catch'!E122/'11.6.3 Num quart long'!E122</f>
        <v>0.19869348508101206</v>
      </c>
      <c r="F123">
        <f>'[1]11.2.2-catch'!F122/'11.6.3 Num quart long'!F122</f>
        <v>0.3749904961034024</v>
      </c>
      <c r="H123">
        <f t="shared" si="4"/>
        <v>1.2758549473218528E-3</v>
      </c>
      <c r="I123">
        <f t="shared" si="4"/>
        <v>0.13232633739495392</v>
      </c>
      <c r="J123">
        <f t="shared" si="4"/>
        <v>0.18019886389505091</v>
      </c>
      <c r="K123">
        <f t="shared" si="4"/>
        <v>0.31270418925175003</v>
      </c>
      <c r="P123">
        <f t="shared" si="5"/>
        <v>7.080260772703427E-3</v>
      </c>
      <c r="Q123">
        <f t="shared" si="5"/>
        <v>0.73433502595233735</v>
      </c>
      <c r="R123">
        <f t="shared" si="5"/>
        <v>1</v>
      </c>
      <c r="S123">
        <f t="shared" si="5"/>
        <v>1.7353283061422138</v>
      </c>
    </row>
    <row r="124" spans="1:19" x14ac:dyDescent="0.25">
      <c r="A124">
        <v>2004</v>
      </c>
      <c r="B124">
        <v>2</v>
      </c>
      <c r="C124">
        <f>'[1]11.2.2-catch'!C123/'11.6.3 Num quart long'!C123</f>
        <v>0.2048777099627522</v>
      </c>
      <c r="D124">
        <f>'[1]11.2.2-catch'!D123/'11.6.3 Num quart long'!D123</f>
        <v>0.36609995748134977</v>
      </c>
      <c r="E124">
        <f>'[1]11.2.2-catch'!E123/'11.6.3 Num quart long'!E123</f>
        <v>0.20467534277330898</v>
      </c>
      <c r="F124">
        <f>'[1]11.2.2-catch'!F123/'11.6.3 Num quart long'!F123</f>
        <v>0.65574675962293794</v>
      </c>
      <c r="H124">
        <f t="shared" si="4"/>
        <v>0.18525305424620386</v>
      </c>
      <c r="I124">
        <f t="shared" si="4"/>
        <v>0.30656651611911168</v>
      </c>
      <c r="J124">
        <f t="shared" si="4"/>
        <v>0.18508815951260504</v>
      </c>
      <c r="K124">
        <f t="shared" si="4"/>
        <v>0.48094569097437656</v>
      </c>
      <c r="P124">
        <f t="shared" si="5"/>
        <v>1.0008908983374898</v>
      </c>
      <c r="Q124">
        <f t="shared" si="5"/>
        <v>1.6563270007460071</v>
      </c>
      <c r="R124">
        <f t="shared" si="5"/>
        <v>1</v>
      </c>
      <c r="S124">
        <f t="shared" si="5"/>
        <v>2.5984681691192826</v>
      </c>
    </row>
    <row r="125" spans="1:19" x14ac:dyDescent="0.25">
      <c r="A125">
        <v>2004</v>
      </c>
      <c r="B125">
        <v>3</v>
      </c>
      <c r="C125">
        <f>'[1]11.2.2-catch'!C124/'11.6.3 Num quart long'!C124</f>
        <v>5.971789444859632E-2</v>
      </c>
      <c r="D125">
        <f>'[1]11.2.2-catch'!D124/'11.6.3 Num quart long'!D124</f>
        <v>4.6590227558663357E-2</v>
      </c>
      <c r="E125">
        <f>'[1]11.2.2-catch'!E124/'11.6.3 Num quart long'!E124</f>
        <v>0.14697412096857426</v>
      </c>
      <c r="F125">
        <f>'[1]11.2.2-catch'!F124/'11.6.3 Num quart long'!F124</f>
        <v>0.9166083099906629</v>
      </c>
      <c r="H125">
        <f t="shared" si="4"/>
        <v>5.7969751934709213E-2</v>
      </c>
      <c r="I125">
        <f t="shared" si="4"/>
        <v>4.5521563574472346E-2</v>
      </c>
      <c r="J125">
        <f t="shared" si="4"/>
        <v>0.13668368108262241</v>
      </c>
      <c r="K125">
        <f t="shared" si="4"/>
        <v>0.60012701107756627</v>
      </c>
      <c r="P125">
        <f t="shared" si="5"/>
        <v>0.42411611595145521</v>
      </c>
      <c r="Q125">
        <f t="shared" si="5"/>
        <v>0.333043149071728</v>
      </c>
      <c r="R125">
        <f t="shared" si="5"/>
        <v>1</v>
      </c>
      <c r="S125">
        <f t="shared" si="5"/>
        <v>4.3906266375340159</v>
      </c>
    </row>
    <row r="126" spans="1:19" x14ac:dyDescent="0.25">
      <c r="A126">
        <v>2004</v>
      </c>
      <c r="B126">
        <v>4</v>
      </c>
      <c r="C126">
        <f>'[1]11.2.2-catch'!C125/'11.6.3 Num quart long'!C125</f>
        <v>0</v>
      </c>
      <c r="D126">
        <f>'[1]11.2.2-catch'!D125/'11.6.3 Num quart long'!D125</f>
        <v>0</v>
      </c>
      <c r="E126">
        <f>'[1]11.2.2-catch'!E125/'11.6.3 Num quart long'!E125</f>
        <v>0</v>
      </c>
      <c r="F126">
        <f>'[1]11.2.2-catch'!F125/'11.6.3 Num quart long'!F125</f>
        <v>0</v>
      </c>
      <c r="H126">
        <f t="shared" si="4"/>
        <v>0</v>
      </c>
      <c r="I126">
        <f t="shared" si="4"/>
        <v>0</v>
      </c>
      <c r="J126">
        <f t="shared" si="4"/>
        <v>0</v>
      </c>
      <c r="K126">
        <f t="shared" si="4"/>
        <v>0</v>
      </c>
      <c r="P126" t="str">
        <f t="shared" si="5"/>
        <v/>
      </c>
      <c r="Q126" t="str">
        <f t="shared" si="5"/>
        <v/>
      </c>
      <c r="R126" t="str">
        <f t="shared" si="5"/>
        <v/>
      </c>
      <c r="S126" t="str">
        <f t="shared" si="5"/>
        <v/>
      </c>
    </row>
    <row r="127" spans="1:19" x14ac:dyDescent="0.25">
      <c r="A127">
        <v>2005</v>
      </c>
      <c r="B127">
        <v>1</v>
      </c>
      <c r="C127">
        <f>'[1]11.2.2-catch'!C126/'11.6.3 Num quart long'!C126</f>
        <v>1.5924152986206963E-3</v>
      </c>
      <c r="D127">
        <f>'[1]11.2.2-catch'!D126/'11.6.3 Num quart long'!D126</f>
        <v>0.26333499598410925</v>
      </c>
      <c r="E127">
        <f>'[1]11.2.2-catch'!E126/'11.6.3 Num quart long'!E126</f>
        <v>0.13749766878699457</v>
      </c>
      <c r="F127">
        <f>'[1]11.2.2-catch'!F126/'11.6.3 Num quart long'!F126</f>
        <v>0.62963146669312042</v>
      </c>
      <c r="H127">
        <f t="shared" si="4"/>
        <v>1.5911480781154452E-3</v>
      </c>
      <c r="I127">
        <f t="shared" si="4"/>
        <v>0.23151558500707625</v>
      </c>
      <c r="J127">
        <f t="shared" si="4"/>
        <v>0.12846361826826258</v>
      </c>
      <c r="K127">
        <f t="shared" si="4"/>
        <v>0.46721188500356081</v>
      </c>
      <c r="P127">
        <f t="shared" si="5"/>
        <v>1.2385982113572029E-2</v>
      </c>
      <c r="Q127">
        <f t="shared" si="5"/>
        <v>1.8021879511724219</v>
      </c>
      <c r="R127">
        <f t="shared" si="5"/>
        <v>1</v>
      </c>
      <c r="S127">
        <f t="shared" si="5"/>
        <v>3.6369198633959638</v>
      </c>
    </row>
    <row r="128" spans="1:19" x14ac:dyDescent="0.25">
      <c r="A128">
        <v>2005</v>
      </c>
      <c r="B128">
        <v>2</v>
      </c>
      <c r="C128">
        <f>'[1]11.2.2-catch'!C127/'11.6.3 Num quart long'!C127</f>
        <v>2.0537482181323827E-2</v>
      </c>
      <c r="D128">
        <f>'[1]11.2.2-catch'!D127/'11.6.3 Num quart long'!D127</f>
        <v>0.30974494734738189</v>
      </c>
      <c r="E128">
        <f>'[1]11.2.2-catch'!E127/'11.6.3 Num quart long'!E127</f>
        <v>0.150407741153532</v>
      </c>
      <c r="F128">
        <f>'[1]11.2.2-catch'!F127/'11.6.3 Num quart long'!F127</f>
        <v>0.34276343400743009</v>
      </c>
      <c r="H128">
        <f t="shared" si="4"/>
        <v>2.0328024456293337E-2</v>
      </c>
      <c r="I128">
        <f t="shared" si="4"/>
        <v>0.26636595232589999</v>
      </c>
      <c r="J128">
        <f t="shared" si="4"/>
        <v>0.13964289810025099</v>
      </c>
      <c r="K128">
        <f t="shared" si="4"/>
        <v>0.29019389231343418</v>
      </c>
      <c r="P128">
        <f t="shared" si="5"/>
        <v>0.14557148793703531</v>
      </c>
      <c r="Q128">
        <f t="shared" si="5"/>
        <v>1.9074794060394915</v>
      </c>
      <c r="R128">
        <f t="shared" si="5"/>
        <v>1</v>
      </c>
      <c r="S128">
        <f t="shared" si="5"/>
        <v>2.0781142203529832</v>
      </c>
    </row>
    <row r="129" spans="1:19" x14ac:dyDescent="0.25">
      <c r="A129">
        <v>2005</v>
      </c>
      <c r="B129">
        <v>3</v>
      </c>
      <c r="C129">
        <f>'[1]11.2.2-catch'!C128/'11.6.3 Num quart long'!C128</f>
        <v>3.6832274404119847E-2</v>
      </c>
      <c r="D129">
        <f>'[1]11.2.2-catch'!D128/'11.6.3 Num quart long'!D128</f>
        <v>0.36078853979054099</v>
      </c>
      <c r="E129">
        <f>'[1]11.2.2-catch'!E128/'11.6.3 Num quart long'!E128</f>
        <v>0.43174268695038676</v>
      </c>
      <c r="F129">
        <f>'[1]11.2.2-catch'!F128/'11.6.3 Num quart long'!F128</f>
        <v>1.8201859982061086</v>
      </c>
      <c r="H129">
        <f t="shared" si="4"/>
        <v>3.6162217941143271E-2</v>
      </c>
      <c r="I129">
        <f t="shared" si="4"/>
        <v>0.30287360262417007</v>
      </c>
      <c r="J129">
        <f t="shared" si="4"/>
        <v>0.35062355177637849</v>
      </c>
      <c r="K129">
        <f t="shared" si="4"/>
        <v>2</v>
      </c>
      <c r="P129">
        <f t="shared" si="5"/>
        <v>0.10313687645320213</v>
      </c>
      <c r="Q129">
        <f t="shared" si="5"/>
        <v>0.86381419927357728</v>
      </c>
      <c r="R129">
        <f t="shared" si="5"/>
        <v>1</v>
      </c>
      <c r="S129">
        <f t="shared" si="5"/>
        <v>5.7041233820926118</v>
      </c>
    </row>
    <row r="130" spans="1:19" x14ac:dyDescent="0.25">
      <c r="A130">
        <v>2005</v>
      </c>
      <c r="B130">
        <v>4</v>
      </c>
      <c r="C130">
        <f>'[1]11.2.2-catch'!C129/'11.6.3 Num quart long'!C129</f>
        <v>0</v>
      </c>
      <c r="D130">
        <f>'[1]11.2.2-catch'!D129/'11.6.3 Num quart long'!D129</f>
        <v>0</v>
      </c>
      <c r="E130">
        <f>'[1]11.2.2-catch'!E129/'11.6.3 Num quart long'!E129</f>
        <v>0</v>
      </c>
      <c r="F130">
        <f>'[1]11.2.2-catch'!F129/'11.6.3 Num quart long'!F129</f>
        <v>0</v>
      </c>
      <c r="H130">
        <f t="shared" si="4"/>
        <v>0</v>
      </c>
      <c r="I130">
        <f t="shared" si="4"/>
        <v>0</v>
      </c>
      <c r="J130">
        <f t="shared" si="4"/>
        <v>0</v>
      </c>
      <c r="K130">
        <f t="shared" si="4"/>
        <v>0</v>
      </c>
      <c r="P130" t="str">
        <f t="shared" si="5"/>
        <v/>
      </c>
      <c r="Q130" t="str">
        <f t="shared" si="5"/>
        <v/>
      </c>
      <c r="R130" t="str">
        <f t="shared" si="5"/>
        <v/>
      </c>
      <c r="S130" t="str">
        <f t="shared" si="5"/>
        <v/>
      </c>
    </row>
    <row r="131" spans="1:19" x14ac:dyDescent="0.25">
      <c r="A131">
        <v>2006</v>
      </c>
      <c r="B131">
        <v>1</v>
      </c>
      <c r="C131">
        <f>'[1]11.2.2-catch'!C130/'11.6.3 Num quart long'!C130</f>
        <v>0</v>
      </c>
      <c r="D131">
        <f>'[1]11.2.2-catch'!D130/'11.6.3 Num quart long'!D130</f>
        <v>0.11376009431856553</v>
      </c>
      <c r="E131">
        <f>'[1]11.2.2-catch'!E130/'11.6.3 Num quart long'!E130</f>
        <v>0.16425486391353458</v>
      </c>
      <c r="F131">
        <f>'[1]11.2.2-catch'!F130/'11.6.3 Num quart long'!F130</f>
        <v>1.010631631929821</v>
      </c>
      <c r="H131">
        <f t="shared" si="4"/>
        <v>0</v>
      </c>
      <c r="I131">
        <f t="shared" si="4"/>
        <v>0.10752796068578141</v>
      </c>
      <c r="J131">
        <f t="shared" si="4"/>
        <v>0.15147426427013277</v>
      </c>
      <c r="K131">
        <f t="shared" ref="K131:K194" si="6">IF(F131&lt;1,1-EXP(-F131),2)</f>
        <v>2</v>
      </c>
      <c r="P131">
        <f t="shared" si="5"/>
        <v>0</v>
      </c>
      <c r="Q131">
        <f t="shared" si="5"/>
        <v>0.70987610472245377</v>
      </c>
      <c r="R131">
        <f t="shared" si="5"/>
        <v>1</v>
      </c>
      <c r="S131">
        <f t="shared" ref="S131:S194" si="7">IF($J131=0,"",K131/$J131)</f>
        <v>13.203563058298041</v>
      </c>
    </row>
    <row r="132" spans="1:19" x14ac:dyDescent="0.25">
      <c r="A132">
        <v>2006</v>
      </c>
      <c r="B132">
        <v>2</v>
      </c>
      <c r="C132">
        <f>'[1]11.2.2-catch'!C131/'11.6.3 Num quart long'!C131</f>
        <v>6.1252801992528021E-3</v>
      </c>
      <c r="D132">
        <f>'[1]11.2.2-catch'!D131/'11.6.3 Num quart long'!D131</f>
        <v>6.2998589872628713E-2</v>
      </c>
      <c r="E132">
        <f>'[1]11.2.2-catch'!E131/'11.6.3 Num quart long'!E131</f>
        <v>0.3116644778306617</v>
      </c>
      <c r="F132">
        <f>'[1]11.2.2-catch'!F131/'11.6.3 Num quart long'!F131</f>
        <v>2.0223926090652289</v>
      </c>
      <c r="H132">
        <f t="shared" ref="H132:K195" si="8">IF(C132&lt;1,1-EXP(-C132),2)</f>
        <v>6.1065589143682875E-3</v>
      </c>
      <c r="I132">
        <f t="shared" si="8"/>
        <v>6.105520228004091E-2</v>
      </c>
      <c r="J132">
        <f t="shared" si="8"/>
        <v>0.26777283453535583</v>
      </c>
      <c r="K132">
        <f t="shared" si="6"/>
        <v>2</v>
      </c>
      <c r="P132">
        <f t="shared" ref="P132:S195" si="9">IF($J132=0,"",H132/$J132)</f>
        <v>2.2804997844402316E-2</v>
      </c>
      <c r="Q132">
        <f t="shared" si="9"/>
        <v>0.22801118861061831</v>
      </c>
      <c r="R132">
        <f t="shared" si="9"/>
        <v>1</v>
      </c>
      <c r="S132">
        <f t="shared" si="7"/>
        <v>7.4690175479168213</v>
      </c>
    </row>
    <row r="133" spans="1:19" x14ac:dyDescent="0.25">
      <c r="A133">
        <v>2006</v>
      </c>
      <c r="B133">
        <v>3</v>
      </c>
      <c r="C133">
        <f>'[1]11.2.2-catch'!C132/'11.6.3 Num quart long'!C132</f>
        <v>4.7378833369075704E-3</v>
      </c>
      <c r="D133">
        <f>'[1]11.2.2-catch'!D132/'11.6.3 Num quart long'!D132</f>
        <v>2.9677680970828856E-2</v>
      </c>
      <c r="E133">
        <f>'[1]11.2.2-catch'!E132/'11.6.3 Num quart long'!E132</f>
        <v>0.18567119107777297</v>
      </c>
      <c r="F133">
        <f>'[1]11.2.2-catch'!F132/'11.6.3 Num quart long'!F132</f>
        <v>0.34385909734234943</v>
      </c>
      <c r="H133">
        <f t="shared" si="8"/>
        <v>4.7266772723113526E-3</v>
      </c>
      <c r="I133">
        <f t="shared" si="8"/>
        <v>2.9241622974260473E-2</v>
      </c>
      <c r="J133">
        <f t="shared" si="8"/>
        <v>0.16945335876458556</v>
      </c>
      <c r="K133">
        <f t="shared" si="6"/>
        <v>0.29097117494273006</v>
      </c>
      <c r="P133">
        <f t="shared" si="9"/>
        <v>2.7893677096586366E-2</v>
      </c>
      <c r="Q133">
        <f t="shared" si="9"/>
        <v>0.17256443417497927</v>
      </c>
      <c r="R133">
        <f t="shared" si="9"/>
        <v>1</v>
      </c>
      <c r="S133">
        <f t="shared" si="7"/>
        <v>1.7171165981251755</v>
      </c>
    </row>
    <row r="134" spans="1:19" x14ac:dyDescent="0.25">
      <c r="A134">
        <v>2006</v>
      </c>
      <c r="B134">
        <v>4</v>
      </c>
      <c r="C134">
        <f>'[1]11.2.2-catch'!C133/'11.6.3 Num quart long'!C133</f>
        <v>0</v>
      </c>
      <c r="D134">
        <f>'[1]11.2.2-catch'!D133/'11.6.3 Num quart long'!D133</f>
        <v>0</v>
      </c>
      <c r="E134">
        <f>'[1]11.2.2-catch'!E133/'11.6.3 Num quart long'!E133</f>
        <v>0</v>
      </c>
      <c r="F134">
        <f>'[1]11.2.2-catch'!F133/'11.6.3 Num quart long'!F133</f>
        <v>0</v>
      </c>
      <c r="H134">
        <f t="shared" si="8"/>
        <v>0</v>
      </c>
      <c r="I134">
        <f t="shared" si="8"/>
        <v>0</v>
      </c>
      <c r="J134">
        <f t="shared" si="8"/>
        <v>0</v>
      </c>
      <c r="K134">
        <f t="shared" si="6"/>
        <v>0</v>
      </c>
      <c r="P134" t="str">
        <f t="shared" si="9"/>
        <v/>
      </c>
      <c r="Q134" t="str">
        <f t="shared" si="9"/>
        <v/>
      </c>
      <c r="R134" t="str">
        <f t="shared" si="9"/>
        <v/>
      </c>
      <c r="S134" t="str">
        <f t="shared" si="7"/>
        <v/>
      </c>
    </row>
    <row r="135" spans="1:19" x14ac:dyDescent="0.25">
      <c r="A135">
        <v>2007</v>
      </c>
      <c r="B135">
        <v>1</v>
      </c>
      <c r="C135">
        <f>'[1]11.2.2-catch'!C134/'11.6.3 Num quart long'!C134</f>
        <v>0</v>
      </c>
      <c r="D135">
        <f>'[1]11.2.2-catch'!D134/'11.6.3 Num quart long'!D134</f>
        <v>7.4988618447857439E-2</v>
      </c>
      <c r="E135">
        <f>'[1]11.2.2-catch'!E134/'11.6.3 Num quart long'!E134</f>
        <v>7.7639334324555692E-2</v>
      </c>
      <c r="F135">
        <f>'[1]11.2.2-catch'!F134/'11.6.3 Num quart long'!F134</f>
        <v>0.13617466545930174</v>
      </c>
      <c r="H135">
        <f t="shared" si="8"/>
        <v>0</v>
      </c>
      <c r="I135">
        <f t="shared" si="8"/>
        <v>7.2245954450492533E-2</v>
      </c>
      <c r="J135">
        <f t="shared" si="8"/>
        <v>7.4701910370005065E-2</v>
      </c>
      <c r="K135">
        <f t="shared" si="6"/>
        <v>0.12730980965700622</v>
      </c>
      <c r="P135">
        <f t="shared" si="9"/>
        <v>0</v>
      </c>
      <c r="Q135">
        <f t="shared" si="9"/>
        <v>0.96712325150256573</v>
      </c>
      <c r="R135">
        <f t="shared" si="9"/>
        <v>1</v>
      </c>
      <c r="S135">
        <f t="shared" si="7"/>
        <v>1.7042376697788537</v>
      </c>
    </row>
    <row r="136" spans="1:19" x14ac:dyDescent="0.25">
      <c r="A136">
        <v>2007</v>
      </c>
      <c r="B136">
        <v>2</v>
      </c>
      <c r="C136">
        <f>'[1]11.2.2-catch'!C135/'11.6.3 Num quart long'!C135</f>
        <v>1.5349281405631484E-2</v>
      </c>
      <c r="D136">
        <f>'[1]11.2.2-catch'!D135/'11.6.3 Num quart long'!D135</f>
        <v>0.40869916635754866</v>
      </c>
      <c r="E136">
        <f>'[1]11.2.2-catch'!E135/'11.6.3 Num quart long'!E135</f>
        <v>1.7893336794996477</v>
      </c>
      <c r="F136">
        <f>'[1]11.2.2-catch'!F135/'11.6.3 Num quart long'!F135</f>
        <v>1.2653809284930242</v>
      </c>
      <c r="H136">
        <f t="shared" si="8"/>
        <v>1.5232081596304736E-2</v>
      </c>
      <c r="I136">
        <f t="shared" si="8"/>
        <v>0.33548588954401537</v>
      </c>
      <c r="J136">
        <f t="shared" si="8"/>
        <v>2</v>
      </c>
      <c r="K136">
        <f t="shared" si="6"/>
        <v>2</v>
      </c>
      <c r="P136">
        <f t="shared" si="9"/>
        <v>7.6160407981523681E-3</v>
      </c>
      <c r="Q136">
        <f t="shared" si="9"/>
        <v>0.16774294477200768</v>
      </c>
      <c r="R136">
        <f t="shared" si="9"/>
        <v>1</v>
      </c>
      <c r="S136">
        <f t="shared" si="7"/>
        <v>1</v>
      </c>
    </row>
    <row r="137" spans="1:19" x14ac:dyDescent="0.25">
      <c r="A137">
        <v>2007</v>
      </c>
      <c r="B137">
        <v>3</v>
      </c>
      <c r="C137">
        <f>'[1]11.2.2-catch'!C136/'11.6.3 Num quart long'!C136</f>
        <v>1.4475889146984399E-2</v>
      </c>
      <c r="D137">
        <f>'[1]11.2.2-catch'!D136/'11.6.3 Num quart long'!D136</f>
        <v>5.7137806982885897E-2</v>
      </c>
      <c r="E137">
        <f>'[1]11.2.2-catch'!E136/'11.6.3 Num quart long'!E136</f>
        <v>6.6408122211196394E-2</v>
      </c>
      <c r="F137">
        <f>'[1]11.2.2-catch'!F136/'11.6.3 Num quart long'!F136</f>
        <v>0.35518959032225272</v>
      </c>
      <c r="H137">
        <f t="shared" si="8"/>
        <v>1.4371617213039256E-2</v>
      </c>
      <c r="I137">
        <f t="shared" si="8"/>
        <v>5.5536093323358182E-2</v>
      </c>
      <c r="J137">
        <f t="shared" si="8"/>
        <v>6.4251113554561479E-2</v>
      </c>
      <c r="K137">
        <f t="shared" si="6"/>
        <v>0.29895947988961591</v>
      </c>
      <c r="P137">
        <f t="shared" si="9"/>
        <v>0.22367888146926831</v>
      </c>
      <c r="Q137">
        <f t="shared" si="9"/>
        <v>0.86436001262760098</v>
      </c>
      <c r="R137">
        <f t="shared" si="9"/>
        <v>1</v>
      </c>
      <c r="S137">
        <f t="shared" si="7"/>
        <v>4.6529851912331788</v>
      </c>
    </row>
    <row r="138" spans="1:19" x14ac:dyDescent="0.25">
      <c r="A138">
        <v>2007</v>
      </c>
      <c r="B138">
        <v>4</v>
      </c>
      <c r="C138">
        <f>'[1]11.2.2-catch'!C137/'11.6.3 Num quart long'!C137</f>
        <v>0</v>
      </c>
      <c r="D138">
        <f>'[1]11.2.2-catch'!D137/'11.6.3 Num quart long'!D137</f>
        <v>0</v>
      </c>
      <c r="E138">
        <f>'[1]11.2.2-catch'!E137/'11.6.3 Num quart long'!E137</f>
        <v>0</v>
      </c>
      <c r="F138">
        <f>'[1]11.2.2-catch'!F137/'11.6.3 Num quart long'!F137</f>
        <v>0</v>
      </c>
      <c r="H138">
        <f t="shared" si="8"/>
        <v>0</v>
      </c>
      <c r="I138">
        <f t="shared" si="8"/>
        <v>0</v>
      </c>
      <c r="J138">
        <f t="shared" si="8"/>
        <v>0</v>
      </c>
      <c r="K138">
        <f t="shared" si="6"/>
        <v>0</v>
      </c>
      <c r="P138" t="str">
        <f t="shared" si="9"/>
        <v/>
      </c>
      <c r="Q138" t="str">
        <f t="shared" si="9"/>
        <v/>
      </c>
      <c r="R138" t="str">
        <f t="shared" si="9"/>
        <v/>
      </c>
      <c r="S138" t="str">
        <f t="shared" si="7"/>
        <v/>
      </c>
    </row>
    <row r="139" spans="1:19" x14ac:dyDescent="0.25">
      <c r="A139">
        <v>2008</v>
      </c>
      <c r="B139">
        <v>1</v>
      </c>
      <c r="C139">
        <f>'[1]11.2.2-catch'!C138/'11.6.3 Num quart long'!C138</f>
        <v>8.2391998236996066E-5</v>
      </c>
      <c r="D139">
        <f>'[1]11.2.2-catch'!D138/'11.6.3 Num quart long'!D138</f>
        <v>2.433773117474218E-2</v>
      </c>
      <c r="E139">
        <f>'[1]11.2.2-catch'!E138/'11.6.3 Num quart long'!E138</f>
        <v>0.426398664208685</v>
      </c>
      <c r="F139">
        <f>'[1]11.2.2-catch'!F138/'11.6.3 Num quart long'!F138</f>
        <v>1.7771514488497044</v>
      </c>
      <c r="H139">
        <f t="shared" si="8"/>
        <v>8.2388604109473462E-5</v>
      </c>
      <c r="I139">
        <f t="shared" si="8"/>
        <v>2.4043956689279389E-2</v>
      </c>
      <c r="J139">
        <f t="shared" si="8"/>
        <v>0.34714398009501235</v>
      </c>
      <c r="K139">
        <f t="shared" si="6"/>
        <v>2</v>
      </c>
      <c r="P139">
        <f t="shared" si="9"/>
        <v>2.3733265974228886E-4</v>
      </c>
      <c r="Q139">
        <f t="shared" si="9"/>
        <v>6.9262202624682204E-2</v>
      </c>
      <c r="R139">
        <f t="shared" si="9"/>
        <v>1</v>
      </c>
      <c r="S139">
        <f t="shared" si="7"/>
        <v>5.7612982355407851</v>
      </c>
    </row>
    <row r="140" spans="1:19" x14ac:dyDescent="0.25">
      <c r="A140">
        <v>2008</v>
      </c>
      <c r="B140">
        <v>2</v>
      </c>
      <c r="C140">
        <f>'[1]11.2.2-catch'!C139/'11.6.3 Num quart long'!C139</f>
        <v>2.3834797513729189E-2</v>
      </c>
      <c r="D140">
        <f>'[1]11.2.2-catch'!D139/'11.6.3 Num quart long'!D139</f>
        <v>0.22740364034657667</v>
      </c>
      <c r="E140">
        <f>'[1]11.2.2-catch'!E139/'11.6.3 Num quart long'!E139</f>
        <v>0.69564009536643512</v>
      </c>
      <c r="F140">
        <f>'[1]11.2.2-catch'!F139/'11.6.3 Num quart long'!F139</f>
        <v>3.1694478855449488</v>
      </c>
      <c r="H140">
        <f t="shared" si="8"/>
        <v>2.3552992092467195E-2</v>
      </c>
      <c r="I140">
        <f t="shared" si="8"/>
        <v>0.20340082217998179</v>
      </c>
      <c r="J140">
        <f t="shared" si="8"/>
        <v>0.50124490503742658</v>
      </c>
      <c r="K140">
        <f t="shared" si="6"/>
        <v>2</v>
      </c>
      <c r="P140">
        <f t="shared" si="9"/>
        <v>4.6988990522923234E-2</v>
      </c>
      <c r="Q140">
        <f t="shared" si="9"/>
        <v>0.40579130109022138</v>
      </c>
      <c r="R140">
        <f t="shared" si="9"/>
        <v>1</v>
      </c>
      <c r="S140">
        <f t="shared" si="7"/>
        <v>3.9900654947318928</v>
      </c>
    </row>
    <row r="141" spans="1:19" x14ac:dyDescent="0.25">
      <c r="A141">
        <v>2008</v>
      </c>
      <c r="B141">
        <v>3</v>
      </c>
      <c r="C141">
        <f>'[1]11.2.2-catch'!C140/'11.6.3 Num quart long'!C140</f>
        <v>1.4220017819072771E-2</v>
      </c>
      <c r="D141">
        <f>'[1]11.2.2-catch'!D140/'11.6.3 Num quart long'!D140</f>
        <v>2.5696456777363937E-2</v>
      </c>
      <c r="E141">
        <f>'[1]11.2.2-catch'!E140/'11.6.3 Num quart long'!E140</f>
        <v>7.455130990506742E-2</v>
      </c>
      <c r="F141">
        <f>'[1]11.2.2-catch'!F140/'11.6.3 Num quart long'!F140</f>
        <v>0.71825709779179814</v>
      </c>
      <c r="H141">
        <f t="shared" si="8"/>
        <v>1.4119390902543771E-2</v>
      </c>
      <c r="I141">
        <f t="shared" si="8"/>
        <v>2.5369112686800421E-2</v>
      </c>
      <c r="J141">
        <f t="shared" si="8"/>
        <v>7.1840150956565485E-2</v>
      </c>
      <c r="K141">
        <f t="shared" si="6"/>
        <v>0.51239864272293167</v>
      </c>
      <c r="P141">
        <f t="shared" si="9"/>
        <v>0.19653899267389272</v>
      </c>
      <c r="Q141">
        <f t="shared" si="9"/>
        <v>0.35313278645723578</v>
      </c>
      <c r="R141">
        <f t="shared" si="9"/>
        <v>1</v>
      </c>
      <c r="S141">
        <f t="shared" si="7"/>
        <v>7.132482823327134</v>
      </c>
    </row>
    <row r="142" spans="1:19" x14ac:dyDescent="0.25">
      <c r="A142">
        <v>2008</v>
      </c>
      <c r="B142">
        <v>4</v>
      </c>
      <c r="C142">
        <f>'[1]11.2.2-catch'!C141/'11.6.3 Num quart long'!C141</f>
        <v>0</v>
      </c>
      <c r="D142">
        <f>'[1]11.2.2-catch'!D141/'11.6.3 Num quart long'!D141</f>
        <v>0</v>
      </c>
      <c r="E142">
        <f>'[1]11.2.2-catch'!E141/'11.6.3 Num quart long'!E141</f>
        <v>0</v>
      </c>
      <c r="F142">
        <f>'[1]11.2.2-catch'!F141/'11.6.3 Num quart long'!F141</f>
        <v>0</v>
      </c>
      <c r="H142">
        <f t="shared" si="8"/>
        <v>0</v>
      </c>
      <c r="I142">
        <f t="shared" si="8"/>
        <v>0</v>
      </c>
      <c r="J142">
        <f t="shared" si="8"/>
        <v>0</v>
      </c>
      <c r="K142">
        <f t="shared" si="6"/>
        <v>0</v>
      </c>
      <c r="P142" t="str">
        <f t="shared" si="9"/>
        <v/>
      </c>
      <c r="Q142" t="str">
        <f t="shared" si="9"/>
        <v/>
      </c>
      <c r="R142" t="str">
        <f t="shared" si="9"/>
        <v/>
      </c>
      <c r="S142" t="str">
        <f t="shared" si="7"/>
        <v/>
      </c>
    </row>
    <row r="143" spans="1:19" x14ac:dyDescent="0.25">
      <c r="A143">
        <v>2009</v>
      </c>
      <c r="B143">
        <v>1</v>
      </c>
      <c r="C143">
        <f>'[1]11.2.2-catch'!C142/'11.6.3 Num quart long'!C142</f>
        <v>0</v>
      </c>
      <c r="D143">
        <f>'[1]11.2.2-catch'!D142/'11.6.3 Num quart long'!D142</f>
        <v>0.11940039192357491</v>
      </c>
      <c r="E143">
        <f>'[1]11.2.2-catch'!E142/'11.6.3 Num quart long'!E142</f>
        <v>7.1378449694424334E-2</v>
      </c>
      <c r="F143">
        <f>'[1]11.2.2-catch'!F142/'11.6.3 Num quart long'!F142</f>
        <v>0.11918784825585833</v>
      </c>
      <c r="H143">
        <f t="shared" si="8"/>
        <v>0</v>
      </c>
      <c r="I143">
        <f t="shared" si="8"/>
        <v>0.11254759915678536</v>
      </c>
      <c r="J143">
        <f t="shared" si="8"/>
        <v>6.8890552645336611E-2</v>
      </c>
      <c r="K143">
        <f t="shared" si="6"/>
        <v>0.11235895672191887</v>
      </c>
      <c r="P143">
        <f t="shared" si="9"/>
        <v>0</v>
      </c>
      <c r="Q143">
        <f t="shared" si="9"/>
        <v>1.633716015259808</v>
      </c>
      <c r="R143">
        <f t="shared" si="9"/>
        <v>1</v>
      </c>
      <c r="S143">
        <f t="shared" si="7"/>
        <v>1.6309777234676424</v>
      </c>
    </row>
    <row r="144" spans="1:19" x14ac:dyDescent="0.25">
      <c r="A144">
        <v>2009</v>
      </c>
      <c r="B144">
        <v>2</v>
      </c>
      <c r="C144">
        <f>'[1]11.2.2-catch'!C143/'11.6.3 Num quart long'!C143</f>
        <v>3.415292159108351E-3</v>
      </c>
      <c r="D144">
        <f>'[1]11.2.2-catch'!D143/'11.6.3 Num quart long'!D143</f>
        <v>0.37849403092329448</v>
      </c>
      <c r="E144">
        <f>'[1]11.2.2-catch'!E143/'11.6.3 Num quart long'!E143</f>
        <v>0.35695660571722893</v>
      </c>
      <c r="F144">
        <f>'[1]11.2.2-catch'!F143/'11.6.3 Num quart long'!F143</f>
        <v>0.80722771171446539</v>
      </c>
      <c r="H144">
        <f t="shared" si="8"/>
        <v>3.4094666826307574E-3</v>
      </c>
      <c r="I144">
        <f t="shared" si="8"/>
        <v>0.31510794078388871</v>
      </c>
      <c r="J144">
        <f t="shared" si="8"/>
        <v>0.30019713548087923</v>
      </c>
      <c r="K144">
        <f t="shared" si="6"/>
        <v>0.55390694789386041</v>
      </c>
      <c r="P144">
        <f t="shared" si="9"/>
        <v>1.1357425770133373E-2</v>
      </c>
      <c r="Q144">
        <f t="shared" si="9"/>
        <v>1.0496700452491801</v>
      </c>
      <c r="R144">
        <f t="shared" si="9"/>
        <v>1</v>
      </c>
      <c r="S144">
        <f t="shared" si="7"/>
        <v>1.8451440151371497</v>
      </c>
    </row>
    <row r="145" spans="1:19" x14ac:dyDescent="0.25">
      <c r="A145">
        <v>2009</v>
      </c>
      <c r="B145">
        <v>3</v>
      </c>
      <c r="C145">
        <f>'[1]11.2.2-catch'!C144/'11.6.3 Num quart long'!C144</f>
        <v>3.4555287598132278E-3</v>
      </c>
      <c r="D145">
        <f>'[1]11.2.2-catch'!D144/'11.6.3 Num quart long'!D144</f>
        <v>0.23543656975935456</v>
      </c>
      <c r="E145">
        <f>'[1]11.2.2-catch'!E144/'11.6.3 Num quart long'!E144</f>
        <v>0.6544077634681662</v>
      </c>
      <c r="F145">
        <f>'[1]11.2.2-catch'!F144/'11.6.3 Num quart long'!F144</f>
        <v>1.0454406580493536</v>
      </c>
      <c r="H145">
        <f t="shared" si="8"/>
        <v>3.4495652912648334E-3</v>
      </c>
      <c r="I145">
        <f t="shared" si="8"/>
        <v>0.20977421436910582</v>
      </c>
      <c r="J145">
        <f t="shared" si="8"/>
        <v>0.4802502137337088</v>
      </c>
      <c r="K145">
        <f t="shared" si="6"/>
        <v>2</v>
      </c>
      <c r="P145">
        <f t="shared" si="9"/>
        <v>7.1828500906770303E-3</v>
      </c>
      <c r="Q145">
        <f t="shared" si="9"/>
        <v>0.4368019177716021</v>
      </c>
      <c r="R145">
        <f t="shared" si="9"/>
        <v>1</v>
      </c>
      <c r="S145">
        <f t="shared" si="7"/>
        <v>4.1644958040746829</v>
      </c>
    </row>
    <row r="146" spans="1:19" x14ac:dyDescent="0.25">
      <c r="A146">
        <v>2009</v>
      </c>
      <c r="B146">
        <v>4</v>
      </c>
      <c r="C146">
        <f>'[1]11.2.2-catch'!C145/'11.6.3 Num quart long'!C145</f>
        <v>0</v>
      </c>
      <c r="D146">
        <f>'[1]11.2.2-catch'!D145/'11.6.3 Num quart long'!D145</f>
        <v>0</v>
      </c>
      <c r="E146">
        <f>'[1]11.2.2-catch'!E145/'11.6.3 Num quart long'!E145</f>
        <v>0</v>
      </c>
      <c r="F146">
        <f>'[1]11.2.2-catch'!F145/'11.6.3 Num quart long'!F145</f>
        <v>0</v>
      </c>
      <c r="H146">
        <f t="shared" si="8"/>
        <v>0</v>
      </c>
      <c r="I146">
        <f t="shared" si="8"/>
        <v>0</v>
      </c>
      <c r="J146">
        <f t="shared" si="8"/>
        <v>0</v>
      </c>
      <c r="K146">
        <f t="shared" si="6"/>
        <v>0</v>
      </c>
      <c r="P146" t="str">
        <f t="shared" si="9"/>
        <v/>
      </c>
      <c r="Q146" t="str">
        <f t="shared" si="9"/>
        <v/>
      </c>
      <c r="R146" t="str">
        <f t="shared" si="9"/>
        <v/>
      </c>
      <c r="S146" t="str">
        <f t="shared" si="7"/>
        <v/>
      </c>
    </row>
    <row r="147" spans="1:19" x14ac:dyDescent="0.25">
      <c r="A147">
        <v>2010</v>
      </c>
      <c r="B147">
        <v>1</v>
      </c>
      <c r="C147">
        <f>'[1]11.2.2-catch'!C146/'11.6.3 Num quart long'!C146</f>
        <v>1.2252874697724918E-4</v>
      </c>
      <c r="D147">
        <f>'[1]11.2.2-catch'!D146/'11.6.3 Num quart long'!D146</f>
        <v>5.5148172203225786E-2</v>
      </c>
      <c r="E147">
        <f>'[1]11.2.2-catch'!E146/'11.6.3 Num quart long'!E146</f>
        <v>7.5960241250694394E-2</v>
      </c>
      <c r="F147">
        <f>'[1]11.2.2-catch'!F146/'11.6.3 Num quart long'!F146</f>
        <v>0.16948705882352941</v>
      </c>
      <c r="H147">
        <f t="shared" si="8"/>
        <v>1.2252124063694136E-4</v>
      </c>
      <c r="I147">
        <f t="shared" si="8"/>
        <v>5.3655084446680434E-2</v>
      </c>
      <c r="J147">
        <f t="shared" si="8"/>
        <v>7.3146943654862961E-2</v>
      </c>
      <c r="K147">
        <f t="shared" si="6"/>
        <v>0.15590232197330967</v>
      </c>
      <c r="P147">
        <f t="shared" si="9"/>
        <v>1.6750015040279253E-3</v>
      </c>
      <c r="Q147">
        <f t="shared" si="9"/>
        <v>0.73352462544227348</v>
      </c>
      <c r="R147">
        <f t="shared" si="9"/>
        <v>1</v>
      </c>
      <c r="S147">
        <f t="shared" si="7"/>
        <v>2.1313579786589614</v>
      </c>
    </row>
    <row r="148" spans="1:19" x14ac:dyDescent="0.25">
      <c r="A148">
        <v>2010</v>
      </c>
      <c r="B148">
        <v>2</v>
      </c>
      <c r="C148">
        <f>'[1]11.2.2-catch'!C147/'11.6.3 Num quart long'!C147</f>
        <v>5.6969174678991145E-3</v>
      </c>
      <c r="D148">
        <f>'[1]11.2.2-catch'!D147/'11.6.3 Num quart long'!D147</f>
        <v>0.19609857287193735</v>
      </c>
      <c r="E148">
        <f>'[1]11.2.2-catch'!E147/'11.6.3 Num quart long'!E147</f>
        <v>0.70768650472842132</v>
      </c>
      <c r="F148">
        <f>'[1]11.2.2-catch'!F147/'11.6.3 Num quart long'!F147</f>
        <v>8.365175009015088</v>
      </c>
      <c r="H148">
        <f t="shared" si="8"/>
        <v>5.680720805194106E-3</v>
      </c>
      <c r="I148">
        <f t="shared" si="8"/>
        <v>0.17806878943509796</v>
      </c>
      <c r="J148">
        <f t="shared" si="8"/>
        <v>0.50721706929382038</v>
      </c>
      <c r="K148">
        <f t="shared" si="6"/>
        <v>2</v>
      </c>
      <c r="P148">
        <f t="shared" si="9"/>
        <v>1.1199782399088351E-2</v>
      </c>
      <c r="Q148">
        <f t="shared" si="9"/>
        <v>0.35107018319201394</v>
      </c>
      <c r="R148">
        <f t="shared" si="9"/>
        <v>1</v>
      </c>
      <c r="S148">
        <f t="shared" si="7"/>
        <v>3.9430849651501796</v>
      </c>
    </row>
    <row r="149" spans="1:19" x14ac:dyDescent="0.25">
      <c r="A149">
        <v>2010</v>
      </c>
      <c r="B149">
        <v>3</v>
      </c>
      <c r="C149">
        <f>'[1]11.2.2-catch'!C148/'11.6.3 Num quart long'!C148</f>
        <v>6.9606505612186597E-3</v>
      </c>
      <c r="D149">
        <f>'[1]11.2.2-catch'!D148/'11.6.3 Num quart long'!D148</f>
        <v>0.2401573901703318</v>
      </c>
      <c r="E149">
        <f>'[1]11.2.2-catch'!E148/'11.6.3 Num quart long'!E148</f>
        <v>0.34329871526259992</v>
      </c>
      <c r="F149">
        <f>'[1]11.2.2-catch'!F148/'11.6.3 Num quart long'!F148</f>
        <v>0.7718382089857394</v>
      </c>
      <c r="H149">
        <f t="shared" si="8"/>
        <v>6.9364813434404926E-3</v>
      </c>
      <c r="I149">
        <f t="shared" si="8"/>
        <v>0.2134959366839575</v>
      </c>
      <c r="J149">
        <f t="shared" si="8"/>
        <v>0.29057373654686525</v>
      </c>
      <c r="K149">
        <f t="shared" si="6"/>
        <v>0.53783726468713677</v>
      </c>
      <c r="P149">
        <f t="shared" si="9"/>
        <v>2.3871673420566491E-2</v>
      </c>
      <c r="Q149">
        <f t="shared" si="9"/>
        <v>0.73473927554882013</v>
      </c>
      <c r="R149">
        <f t="shared" si="9"/>
        <v>1</v>
      </c>
      <c r="S149">
        <f t="shared" si="7"/>
        <v>1.8509493358853222</v>
      </c>
    </row>
    <row r="150" spans="1:19" x14ac:dyDescent="0.25">
      <c r="A150">
        <v>2010</v>
      </c>
      <c r="B150">
        <v>4</v>
      </c>
      <c r="C150">
        <f>'[1]11.2.2-catch'!C149/'11.6.3 Num quart long'!C149</f>
        <v>0</v>
      </c>
      <c r="D150">
        <f>'[1]11.2.2-catch'!D149/'11.6.3 Num quart long'!D149</f>
        <v>0</v>
      </c>
      <c r="E150">
        <f>'[1]11.2.2-catch'!E149/'11.6.3 Num quart long'!E149</f>
        <v>0</v>
      </c>
      <c r="F150">
        <f>'[1]11.2.2-catch'!F149/'11.6.3 Num quart long'!F149</f>
        <v>0</v>
      </c>
      <c r="H150">
        <f t="shared" si="8"/>
        <v>0</v>
      </c>
      <c r="I150">
        <f t="shared" si="8"/>
        <v>0</v>
      </c>
      <c r="J150">
        <f t="shared" si="8"/>
        <v>0</v>
      </c>
      <c r="K150">
        <f t="shared" si="6"/>
        <v>0</v>
      </c>
      <c r="P150" t="str">
        <f t="shared" si="9"/>
        <v/>
      </c>
      <c r="Q150" t="str">
        <f t="shared" si="9"/>
        <v/>
      </c>
      <c r="R150" t="str">
        <f t="shared" si="9"/>
        <v/>
      </c>
      <c r="S150" t="str">
        <f t="shared" si="7"/>
        <v/>
      </c>
    </row>
    <row r="151" spans="1:19" x14ac:dyDescent="0.25">
      <c r="A151">
        <v>2011</v>
      </c>
      <c r="B151">
        <v>1</v>
      </c>
      <c r="C151">
        <f>'[1]11.2.2-catch'!C150/'11.6.3 Num quart long'!C150</f>
        <v>2.8584726100668252E-5</v>
      </c>
      <c r="D151">
        <f>'[1]11.2.2-catch'!D150/'11.6.3 Num quart long'!D150</f>
        <v>6.9477605765180236E-2</v>
      </c>
      <c r="E151">
        <f>'[1]11.2.2-catch'!E150/'11.6.3 Num quart long'!E150</f>
        <v>0.18046515198035001</v>
      </c>
      <c r="F151">
        <f>'[1]11.2.2-catch'!F150/'11.6.3 Num quart long'!F150</f>
        <v>0.22788221970554925</v>
      </c>
      <c r="H151">
        <f t="shared" si="8"/>
        <v>2.8584317561253236E-5</v>
      </c>
      <c r="I151">
        <f t="shared" si="8"/>
        <v>6.7118975692645799E-2</v>
      </c>
      <c r="J151">
        <f t="shared" si="8"/>
        <v>0.16511822583351277</v>
      </c>
      <c r="K151">
        <f t="shared" si="6"/>
        <v>0.20378196689259009</v>
      </c>
      <c r="P151">
        <f t="shared" si="9"/>
        <v>1.7311424839359981E-4</v>
      </c>
      <c r="Q151">
        <f t="shared" si="9"/>
        <v>0.4064904122717577</v>
      </c>
      <c r="R151">
        <f t="shared" si="9"/>
        <v>1</v>
      </c>
      <c r="S151">
        <f t="shared" si="7"/>
        <v>1.2341579245047221</v>
      </c>
    </row>
    <row r="152" spans="1:19" x14ac:dyDescent="0.25">
      <c r="A152">
        <v>2011</v>
      </c>
      <c r="B152">
        <v>2</v>
      </c>
      <c r="C152">
        <f>'[1]11.2.2-catch'!C151/'11.6.3 Num quart long'!C151</f>
        <v>8.3208159076635958E-3</v>
      </c>
      <c r="D152">
        <f>'[1]11.2.2-catch'!D151/'11.6.3 Num quart long'!D151</f>
        <v>0.31778163887179334</v>
      </c>
      <c r="E152">
        <f>'[1]11.2.2-catch'!E151/'11.6.3 Num quart long'!E151</f>
        <v>1.0036213988938723</v>
      </c>
      <c r="F152">
        <f>'[1]11.2.2-catch'!F151/'11.6.3 Num quart long'!F151</f>
        <v>1.6515552925893666</v>
      </c>
      <c r="H152">
        <f t="shared" si="8"/>
        <v>8.2862937362137012E-3</v>
      </c>
      <c r="I152">
        <f t="shared" si="8"/>
        <v>0.27223831407175125</v>
      </c>
      <c r="J152">
        <f t="shared" si="8"/>
        <v>2</v>
      </c>
      <c r="K152">
        <f t="shared" si="6"/>
        <v>2</v>
      </c>
      <c r="P152">
        <f t="shared" si="9"/>
        <v>4.1431468681068506E-3</v>
      </c>
      <c r="Q152">
        <f t="shared" si="9"/>
        <v>0.13611915703587563</v>
      </c>
      <c r="R152">
        <f t="shared" si="9"/>
        <v>1</v>
      </c>
      <c r="S152">
        <f t="shared" si="7"/>
        <v>1</v>
      </c>
    </row>
    <row r="153" spans="1:19" x14ac:dyDescent="0.25">
      <c r="A153">
        <v>2011</v>
      </c>
      <c r="B153">
        <v>3</v>
      </c>
      <c r="C153">
        <f>'[1]11.2.2-catch'!C152/'11.6.3 Num quart long'!C152</f>
        <v>1.6522398341995198E-3</v>
      </c>
      <c r="D153">
        <f>'[1]11.2.2-catch'!D152/'11.6.3 Num quart long'!D152</f>
        <v>2.9642216233823921E-2</v>
      </c>
      <c r="E153">
        <f>'[1]11.2.2-catch'!E152/'11.6.3 Num quart long'!E152</f>
        <v>6.6201074867713899E-2</v>
      </c>
      <c r="F153">
        <f>'[1]11.2.2-catch'!F152/'11.6.3 Num quart long'!F152</f>
        <v>0.14438018589811472</v>
      </c>
      <c r="H153">
        <f t="shared" si="8"/>
        <v>1.6508756373948552E-3</v>
      </c>
      <c r="I153">
        <f t="shared" si="8"/>
        <v>2.9207194673232184E-2</v>
      </c>
      <c r="J153">
        <f t="shared" si="8"/>
        <v>6.405734917494843E-2</v>
      </c>
      <c r="K153">
        <f t="shared" si="6"/>
        <v>0.13444138768160929</v>
      </c>
      <c r="P153">
        <f t="shared" si="9"/>
        <v>2.5771838183408318E-2</v>
      </c>
      <c r="Q153">
        <f t="shared" si="9"/>
        <v>0.45595384525612781</v>
      </c>
      <c r="R153">
        <f t="shared" si="9"/>
        <v>1</v>
      </c>
      <c r="S153">
        <f t="shared" si="7"/>
        <v>2.0987660184693793</v>
      </c>
    </row>
    <row r="154" spans="1:19" x14ac:dyDescent="0.25">
      <c r="A154">
        <v>2011</v>
      </c>
      <c r="B154">
        <v>4</v>
      </c>
      <c r="C154">
        <f>'[1]11.2.2-catch'!C153/'11.6.3 Num quart long'!C153</f>
        <v>0</v>
      </c>
      <c r="D154">
        <f>'[1]11.2.2-catch'!D153/'11.6.3 Num quart long'!D153</f>
        <v>0</v>
      </c>
      <c r="E154">
        <f>'[1]11.2.2-catch'!E153/'11.6.3 Num quart long'!E153</f>
        <v>0</v>
      </c>
      <c r="F154">
        <f>'[1]11.2.2-catch'!F153/'11.6.3 Num quart long'!F153</f>
        <v>0</v>
      </c>
      <c r="H154">
        <f t="shared" si="8"/>
        <v>0</v>
      </c>
      <c r="I154">
        <f t="shared" si="8"/>
        <v>0</v>
      </c>
      <c r="J154">
        <f t="shared" si="8"/>
        <v>0</v>
      </c>
      <c r="K154">
        <f t="shared" si="6"/>
        <v>0</v>
      </c>
      <c r="P154" t="str">
        <f t="shared" si="9"/>
        <v/>
      </c>
      <c r="Q154" t="str">
        <f t="shared" si="9"/>
        <v/>
      </c>
      <c r="R154" t="str">
        <f t="shared" si="9"/>
        <v/>
      </c>
      <c r="S154" t="str">
        <f t="shared" si="7"/>
        <v/>
      </c>
    </row>
    <row r="155" spans="1:19" x14ac:dyDescent="0.25">
      <c r="A155">
        <v>2012</v>
      </c>
      <c r="B155">
        <v>1</v>
      </c>
      <c r="C155">
        <f>'[1]11.2.2-catch'!C154/'11.6.3 Num quart long'!C154</f>
        <v>2.0543193962721221E-3</v>
      </c>
      <c r="D155">
        <f>'[1]11.2.2-catch'!D154/'11.6.3 Num quart long'!D154</f>
        <v>0.12219616544842789</v>
      </c>
      <c r="E155">
        <f>'[1]11.2.2-catch'!E154/'11.6.3 Num quart long'!E154</f>
        <v>0.14577985538470148</v>
      </c>
      <c r="F155">
        <f>'[1]11.2.2-catch'!F154/'11.6.3 Num quart long'!F154</f>
        <v>0.12281590787267484</v>
      </c>
      <c r="H155">
        <f t="shared" si="8"/>
        <v>2.0522107263888367E-3</v>
      </c>
      <c r="I155">
        <f t="shared" si="8"/>
        <v>0.1150252499944735</v>
      </c>
      <c r="J155">
        <f t="shared" si="8"/>
        <v>0.1356520362085768</v>
      </c>
      <c r="K155">
        <f t="shared" si="6"/>
        <v>0.11557353647569391</v>
      </c>
      <c r="P155">
        <f t="shared" si="9"/>
        <v>1.5128491866007704E-2</v>
      </c>
      <c r="Q155">
        <f t="shared" si="9"/>
        <v>0.84794340880819641</v>
      </c>
      <c r="R155">
        <f t="shared" si="9"/>
        <v>1</v>
      </c>
      <c r="S155">
        <f t="shared" si="7"/>
        <v>0.85198526838174071</v>
      </c>
    </row>
    <row r="156" spans="1:19" x14ac:dyDescent="0.25">
      <c r="A156">
        <v>2012</v>
      </c>
      <c r="B156">
        <v>2</v>
      </c>
      <c r="C156">
        <f>'[1]11.2.2-catch'!C155/'11.6.3 Num quart long'!C155</f>
        <v>4.5175730884014723E-3</v>
      </c>
      <c r="D156">
        <f>'[1]11.2.2-catch'!D155/'11.6.3 Num quart long'!D155</f>
        <v>0.42084102662926082</v>
      </c>
      <c r="E156">
        <f>'[1]11.2.2-catch'!E155/'11.6.3 Num quart long'!E155</f>
        <v>0.88698631934131333</v>
      </c>
      <c r="F156">
        <f>'[1]11.2.2-catch'!F155/'11.6.3 Num quart long'!F155</f>
        <v>0.69273843529953982</v>
      </c>
      <c r="H156">
        <f t="shared" si="8"/>
        <v>4.5073842038815259E-3</v>
      </c>
      <c r="I156">
        <f t="shared" si="8"/>
        <v>0.34350554174912828</v>
      </c>
      <c r="J156">
        <f t="shared" si="8"/>
        <v>0.58810479523000636</v>
      </c>
      <c r="K156">
        <f t="shared" si="6"/>
        <v>0.49979558559593384</v>
      </c>
      <c r="P156">
        <f t="shared" si="9"/>
        <v>7.6642534467325652E-3</v>
      </c>
      <c r="Q156">
        <f t="shared" si="9"/>
        <v>0.58408900001365249</v>
      </c>
      <c r="R156">
        <f t="shared" si="9"/>
        <v>1</v>
      </c>
      <c r="S156">
        <f t="shared" si="7"/>
        <v>0.84984103113878706</v>
      </c>
    </row>
    <row r="157" spans="1:19" x14ac:dyDescent="0.25">
      <c r="A157">
        <v>2012</v>
      </c>
      <c r="B157">
        <v>3</v>
      </c>
      <c r="C157">
        <f>'[1]11.2.2-catch'!C156/'11.6.3 Num quart long'!C156</f>
        <v>2.7429533024821203E-3</v>
      </c>
      <c r="D157">
        <f>'[1]11.2.2-catch'!D156/'11.6.3 Num quart long'!D156</f>
        <v>9.3194629496771555E-2</v>
      </c>
      <c r="E157">
        <f>'[1]11.2.2-catch'!E156/'11.6.3 Num quart long'!E156</f>
        <v>0.13482717269389066</v>
      </c>
      <c r="F157">
        <f>'[1]11.2.2-catch'!F156/'11.6.3 Num quart long'!F156</f>
        <v>0.23270726588060991</v>
      </c>
      <c r="H157">
        <f t="shared" si="8"/>
        <v>2.7391948432836655E-3</v>
      </c>
      <c r="I157">
        <f t="shared" si="8"/>
        <v>8.8983827579106278E-2</v>
      </c>
      <c r="J157">
        <f t="shared" si="8"/>
        <v>0.12613307329526025</v>
      </c>
      <c r="K157">
        <f t="shared" si="6"/>
        <v>0.20761450215249355</v>
      </c>
      <c r="P157">
        <f t="shared" si="9"/>
        <v>2.1716705791125741E-2</v>
      </c>
      <c r="Q157">
        <f t="shared" si="9"/>
        <v>0.70547577454810229</v>
      </c>
      <c r="R157">
        <f t="shared" si="9"/>
        <v>1</v>
      </c>
      <c r="S157">
        <f t="shared" si="7"/>
        <v>1.6459957466230641</v>
      </c>
    </row>
    <row r="158" spans="1:19" x14ac:dyDescent="0.25">
      <c r="A158">
        <v>2012</v>
      </c>
      <c r="B158">
        <v>4</v>
      </c>
      <c r="C158">
        <f>'[1]11.2.2-catch'!C157/'11.6.3 Num quart long'!C157</f>
        <v>0</v>
      </c>
      <c r="D158">
        <f>'[1]11.2.2-catch'!D157/'11.6.3 Num quart long'!D157</f>
        <v>0</v>
      </c>
      <c r="E158">
        <f>'[1]11.2.2-catch'!E157/'11.6.3 Num quart long'!E157</f>
        <v>0</v>
      </c>
      <c r="F158">
        <f>'[1]11.2.2-catch'!F157/'11.6.3 Num quart long'!F157</f>
        <v>0</v>
      </c>
      <c r="H158">
        <f t="shared" si="8"/>
        <v>0</v>
      </c>
      <c r="I158">
        <f t="shared" si="8"/>
        <v>0</v>
      </c>
      <c r="J158">
        <f t="shared" si="8"/>
        <v>0</v>
      </c>
      <c r="K158">
        <f t="shared" si="6"/>
        <v>0</v>
      </c>
      <c r="P158" t="str">
        <f t="shared" si="9"/>
        <v/>
      </c>
      <c r="Q158" t="str">
        <f t="shared" si="9"/>
        <v/>
      </c>
      <c r="R158" t="str">
        <f t="shared" si="9"/>
        <v/>
      </c>
      <c r="S158" t="str">
        <f t="shared" si="7"/>
        <v/>
      </c>
    </row>
    <row r="159" spans="1:19" x14ac:dyDescent="0.25">
      <c r="A159">
        <v>2013</v>
      </c>
      <c r="B159">
        <v>1</v>
      </c>
      <c r="C159">
        <f>'[1]11.2.2-catch'!C158/'11.6.3 Num quart long'!C158</f>
        <v>5.3355097860354951E-5</v>
      </c>
      <c r="D159">
        <f>'[1]11.2.2-catch'!D158/'11.6.3 Num quart long'!D158</f>
        <v>0.11437072927594021</v>
      </c>
      <c r="E159">
        <f>'[1]11.2.2-catch'!E158/'11.6.3 Num quart long'!E158</f>
        <v>0.14230765241024471</v>
      </c>
      <c r="F159">
        <f>'[1]11.2.2-catch'!F158/'11.6.3 Num quart long'!F158</f>
        <v>0.1766390833863781</v>
      </c>
      <c r="H159">
        <f t="shared" si="8"/>
        <v>5.3353674502432114E-5</v>
      </c>
      <c r="I159">
        <f t="shared" si="8"/>
        <v>0.10807276895505014</v>
      </c>
      <c r="J159">
        <f t="shared" si="8"/>
        <v>0.13264562822885551</v>
      </c>
      <c r="K159">
        <f t="shared" si="6"/>
        <v>0.16191779226271685</v>
      </c>
      <c r="P159">
        <f t="shared" si="9"/>
        <v>4.0222716130817527E-4</v>
      </c>
      <c r="Q159">
        <f t="shared" si="9"/>
        <v>0.81474806518757292</v>
      </c>
      <c r="R159">
        <f t="shared" si="9"/>
        <v>1</v>
      </c>
      <c r="S159">
        <f t="shared" si="7"/>
        <v>1.2206794481259318</v>
      </c>
    </row>
    <row r="160" spans="1:19" x14ac:dyDescent="0.25">
      <c r="A160">
        <v>2013</v>
      </c>
      <c r="B160">
        <v>2</v>
      </c>
      <c r="C160">
        <f>'[1]11.2.2-catch'!C159/'11.6.3 Num quart long'!C159</f>
        <v>3.9948554333540847E-3</v>
      </c>
      <c r="D160">
        <f>'[1]11.2.2-catch'!D159/'11.6.3 Num quart long'!D159</f>
        <v>0.24142240389829739</v>
      </c>
      <c r="E160">
        <f>'[1]11.2.2-catch'!E159/'11.6.3 Num quart long'!E159</f>
        <v>0.52657160412738102</v>
      </c>
      <c r="F160">
        <f>'[1]11.2.2-catch'!F159/'11.6.3 Num quart long'!F159</f>
        <v>0.66461133530583794</v>
      </c>
      <c r="H160">
        <f t="shared" si="8"/>
        <v>3.9868866133470071E-3</v>
      </c>
      <c r="I160">
        <f t="shared" si="8"/>
        <v>0.21449024608103839</v>
      </c>
      <c r="J160">
        <f t="shared" si="8"/>
        <v>0.40937359631497094</v>
      </c>
      <c r="K160">
        <f t="shared" si="6"/>
        <v>0.48552655348183105</v>
      </c>
      <c r="P160">
        <f t="shared" si="9"/>
        <v>9.7389930597270545E-3</v>
      </c>
      <c r="Q160">
        <f t="shared" si="9"/>
        <v>0.52394743581852843</v>
      </c>
      <c r="R160">
        <f t="shared" si="9"/>
        <v>1</v>
      </c>
      <c r="S160">
        <f t="shared" si="7"/>
        <v>1.1860231286344813</v>
      </c>
    </row>
    <row r="161" spans="1:19" x14ac:dyDescent="0.25">
      <c r="A161">
        <v>2013</v>
      </c>
      <c r="B161">
        <v>3</v>
      </c>
      <c r="C161">
        <f>'[1]11.2.2-catch'!C160/'11.6.3 Num quart long'!C160</f>
        <v>2.3002328997984542E-3</v>
      </c>
      <c r="D161">
        <f>'[1]11.2.2-catch'!D160/'11.6.3 Num quart long'!D160</f>
        <v>2.6387464426166039E-4</v>
      </c>
      <c r="E161">
        <f>'[1]11.2.2-catch'!E160/'11.6.3 Num quart long'!E160</f>
        <v>3.4895726378716316E-3</v>
      </c>
      <c r="F161">
        <f>'[1]11.2.2-catch'!F160/'11.6.3 Num quart long'!F160</f>
        <v>4.5839628234304181E-2</v>
      </c>
      <c r="H161">
        <f t="shared" si="8"/>
        <v>2.2975893913852463E-3</v>
      </c>
      <c r="I161">
        <f t="shared" si="8"/>
        <v>2.6383983240974018E-4</v>
      </c>
      <c r="J161">
        <f t="shared" si="8"/>
        <v>3.4834911552558134E-3</v>
      </c>
      <c r="K161">
        <f t="shared" si="6"/>
        <v>4.4804863761427227E-2</v>
      </c>
      <c r="P161">
        <f t="shared" si="9"/>
        <v>0.65956515718970465</v>
      </c>
      <c r="Q161">
        <f t="shared" si="9"/>
        <v>7.5740060947668705E-2</v>
      </c>
      <c r="R161">
        <f t="shared" si="9"/>
        <v>1</v>
      </c>
      <c r="S161">
        <f t="shared" si="7"/>
        <v>12.862057563667602</v>
      </c>
    </row>
    <row r="162" spans="1:19" x14ac:dyDescent="0.25">
      <c r="A162">
        <v>2013</v>
      </c>
      <c r="B162">
        <v>4</v>
      </c>
      <c r="C162">
        <f>'[1]11.2.2-catch'!C161/'11.6.3 Num quart long'!C161</f>
        <v>0</v>
      </c>
      <c r="D162">
        <f>'[1]11.2.2-catch'!D161/'11.6.3 Num quart long'!D161</f>
        <v>0</v>
      </c>
      <c r="E162">
        <f>'[1]11.2.2-catch'!E161/'11.6.3 Num quart long'!E161</f>
        <v>0</v>
      </c>
      <c r="F162">
        <f>'[1]11.2.2-catch'!F161/'11.6.3 Num quart long'!F161</f>
        <v>0</v>
      </c>
      <c r="H162">
        <f t="shared" si="8"/>
        <v>0</v>
      </c>
      <c r="I162">
        <f t="shared" si="8"/>
        <v>0</v>
      </c>
      <c r="J162">
        <f t="shared" si="8"/>
        <v>0</v>
      </c>
      <c r="K162">
        <f t="shared" si="6"/>
        <v>0</v>
      </c>
      <c r="P162" t="str">
        <f t="shared" si="9"/>
        <v/>
      </c>
      <c r="Q162" t="str">
        <f t="shared" si="9"/>
        <v/>
      </c>
      <c r="R162" t="str">
        <f t="shared" si="9"/>
        <v/>
      </c>
      <c r="S162" t="str">
        <f t="shared" si="7"/>
        <v/>
      </c>
    </row>
    <row r="163" spans="1:19" x14ac:dyDescent="0.25">
      <c r="A163">
        <v>2014</v>
      </c>
      <c r="B163">
        <v>1</v>
      </c>
      <c r="C163">
        <f>'[1]11.2.2-catch'!C162/'11.6.3 Num quart long'!C162</f>
        <v>1.2753163089880044E-2</v>
      </c>
      <c r="D163">
        <f>'[1]11.2.2-catch'!D162/'11.6.3 Num quart long'!D162</f>
        <v>0.17793412007118103</v>
      </c>
      <c r="E163">
        <f>'[1]11.2.2-catch'!E162/'11.6.3 Num quart long'!E162</f>
        <v>0.17230081640277337</v>
      </c>
      <c r="F163">
        <f>'[1]11.2.2-catch'!F162/'11.6.3 Num quart long'!F162</f>
        <v>0.21963860863700796</v>
      </c>
      <c r="H163">
        <f t="shared" si="8"/>
        <v>1.2672186108563022E-2</v>
      </c>
      <c r="I163">
        <f t="shared" si="8"/>
        <v>0.16300243698767292</v>
      </c>
      <c r="J163">
        <f t="shared" si="8"/>
        <v>0.1582740698858407</v>
      </c>
      <c r="K163">
        <f t="shared" si="6"/>
        <v>0.19719112626301649</v>
      </c>
      <c r="P163">
        <f t="shared" si="9"/>
        <v>8.0064827534309102E-2</v>
      </c>
      <c r="Q163">
        <f t="shared" si="9"/>
        <v>1.0298745530789895</v>
      </c>
      <c r="R163">
        <f t="shared" si="9"/>
        <v>1</v>
      </c>
      <c r="S163">
        <f t="shared" si="7"/>
        <v>1.2458839682662217</v>
      </c>
    </row>
    <row r="164" spans="1:19" x14ac:dyDescent="0.25">
      <c r="A164">
        <v>2014</v>
      </c>
      <c r="B164">
        <v>2</v>
      </c>
      <c r="C164">
        <f>'[1]11.2.2-catch'!C163/'11.6.3 Num quart long'!C163</f>
        <v>9.0863407265602807E-3</v>
      </c>
      <c r="D164">
        <f>'[1]11.2.2-catch'!D163/'11.6.3 Num quart long'!D163</f>
        <v>0.13252816790692801</v>
      </c>
      <c r="E164">
        <f>'[1]11.2.2-catch'!E163/'11.6.3 Num quart long'!E163</f>
        <v>0.16241441495747749</v>
      </c>
      <c r="F164">
        <f>'[1]11.2.2-catch'!F163/'11.6.3 Num quart long'!F163</f>
        <v>0.32528128926292738</v>
      </c>
      <c r="H164">
        <f t="shared" si="8"/>
        <v>9.0451846796116842E-3</v>
      </c>
      <c r="I164">
        <f t="shared" si="8"/>
        <v>0.12412173789864167</v>
      </c>
      <c r="J164">
        <f t="shared" si="8"/>
        <v>0.14991115799818755</v>
      </c>
      <c r="K164">
        <f t="shared" si="6"/>
        <v>0.27767585696285813</v>
      </c>
      <c r="P164">
        <f t="shared" si="9"/>
        <v>6.0336967577296959E-2</v>
      </c>
      <c r="Q164">
        <f t="shared" si="9"/>
        <v>0.82796864193486064</v>
      </c>
      <c r="R164">
        <f t="shared" si="9"/>
        <v>1</v>
      </c>
      <c r="S164">
        <f t="shared" si="7"/>
        <v>1.8522694419198287</v>
      </c>
    </row>
    <row r="165" spans="1:19" x14ac:dyDescent="0.25">
      <c r="A165">
        <v>2014</v>
      </c>
      <c r="B165">
        <v>3</v>
      </c>
      <c r="C165">
        <f>'[1]11.2.2-catch'!C164/'11.6.3 Num quart long'!C164</f>
        <v>1.7863730790281657E-2</v>
      </c>
      <c r="D165">
        <f>'[1]11.2.2-catch'!D164/'11.6.3 Num quart long'!D164</f>
        <v>0.11840868781713852</v>
      </c>
      <c r="E165">
        <f>'[1]11.2.2-catch'!E164/'11.6.3 Num quart long'!E164</f>
        <v>0.15779460575374402</v>
      </c>
      <c r="F165">
        <f>'[1]11.2.2-catch'!F164/'11.6.3 Num quart long'!F164</f>
        <v>0.13780941183947126</v>
      </c>
      <c r="H165">
        <f t="shared" si="8"/>
        <v>1.770512021456927E-2</v>
      </c>
      <c r="I165">
        <f t="shared" si="8"/>
        <v>0.11166707242778062</v>
      </c>
      <c r="J165">
        <f t="shared" si="8"/>
        <v>0.14597482418730845</v>
      </c>
      <c r="K165">
        <f t="shared" si="6"/>
        <v>0.1287352713350699</v>
      </c>
      <c r="P165">
        <f t="shared" si="9"/>
        <v>0.12128886137140224</v>
      </c>
      <c r="Q165">
        <f t="shared" si="9"/>
        <v>0.7649748718621121</v>
      </c>
      <c r="R165">
        <f t="shared" si="9"/>
        <v>1</v>
      </c>
      <c r="S165">
        <f t="shared" si="7"/>
        <v>0.88190050614400795</v>
      </c>
    </row>
    <row r="166" spans="1:19" x14ac:dyDescent="0.25">
      <c r="A166">
        <v>2014</v>
      </c>
      <c r="B166">
        <v>4</v>
      </c>
      <c r="C166">
        <f>'[1]11.2.2-catch'!C165/'11.6.3 Num quart long'!C165</f>
        <v>0</v>
      </c>
      <c r="D166">
        <f>'[1]11.2.2-catch'!D165/'11.6.3 Num quart long'!D165</f>
        <v>0</v>
      </c>
      <c r="E166">
        <f>'[1]11.2.2-catch'!E165/'11.6.3 Num quart long'!E165</f>
        <v>0</v>
      </c>
      <c r="F166">
        <f>'[1]11.2.2-catch'!F165/'11.6.3 Num quart long'!F165</f>
        <v>0</v>
      </c>
      <c r="H166">
        <f t="shared" si="8"/>
        <v>0</v>
      </c>
      <c r="I166">
        <f t="shared" si="8"/>
        <v>0</v>
      </c>
      <c r="J166">
        <f t="shared" si="8"/>
        <v>0</v>
      </c>
      <c r="K166">
        <f t="shared" si="6"/>
        <v>0</v>
      </c>
      <c r="P166" t="str">
        <f t="shared" si="9"/>
        <v/>
      </c>
      <c r="Q166" t="str">
        <f t="shared" si="9"/>
        <v/>
      </c>
      <c r="R166" t="str">
        <f t="shared" si="9"/>
        <v/>
      </c>
      <c r="S166" t="str">
        <f t="shared" si="7"/>
        <v/>
      </c>
    </row>
    <row r="167" spans="1:19" x14ac:dyDescent="0.25">
      <c r="A167">
        <v>2015</v>
      </c>
      <c r="B167">
        <v>1</v>
      </c>
      <c r="C167">
        <f>'[1]11.2.2-catch'!C166/'11.6.3 Num quart long'!C166</f>
        <v>1.3683464938317787E-2</v>
      </c>
      <c r="D167">
        <f>'[1]11.2.2-catch'!D166/'11.6.3 Num quart long'!D166</f>
        <v>0.21054929311785922</v>
      </c>
      <c r="E167">
        <f>'[1]11.2.2-catch'!E166/'11.6.3 Num quart long'!E166</f>
        <v>0.22139354926551791</v>
      </c>
      <c r="F167">
        <f>'[1]11.2.2-catch'!F166/'11.6.3 Num quart long'!F166</f>
        <v>0.20364967643148349</v>
      </c>
      <c r="H167">
        <f t="shared" si="8"/>
        <v>1.3590271884179161E-2</v>
      </c>
      <c r="I167">
        <f t="shared" si="8"/>
        <v>0.18986088011403002</v>
      </c>
      <c r="J167">
        <f t="shared" si="8"/>
        <v>0.19859877264327974</v>
      </c>
      <c r="K167">
        <f t="shared" si="6"/>
        <v>0.18425190307953498</v>
      </c>
      <c r="P167">
        <f t="shared" si="9"/>
        <v>6.8430794930388686E-2</v>
      </c>
      <c r="Q167">
        <f t="shared" si="9"/>
        <v>0.9560022833326135</v>
      </c>
      <c r="R167">
        <f t="shared" si="9"/>
        <v>1</v>
      </c>
      <c r="S167">
        <f t="shared" si="7"/>
        <v>0.92775952553586827</v>
      </c>
    </row>
    <row r="168" spans="1:19" x14ac:dyDescent="0.25">
      <c r="A168">
        <v>2015</v>
      </c>
      <c r="B168">
        <v>2</v>
      </c>
      <c r="C168">
        <f>'[1]11.2.2-catch'!C167/'11.6.3 Num quart long'!C167</f>
        <v>7.7645825263298685E-3</v>
      </c>
      <c r="D168">
        <f>'[1]11.2.2-catch'!D167/'11.6.3 Num quart long'!D167</f>
        <v>0.35481578268269021</v>
      </c>
      <c r="E168">
        <f>'[1]11.2.2-catch'!E167/'11.6.3 Num quart long'!E167</f>
        <v>0.27570326433551318</v>
      </c>
      <c r="F168">
        <f>'[1]11.2.2-catch'!F167/'11.6.3 Num quart long'!F167</f>
        <v>0.59223262963668588</v>
      </c>
      <c r="H168">
        <f t="shared" si="8"/>
        <v>7.7345160236986787E-3</v>
      </c>
      <c r="I168">
        <f t="shared" si="8"/>
        <v>0.29869737660250228</v>
      </c>
      <c r="J168">
        <f t="shared" si="8"/>
        <v>0.24096186896870453</v>
      </c>
      <c r="K168">
        <f t="shared" si="6"/>
        <v>0.44690894225779287</v>
      </c>
      <c r="P168">
        <f t="shared" si="9"/>
        <v>3.2098506111368254E-2</v>
      </c>
      <c r="Q168">
        <f t="shared" si="9"/>
        <v>1.2396043319256305</v>
      </c>
      <c r="R168">
        <f t="shared" si="9"/>
        <v>1</v>
      </c>
      <c r="S168">
        <f t="shared" si="7"/>
        <v>1.8546874000045053</v>
      </c>
    </row>
    <row r="169" spans="1:19" x14ac:dyDescent="0.25">
      <c r="A169">
        <v>2015</v>
      </c>
      <c r="B169">
        <v>3</v>
      </c>
      <c r="C169">
        <f>'[1]11.2.2-catch'!C168/'11.6.3 Num quart long'!C168</f>
        <v>6.4992216636094334E-3</v>
      </c>
      <c r="D169">
        <f>'[1]11.2.2-catch'!D168/'11.6.3 Num quart long'!D168</f>
        <v>0.10556302170970058</v>
      </c>
      <c r="E169">
        <f>'[1]11.2.2-catch'!E168/'11.6.3 Num quart long'!E168</f>
        <v>0.31410349791770209</v>
      </c>
      <c r="F169">
        <f>'[1]11.2.2-catch'!F168/'11.6.3 Num quart long'!F168</f>
        <v>0.63222546896788523</v>
      </c>
      <c r="H169">
        <f t="shared" si="8"/>
        <v>6.4781474026405217E-3</v>
      </c>
      <c r="I169">
        <f t="shared" si="8"/>
        <v>0.10018223699401696</v>
      </c>
      <c r="J169">
        <f t="shared" si="8"/>
        <v>0.26955657512637254</v>
      </c>
      <c r="K169">
        <f t="shared" si="6"/>
        <v>0.46859214760969448</v>
      </c>
      <c r="P169">
        <f t="shared" si="9"/>
        <v>2.4032607624590349E-2</v>
      </c>
      <c r="Q169">
        <f t="shared" si="9"/>
        <v>0.37165569768442813</v>
      </c>
      <c r="R169">
        <f t="shared" si="9"/>
        <v>1</v>
      </c>
      <c r="S169">
        <f t="shared" si="7"/>
        <v>1.7383814414098813</v>
      </c>
    </row>
    <row r="170" spans="1:19" x14ac:dyDescent="0.25">
      <c r="A170">
        <v>2015</v>
      </c>
      <c r="B170">
        <v>4</v>
      </c>
      <c r="C170">
        <f>'[1]11.2.2-catch'!C169/'11.6.3 Num quart long'!C169</f>
        <v>0</v>
      </c>
      <c r="D170">
        <f>'[1]11.2.2-catch'!D169/'11.6.3 Num quart long'!D169</f>
        <v>0</v>
      </c>
      <c r="E170">
        <f>'[1]11.2.2-catch'!E169/'11.6.3 Num quart long'!E169</f>
        <v>0</v>
      </c>
      <c r="F170">
        <f>'[1]11.2.2-catch'!F169/'11.6.3 Num quart long'!F169</f>
        <v>0</v>
      </c>
      <c r="H170">
        <f t="shared" si="8"/>
        <v>0</v>
      </c>
      <c r="I170">
        <f t="shared" si="8"/>
        <v>0</v>
      </c>
      <c r="J170">
        <f t="shared" si="8"/>
        <v>0</v>
      </c>
      <c r="K170">
        <f t="shared" si="6"/>
        <v>0</v>
      </c>
      <c r="P170" t="str">
        <f t="shared" si="9"/>
        <v/>
      </c>
      <c r="Q170" t="str">
        <f t="shared" si="9"/>
        <v/>
      </c>
      <c r="R170" t="str">
        <f t="shared" si="9"/>
        <v/>
      </c>
      <c r="S170" t="str">
        <f t="shared" si="7"/>
        <v/>
      </c>
    </row>
    <row r="171" spans="1:19" x14ac:dyDescent="0.25">
      <c r="A171">
        <v>2016</v>
      </c>
      <c r="B171">
        <v>1</v>
      </c>
      <c r="C171">
        <f>'[1]11.2.2-catch'!C170/'11.6.3 Num quart long'!C170</f>
        <v>2.3967731512396871E-2</v>
      </c>
      <c r="D171">
        <f>'[1]11.2.2-catch'!D170/'11.6.3 Num quart long'!D170</f>
        <v>0.36796357530056284</v>
      </c>
      <c r="E171">
        <f>'[1]11.2.2-catch'!E170/'11.6.3 Num quart long'!E170</f>
        <v>0.43538511730557022</v>
      </c>
      <c r="F171">
        <f>'[1]11.2.2-catch'!F170/'11.6.3 Num quart long'!F170</f>
        <v>0.33568030301873247</v>
      </c>
      <c r="H171">
        <f t="shared" si="8"/>
        <v>2.3682786470481498E-2</v>
      </c>
      <c r="I171">
        <f t="shared" si="8"/>
        <v>0.30785760769180948</v>
      </c>
      <c r="J171">
        <f t="shared" si="8"/>
        <v>0.35298455775306325</v>
      </c>
      <c r="K171">
        <f t="shared" si="6"/>
        <v>0.28514839481093557</v>
      </c>
      <c r="P171">
        <f t="shared" si="9"/>
        <v>6.7092981690856909E-2</v>
      </c>
      <c r="Q171">
        <f t="shared" si="9"/>
        <v>0.87215602192766983</v>
      </c>
      <c r="R171">
        <f t="shared" si="9"/>
        <v>1</v>
      </c>
      <c r="S171">
        <f t="shared" si="7"/>
        <v>0.80782115973021207</v>
      </c>
    </row>
    <row r="172" spans="1:19" x14ac:dyDescent="0.25">
      <c r="A172">
        <v>2016</v>
      </c>
      <c r="B172">
        <v>2</v>
      </c>
      <c r="C172">
        <f>'[1]11.2.2-catch'!C171/'11.6.3 Num quart long'!C171</f>
        <v>3.0685724777536765E-2</v>
      </c>
      <c r="D172">
        <f>'[1]11.2.2-catch'!D171/'11.6.3 Num quart long'!D171</f>
        <v>0.10894153135036168</v>
      </c>
      <c r="E172">
        <f>'[1]11.2.2-catch'!E171/'11.6.3 Num quart long'!E171</f>
        <v>0.3906854097127031</v>
      </c>
      <c r="F172">
        <f>'[1]11.2.2-catch'!F171/'11.6.3 Num quart long'!F171</f>
        <v>0.68483951560287071</v>
      </c>
      <c r="H172">
        <f t="shared" si="8"/>
        <v>3.02196968905315E-2</v>
      </c>
      <c r="I172">
        <f t="shared" si="8"/>
        <v>0.10321715035236023</v>
      </c>
      <c r="J172">
        <f t="shared" si="8"/>
        <v>0.32340702785991648</v>
      </c>
      <c r="K172">
        <f t="shared" si="6"/>
        <v>0.4958288653167523</v>
      </c>
      <c r="P172">
        <f t="shared" si="9"/>
        <v>9.3441682731833328E-2</v>
      </c>
      <c r="Q172">
        <f t="shared" si="9"/>
        <v>0.31915555773595822</v>
      </c>
      <c r="R172">
        <f t="shared" si="9"/>
        <v>1</v>
      </c>
      <c r="S172">
        <f t="shared" si="7"/>
        <v>1.5331419004645757</v>
      </c>
    </row>
    <row r="173" spans="1:19" x14ac:dyDescent="0.25">
      <c r="A173">
        <v>2016</v>
      </c>
      <c r="B173">
        <v>3</v>
      </c>
      <c r="C173">
        <f>'[1]11.2.2-catch'!C172/'11.6.3 Num quart long'!C172</f>
        <v>6.5039325384209671E-3</v>
      </c>
      <c r="D173">
        <f>'[1]11.2.2-catch'!D172/'11.6.3 Num quart long'!D172</f>
        <v>7.794887377232362E-3</v>
      </c>
      <c r="E173">
        <f>'[1]11.2.2-catch'!E172/'11.6.3 Num quart long'!E172</f>
        <v>1.1427364484471798E-2</v>
      </c>
      <c r="F173">
        <f>'[1]11.2.2-catch'!F172/'11.6.3 Num quart long'!F172</f>
        <v>3.4328150851888804E-2</v>
      </c>
      <c r="H173">
        <f t="shared" si="8"/>
        <v>6.4828277486863595E-3</v>
      </c>
      <c r="I173">
        <f t="shared" si="8"/>
        <v>7.764586025610476E-3</v>
      </c>
      <c r="J173">
        <f t="shared" si="8"/>
        <v>1.136232015246319E-2</v>
      </c>
      <c r="K173">
        <f t="shared" si="6"/>
        <v>3.3745624589192835E-2</v>
      </c>
      <c r="P173">
        <f t="shared" si="9"/>
        <v>0.57055492731218049</v>
      </c>
      <c r="Q173">
        <f t="shared" si="9"/>
        <v>0.6833627218229037</v>
      </c>
      <c r="R173">
        <f t="shared" si="9"/>
        <v>1</v>
      </c>
      <c r="S173">
        <f t="shared" si="7"/>
        <v>2.9699589640481361</v>
      </c>
    </row>
    <row r="174" spans="1:19" x14ac:dyDescent="0.25">
      <c r="A174">
        <v>2016</v>
      </c>
      <c r="B174">
        <v>4</v>
      </c>
      <c r="C174">
        <f>'[1]11.2.2-catch'!C173/'11.6.3 Num quart long'!C173</f>
        <v>0</v>
      </c>
      <c r="D174">
        <f>'[1]11.2.2-catch'!D173/'11.6.3 Num quart long'!D173</f>
        <v>0</v>
      </c>
      <c r="E174">
        <f>'[1]11.2.2-catch'!E173/'11.6.3 Num quart long'!E173</f>
        <v>0</v>
      </c>
      <c r="F174">
        <f>'[1]11.2.2-catch'!F173/'11.6.3 Num quart long'!F173</f>
        <v>0</v>
      </c>
      <c r="H174">
        <f t="shared" si="8"/>
        <v>0</v>
      </c>
      <c r="I174">
        <f t="shared" si="8"/>
        <v>0</v>
      </c>
      <c r="J174">
        <f t="shared" si="8"/>
        <v>0</v>
      </c>
      <c r="K174">
        <f t="shared" si="6"/>
        <v>0</v>
      </c>
      <c r="P174" t="str">
        <f t="shared" si="9"/>
        <v/>
      </c>
      <c r="Q174" t="str">
        <f t="shared" si="9"/>
        <v/>
      </c>
      <c r="R174" t="str">
        <f t="shared" si="9"/>
        <v/>
      </c>
      <c r="S174" t="str">
        <f t="shared" si="7"/>
        <v/>
      </c>
    </row>
    <row r="175" spans="1:19" x14ac:dyDescent="0.25">
      <c r="A175">
        <v>2017</v>
      </c>
      <c r="B175">
        <v>1</v>
      </c>
      <c r="C175">
        <f>'[1]11.2.2-catch'!C174/'11.6.3 Num quart long'!C174</f>
        <v>7.4133782321711634E-3</v>
      </c>
      <c r="D175">
        <f>'[1]11.2.2-catch'!D174/'11.6.3 Num quart long'!D174</f>
        <v>0.19495900697429155</v>
      </c>
      <c r="E175">
        <f>'[1]11.2.2-catch'!E174/'11.6.3 Num quart long'!E174</f>
        <v>0.24312055850512326</v>
      </c>
      <c r="F175">
        <f>'[1]11.2.2-catch'!F174/'11.6.3 Num quart long'!F174</f>
        <v>0.29939744124458734</v>
      </c>
      <c r="H175">
        <f t="shared" si="8"/>
        <v>7.3859669223927948E-3</v>
      </c>
      <c r="I175">
        <f t="shared" si="8"/>
        <v>0.17713161077032347</v>
      </c>
      <c r="J175">
        <f t="shared" si="8"/>
        <v>0.21582303113054402</v>
      </c>
      <c r="K175">
        <f t="shared" si="6"/>
        <v>0.25873525829917654</v>
      </c>
      <c r="P175">
        <f t="shared" si="9"/>
        <v>3.4222329673079581E-2</v>
      </c>
      <c r="Q175">
        <f t="shared" si="9"/>
        <v>0.82072617478522292</v>
      </c>
      <c r="R175">
        <f t="shared" si="9"/>
        <v>1</v>
      </c>
      <c r="S175">
        <f t="shared" si="7"/>
        <v>1.1988306203644985</v>
      </c>
    </row>
    <row r="176" spans="1:19" x14ac:dyDescent="0.25">
      <c r="A176">
        <v>2017</v>
      </c>
      <c r="B176">
        <v>2</v>
      </c>
      <c r="C176">
        <f>'[1]11.2.2-catch'!C175/'11.6.3 Num quart long'!C175</f>
        <v>8.6407414041302626E-3</v>
      </c>
      <c r="D176">
        <f>'[1]11.2.2-catch'!D175/'11.6.3 Num quart long'!D175</f>
        <v>0.12200147446299883</v>
      </c>
      <c r="E176">
        <f>'[1]11.2.2-catch'!E175/'11.6.3 Num quart long'!E175</f>
        <v>0.13562019391507857</v>
      </c>
      <c r="F176">
        <f>'[1]11.2.2-catch'!F175/'11.6.3 Num quart long'!F175</f>
        <v>0.60864388092613009</v>
      </c>
      <c r="H176">
        <f t="shared" si="8"/>
        <v>8.6035174893538402E-3</v>
      </c>
      <c r="I176">
        <f t="shared" si="8"/>
        <v>0.11485293661492857</v>
      </c>
      <c r="J176">
        <f t="shared" si="8"/>
        <v>0.12682579360537494</v>
      </c>
      <c r="K176">
        <f t="shared" si="6"/>
        <v>0.45591178259507925</v>
      </c>
      <c r="P176">
        <f t="shared" si="9"/>
        <v>6.7837284867494171E-2</v>
      </c>
      <c r="Q176">
        <f t="shared" si="9"/>
        <v>0.90559604123037829</v>
      </c>
      <c r="R176">
        <f t="shared" si="9"/>
        <v>1</v>
      </c>
      <c r="S176">
        <f t="shared" si="7"/>
        <v>3.5947875399358629</v>
      </c>
    </row>
    <row r="177" spans="1:19" x14ac:dyDescent="0.25">
      <c r="A177">
        <v>2017</v>
      </c>
      <c r="B177">
        <v>3</v>
      </c>
      <c r="C177">
        <f>'[1]11.2.2-catch'!C176/'11.6.3 Num quart long'!C176</f>
        <v>6.1797129994372538E-3</v>
      </c>
      <c r="D177">
        <f>'[1]11.2.2-catch'!D176/'11.6.3 Num quart long'!D176</f>
        <v>6.1983763066737328E-2</v>
      </c>
      <c r="E177">
        <f>'[1]11.2.2-catch'!E176/'11.6.3 Num quart long'!E176</f>
        <v>0.35593662952646238</v>
      </c>
      <c r="F177">
        <f>'[1]11.2.2-catch'!F176/'11.6.3 Num quart long'!F176</f>
        <v>1.381990983306933</v>
      </c>
      <c r="H177">
        <f t="shared" si="8"/>
        <v>6.1606578450600358E-3</v>
      </c>
      <c r="I177">
        <f t="shared" si="8"/>
        <v>6.010185226930842E-2</v>
      </c>
      <c r="J177">
        <f t="shared" si="8"/>
        <v>0.29948298907658855</v>
      </c>
      <c r="K177">
        <f t="shared" si="6"/>
        <v>2</v>
      </c>
      <c r="P177">
        <f t="shared" si="9"/>
        <v>2.0570977550529706E-2</v>
      </c>
      <c r="Q177">
        <f t="shared" si="9"/>
        <v>0.2006853626465516</v>
      </c>
      <c r="R177">
        <f t="shared" si="9"/>
        <v>1</v>
      </c>
      <c r="S177">
        <f t="shared" si="7"/>
        <v>6.6781756325015449</v>
      </c>
    </row>
    <row r="178" spans="1:19" x14ac:dyDescent="0.25">
      <c r="A178">
        <v>2017</v>
      </c>
      <c r="B178">
        <v>4</v>
      </c>
      <c r="C178">
        <f>'[1]11.2.2-catch'!C177/'11.6.3 Num quart long'!C177</f>
        <v>0</v>
      </c>
      <c r="D178">
        <f>'[1]11.2.2-catch'!D177/'11.6.3 Num quart long'!D177</f>
        <v>0</v>
      </c>
      <c r="E178">
        <f>'[1]11.2.2-catch'!E177/'11.6.3 Num quart long'!E177</f>
        <v>0</v>
      </c>
      <c r="F178">
        <f>'[1]11.2.2-catch'!F177/'11.6.3 Num quart long'!F177</f>
        <v>0</v>
      </c>
      <c r="H178">
        <f t="shared" si="8"/>
        <v>0</v>
      </c>
      <c r="I178">
        <f t="shared" si="8"/>
        <v>0</v>
      </c>
      <c r="J178">
        <f t="shared" si="8"/>
        <v>0</v>
      </c>
      <c r="K178">
        <f t="shared" si="6"/>
        <v>0</v>
      </c>
      <c r="P178" t="str">
        <f t="shared" si="9"/>
        <v/>
      </c>
      <c r="Q178" t="str">
        <f t="shared" si="9"/>
        <v/>
      </c>
      <c r="R178" t="str">
        <f t="shared" si="9"/>
        <v/>
      </c>
      <c r="S178" t="str">
        <f t="shared" si="7"/>
        <v/>
      </c>
    </row>
    <row r="179" spans="1:19" x14ac:dyDescent="0.25">
      <c r="A179">
        <v>2018</v>
      </c>
      <c r="B179">
        <v>1</v>
      </c>
      <c r="C179">
        <f>'[1]11.2.2-catch'!C178/'11.6.3 Num quart long'!C178</f>
        <v>2.0300354350387375E-2</v>
      </c>
      <c r="D179">
        <f>'[1]11.2.2-catch'!D178/'11.6.3 Num quart long'!D178</f>
        <v>0.18499084805857244</v>
      </c>
      <c r="E179">
        <f>'[1]11.2.2-catch'!E178/'11.6.3 Num quart long'!E178</f>
        <v>0.39867287340497581</v>
      </c>
      <c r="F179">
        <f>'[1]11.2.2-catch'!F178/'11.6.3 Num quart long'!F178</f>
        <v>1.0757543741751332</v>
      </c>
      <c r="H179">
        <f t="shared" si="8"/>
        <v>2.0095689420240537E-2</v>
      </c>
      <c r="I179">
        <f t="shared" si="8"/>
        <v>0.16888810989534242</v>
      </c>
      <c r="J179">
        <f t="shared" si="8"/>
        <v>0.32878976383724789</v>
      </c>
      <c r="K179">
        <f t="shared" si="6"/>
        <v>2</v>
      </c>
      <c r="P179">
        <f t="shared" si="9"/>
        <v>6.1120179611759369E-2</v>
      </c>
      <c r="Q179">
        <f t="shared" si="9"/>
        <v>0.51366596065607029</v>
      </c>
      <c r="R179">
        <f t="shared" si="9"/>
        <v>1</v>
      </c>
      <c r="S179">
        <f t="shared" si="7"/>
        <v>6.0829144334006919</v>
      </c>
    </row>
    <row r="180" spans="1:19" x14ac:dyDescent="0.25">
      <c r="A180">
        <v>2018</v>
      </c>
      <c r="B180">
        <v>2</v>
      </c>
      <c r="C180">
        <f>'[1]11.2.2-catch'!C179/'11.6.3 Num quart long'!C179</f>
        <v>1.4307285357423948E-2</v>
      </c>
      <c r="D180">
        <f>'[1]11.2.2-catch'!D179/'11.6.3 Num quart long'!D179</f>
        <v>9.0048976665159847E-2</v>
      </c>
      <c r="E180">
        <f>'[1]11.2.2-catch'!E179/'11.6.3 Num quart long'!E179</f>
        <v>0.45303825642710965</v>
      </c>
      <c r="F180">
        <f>'[1]11.2.2-catch'!F179/'11.6.3 Num quart long'!F179</f>
        <v>3.838367939512854</v>
      </c>
      <c r="H180">
        <f t="shared" si="8"/>
        <v>1.4205422522469369E-2</v>
      </c>
      <c r="I180">
        <f t="shared" si="8"/>
        <v>8.6113574934300274E-2</v>
      </c>
      <c r="J180">
        <f t="shared" si="8"/>
        <v>0.36430618621282906</v>
      </c>
      <c r="K180">
        <f t="shared" si="6"/>
        <v>2</v>
      </c>
      <c r="P180">
        <f t="shared" si="9"/>
        <v>3.8993086200766587E-2</v>
      </c>
      <c r="Q180">
        <f t="shared" si="9"/>
        <v>0.23637692192246332</v>
      </c>
      <c r="R180">
        <f t="shared" si="9"/>
        <v>1</v>
      </c>
      <c r="S180">
        <f t="shared" si="7"/>
        <v>5.489887560766241</v>
      </c>
    </row>
    <row r="181" spans="1:19" x14ac:dyDescent="0.25">
      <c r="A181">
        <v>2018</v>
      </c>
      <c r="B181">
        <v>3</v>
      </c>
      <c r="C181">
        <f>'[1]11.2.2-catch'!C180/'11.6.3 Num quart long'!C180</f>
        <v>1.5154162581934914E-3</v>
      </c>
      <c r="D181">
        <f>'[1]11.2.2-catch'!D180/'11.6.3 Num quart long'!D180</f>
        <v>5.8927016368645668E-2</v>
      </c>
      <c r="E181">
        <f>'[1]11.2.2-catch'!E180/'11.6.3 Num quart long'!E180</f>
        <v>0.19047487038091526</v>
      </c>
      <c r="F181">
        <f>'[1]11.2.2-catch'!F180/'11.6.3 Num quart long'!F180</f>
        <v>0.30103997710142161</v>
      </c>
      <c r="H181">
        <f t="shared" si="8"/>
        <v>1.514268594778212E-3</v>
      </c>
      <c r="I181">
        <f t="shared" si="8"/>
        <v>5.7224426168807963E-2</v>
      </c>
      <c r="J181">
        <f t="shared" si="8"/>
        <v>0.17343347122991282</v>
      </c>
      <c r="K181">
        <f t="shared" si="6"/>
        <v>0.2599518128260967</v>
      </c>
      <c r="P181">
        <f t="shared" si="9"/>
        <v>8.7311208386691135E-3</v>
      </c>
      <c r="Q181">
        <f t="shared" si="9"/>
        <v>0.32995030176699952</v>
      </c>
      <c r="R181">
        <f t="shared" si="9"/>
        <v>1</v>
      </c>
      <c r="S181">
        <f t="shared" si="7"/>
        <v>1.4988560799863739</v>
      </c>
    </row>
    <row r="182" spans="1:19" x14ac:dyDescent="0.25">
      <c r="A182">
        <v>2018</v>
      </c>
      <c r="B182">
        <v>4</v>
      </c>
      <c r="C182">
        <f>'[1]11.2.2-catch'!C181/'11.6.3 Num quart long'!C181</f>
        <v>0</v>
      </c>
      <c r="D182">
        <f>'[1]11.2.2-catch'!D181/'11.6.3 Num quart long'!D181</f>
        <v>0</v>
      </c>
      <c r="E182">
        <f>'[1]11.2.2-catch'!E181/'11.6.3 Num quart long'!E181</f>
        <v>0</v>
      </c>
      <c r="F182">
        <f>'[1]11.2.2-catch'!F181/'11.6.3 Num quart long'!F181</f>
        <v>0</v>
      </c>
      <c r="H182">
        <f t="shared" si="8"/>
        <v>0</v>
      </c>
      <c r="I182">
        <f t="shared" si="8"/>
        <v>0</v>
      </c>
      <c r="J182">
        <f t="shared" si="8"/>
        <v>0</v>
      </c>
      <c r="K182">
        <f t="shared" si="6"/>
        <v>0</v>
      </c>
      <c r="P182" t="str">
        <f t="shared" si="9"/>
        <v/>
      </c>
      <c r="Q182" t="str">
        <f t="shared" si="9"/>
        <v/>
      </c>
      <c r="R182" t="str">
        <f t="shared" si="9"/>
        <v/>
      </c>
      <c r="S182" t="str">
        <f t="shared" si="7"/>
        <v/>
      </c>
    </row>
    <row r="183" spans="1:19" x14ac:dyDescent="0.25">
      <c r="A183">
        <v>2019</v>
      </c>
      <c r="B183">
        <v>1</v>
      </c>
      <c r="C183">
        <f>'[1]11.2.2-catch'!C182/'11.6.3 Num quart long'!C182</f>
        <v>1.1992562347939408E-2</v>
      </c>
      <c r="D183">
        <f>'[1]11.2.2-catch'!D182/'11.6.3 Num quart long'!D182</f>
        <v>0.16299850594952245</v>
      </c>
      <c r="E183">
        <f>'[1]11.2.2-catch'!E182/'11.6.3 Num quart long'!E182</f>
        <v>0.33135265604710407</v>
      </c>
      <c r="F183">
        <f>'[1]11.2.2-catch'!F182/'11.6.3 Num quart long'!F182</f>
        <v>0.23471046888755703</v>
      </c>
      <c r="H183">
        <f t="shared" si="8"/>
        <v>1.1920938177128804E-2</v>
      </c>
      <c r="I183">
        <f t="shared" si="8"/>
        <v>0.15040754225234076</v>
      </c>
      <c r="J183">
        <f t="shared" si="8"/>
        <v>0.28204806570034746</v>
      </c>
      <c r="K183">
        <f t="shared" si="6"/>
        <v>0.20920022237441693</v>
      </c>
      <c r="P183">
        <f t="shared" si="9"/>
        <v>4.2265626419128878E-2</v>
      </c>
      <c r="Q183">
        <f t="shared" si="9"/>
        <v>0.53326918544492419</v>
      </c>
      <c r="R183">
        <f t="shared" si="9"/>
        <v>1</v>
      </c>
      <c r="S183">
        <f t="shared" si="7"/>
        <v>0.74171833745768256</v>
      </c>
    </row>
    <row r="184" spans="1:19" x14ac:dyDescent="0.25">
      <c r="A184">
        <v>2019</v>
      </c>
      <c r="B184">
        <v>2</v>
      </c>
      <c r="C184">
        <f>'[1]11.2.2-catch'!C183/'11.6.3 Num quart long'!C183</f>
        <v>7.6669297493378663E-3</v>
      </c>
      <c r="D184">
        <f>'[1]11.2.2-catch'!D183/'11.6.3 Num quart long'!D183</f>
        <v>7.9329100142772391E-2</v>
      </c>
      <c r="E184">
        <f>'[1]11.2.2-catch'!E183/'11.6.3 Num quart long'!E183</f>
        <v>0.22522968791746747</v>
      </c>
      <c r="F184">
        <f>'[1]11.2.2-catch'!F183/'11.6.3 Num quart long'!F183</f>
        <v>0.41943688808465251</v>
      </c>
      <c r="H184">
        <f t="shared" si="8"/>
        <v>7.6376138123670501E-3</v>
      </c>
      <c r="I184">
        <f t="shared" si="8"/>
        <v>7.6264127191512765E-2</v>
      </c>
      <c r="J184">
        <f t="shared" si="8"/>
        <v>0.20166716970611021</v>
      </c>
      <c r="K184">
        <f t="shared" si="6"/>
        <v>0.34258308509906743</v>
      </c>
      <c r="P184">
        <f t="shared" si="9"/>
        <v>3.7872370716053351E-2</v>
      </c>
      <c r="Q184">
        <f t="shared" si="9"/>
        <v>0.37816828243611772</v>
      </c>
      <c r="R184">
        <f t="shared" si="9"/>
        <v>1</v>
      </c>
      <c r="S184">
        <f t="shared" si="7"/>
        <v>1.6987548622728932</v>
      </c>
    </row>
    <row r="185" spans="1:19" x14ac:dyDescent="0.25">
      <c r="A185">
        <v>2019</v>
      </c>
      <c r="B185">
        <v>3</v>
      </c>
      <c r="C185">
        <f>'[1]11.2.2-catch'!C184/'11.6.3 Num quart long'!C184</f>
        <v>0</v>
      </c>
      <c r="D185">
        <f>'[1]11.2.2-catch'!D184/'11.6.3 Num quart long'!D184</f>
        <v>0</v>
      </c>
      <c r="E185">
        <f>'[1]11.2.2-catch'!E184/'11.6.3 Num quart long'!E184</f>
        <v>0</v>
      </c>
      <c r="F185">
        <f>'[1]11.2.2-catch'!F184/'11.6.3 Num quart long'!F184</f>
        <v>0</v>
      </c>
      <c r="H185">
        <f t="shared" si="8"/>
        <v>0</v>
      </c>
      <c r="I185">
        <f t="shared" si="8"/>
        <v>0</v>
      </c>
      <c r="J185">
        <f t="shared" si="8"/>
        <v>0</v>
      </c>
      <c r="K185">
        <f t="shared" si="6"/>
        <v>0</v>
      </c>
      <c r="P185" t="str">
        <f t="shared" si="9"/>
        <v/>
      </c>
      <c r="Q185" t="str">
        <f t="shared" si="9"/>
        <v/>
      </c>
      <c r="R185" t="str">
        <f t="shared" si="9"/>
        <v/>
      </c>
      <c r="S185" t="str">
        <f t="shared" si="7"/>
        <v/>
      </c>
    </row>
    <row r="186" spans="1:19" x14ac:dyDescent="0.25">
      <c r="A186">
        <v>2019</v>
      </c>
      <c r="B186">
        <v>4</v>
      </c>
      <c r="C186">
        <f>'[1]11.2.2-catch'!C185/'11.6.3 Num quart long'!C185</f>
        <v>0</v>
      </c>
      <c r="D186">
        <f>'[1]11.2.2-catch'!D185/'11.6.3 Num quart long'!D185</f>
        <v>0</v>
      </c>
      <c r="E186">
        <f>'[1]11.2.2-catch'!E185/'11.6.3 Num quart long'!E185</f>
        <v>0</v>
      </c>
      <c r="F186">
        <f>'[1]11.2.2-catch'!F185/'11.6.3 Num quart long'!F185</f>
        <v>0</v>
      </c>
      <c r="H186">
        <f t="shared" si="8"/>
        <v>0</v>
      </c>
      <c r="I186">
        <f t="shared" si="8"/>
        <v>0</v>
      </c>
      <c r="J186">
        <f t="shared" si="8"/>
        <v>0</v>
      </c>
      <c r="K186">
        <f t="shared" si="6"/>
        <v>0</v>
      </c>
      <c r="P186" t="str">
        <f t="shared" si="9"/>
        <v/>
      </c>
      <c r="Q186" t="str">
        <f t="shared" si="9"/>
        <v/>
      </c>
      <c r="R186" t="str">
        <f t="shared" si="9"/>
        <v/>
      </c>
      <c r="S186" t="str">
        <f t="shared" si="7"/>
        <v/>
      </c>
    </row>
    <row r="187" spans="1:19" x14ac:dyDescent="0.25">
      <c r="A187">
        <v>2020</v>
      </c>
      <c r="B187">
        <v>1</v>
      </c>
      <c r="C187">
        <f>'[1]11.2.2-catch'!C186/'11.6.3 Num quart long'!C186</f>
        <v>1.43375973918329E-3</v>
      </c>
      <c r="D187">
        <f>'[1]11.2.2-catch'!D186/'11.6.3 Num quart long'!D186</f>
        <v>0.19569286158958141</v>
      </c>
      <c r="E187">
        <f>'[1]11.2.2-catch'!E186/'11.6.3 Num quart long'!E186</f>
        <v>0.3398935569232599</v>
      </c>
      <c r="F187">
        <f>'[1]11.2.2-catch'!F186/'11.6.3 Num quart long'!F186</f>
        <v>0.37069291542546301</v>
      </c>
      <c r="H187">
        <f t="shared" si="8"/>
        <v>1.4327323967344707E-3</v>
      </c>
      <c r="I187">
        <f t="shared" si="8"/>
        <v>0.17773525501488763</v>
      </c>
      <c r="J187">
        <f t="shared" si="8"/>
        <v>0.28815391018193548</v>
      </c>
      <c r="K187">
        <f t="shared" si="6"/>
        <v>0.30974412405178009</v>
      </c>
      <c r="P187">
        <f t="shared" si="9"/>
        <v>4.9721081203786821E-3</v>
      </c>
      <c r="Q187">
        <f t="shared" si="9"/>
        <v>0.61680667426192004</v>
      </c>
      <c r="R187">
        <f t="shared" si="9"/>
        <v>1</v>
      </c>
      <c r="S187">
        <f t="shared" si="7"/>
        <v>1.0749259791623613</v>
      </c>
    </row>
    <row r="188" spans="1:19" x14ac:dyDescent="0.25">
      <c r="A188">
        <v>2020</v>
      </c>
      <c r="B188">
        <v>2</v>
      </c>
      <c r="C188">
        <f>'[1]11.2.2-catch'!C187/'11.6.3 Num quart long'!C187</f>
        <v>1.0538217903122938E-3</v>
      </c>
      <c r="D188">
        <f>'[1]11.2.2-catch'!D187/'11.6.3 Num quart long'!D187</f>
        <v>0.12722088964919442</v>
      </c>
      <c r="E188">
        <f>'[1]11.2.2-catch'!E187/'11.6.3 Num quart long'!E187</f>
        <v>0.11268010621300338</v>
      </c>
      <c r="F188">
        <f>'[1]11.2.2-catch'!F187/'11.6.3 Num quart long'!F187</f>
        <v>0.32535037194226152</v>
      </c>
      <c r="H188">
        <f t="shared" si="8"/>
        <v>1.0532667151299524E-3</v>
      </c>
      <c r="I188">
        <f t="shared" si="8"/>
        <v>0.11946085086991565</v>
      </c>
      <c r="J188">
        <f t="shared" si="8"/>
        <v>0.10656358083312578</v>
      </c>
      <c r="K188">
        <f t="shared" si="6"/>
        <v>0.27772575532643073</v>
      </c>
      <c r="P188">
        <f t="shared" si="9"/>
        <v>9.8839275754005022E-3</v>
      </c>
      <c r="Q188">
        <f t="shared" si="9"/>
        <v>1.1210288724905599</v>
      </c>
      <c r="R188">
        <f t="shared" si="9"/>
        <v>1</v>
      </c>
      <c r="S188">
        <f t="shared" si="7"/>
        <v>2.6061976629833596</v>
      </c>
    </row>
    <row r="189" spans="1:19" x14ac:dyDescent="0.25">
      <c r="A189">
        <v>2020</v>
      </c>
      <c r="B189">
        <v>3</v>
      </c>
      <c r="C189">
        <f>'[1]11.2.2-catch'!C188/'11.6.3 Num quart long'!C188</f>
        <v>0</v>
      </c>
      <c r="D189">
        <f>'[1]11.2.2-catch'!D188/'11.6.3 Num quart long'!D188</f>
        <v>0</v>
      </c>
      <c r="E189">
        <f>'[1]11.2.2-catch'!E188/'11.6.3 Num quart long'!E188</f>
        <v>0</v>
      </c>
      <c r="F189">
        <f>'[1]11.2.2-catch'!F188/'11.6.3 Num quart long'!F188</f>
        <v>0</v>
      </c>
      <c r="H189">
        <f t="shared" si="8"/>
        <v>0</v>
      </c>
      <c r="I189">
        <f t="shared" si="8"/>
        <v>0</v>
      </c>
      <c r="J189">
        <f t="shared" si="8"/>
        <v>0</v>
      </c>
      <c r="K189">
        <f t="shared" si="6"/>
        <v>0</v>
      </c>
      <c r="P189" t="str">
        <f t="shared" si="9"/>
        <v/>
      </c>
      <c r="Q189" t="str">
        <f t="shared" si="9"/>
        <v/>
      </c>
      <c r="R189" t="str">
        <f t="shared" si="9"/>
        <v/>
      </c>
      <c r="S189" t="str">
        <f t="shared" si="7"/>
        <v/>
      </c>
    </row>
    <row r="190" spans="1:19" x14ac:dyDescent="0.25">
      <c r="A190">
        <v>2020</v>
      </c>
      <c r="B190">
        <v>4</v>
      </c>
      <c r="C190">
        <f>'[1]11.2.2-catch'!C189/'11.6.3 Num quart long'!C189</f>
        <v>0</v>
      </c>
      <c r="D190">
        <f>'[1]11.2.2-catch'!D189/'11.6.3 Num quart long'!D189</f>
        <v>0</v>
      </c>
      <c r="E190">
        <f>'[1]11.2.2-catch'!E189/'11.6.3 Num quart long'!E189</f>
        <v>0</v>
      </c>
      <c r="F190">
        <f>'[1]11.2.2-catch'!F189/'11.6.3 Num quart long'!F189</f>
        <v>0</v>
      </c>
      <c r="H190">
        <f t="shared" si="8"/>
        <v>0</v>
      </c>
      <c r="I190">
        <f t="shared" si="8"/>
        <v>0</v>
      </c>
      <c r="J190">
        <f t="shared" si="8"/>
        <v>0</v>
      </c>
      <c r="K190">
        <f t="shared" si="6"/>
        <v>0</v>
      </c>
      <c r="P190" t="str">
        <f t="shared" si="9"/>
        <v/>
      </c>
      <c r="Q190" t="str">
        <f t="shared" si="9"/>
        <v/>
      </c>
      <c r="R190" t="str">
        <f t="shared" si="9"/>
        <v/>
      </c>
      <c r="S190" t="str">
        <f t="shared" si="7"/>
        <v/>
      </c>
    </row>
    <row r="191" spans="1:19" x14ac:dyDescent="0.25">
      <c r="A191">
        <v>2021</v>
      </c>
      <c r="B191">
        <v>1</v>
      </c>
      <c r="C191">
        <f>'[1]11.2.2-catch'!C190/'11.6.3 Num quart long'!C190</f>
        <v>3.4665321440505875E-3</v>
      </c>
      <c r="D191">
        <f>'[1]11.2.2-catch'!D190/'11.6.3 Num quart long'!D190</f>
        <v>0.17464615384615384</v>
      </c>
      <c r="E191">
        <f>'[1]11.2.2-catch'!E190/'11.6.3 Num quart long'!E190</f>
        <v>0.26832641425389753</v>
      </c>
      <c r="F191">
        <f>'[1]11.2.2-catch'!F190/'11.6.3 Num quart long'!F190</f>
        <v>0.49215847526014833</v>
      </c>
      <c r="H191">
        <f t="shared" si="8"/>
        <v>3.4605306582816686E-3</v>
      </c>
      <c r="I191">
        <f t="shared" si="8"/>
        <v>0.16024588803348538</v>
      </c>
      <c r="J191">
        <f t="shared" si="8"/>
        <v>0.23534185495520477</v>
      </c>
      <c r="K191">
        <f t="shared" si="6"/>
        <v>0.38869451863947324</v>
      </c>
      <c r="P191">
        <f t="shared" si="9"/>
        <v>1.4704272042643456E-2</v>
      </c>
      <c r="Q191">
        <f t="shared" si="9"/>
        <v>0.68090687933086436</v>
      </c>
      <c r="R191">
        <f t="shared" si="9"/>
        <v>1</v>
      </c>
      <c r="S191">
        <f t="shared" si="7"/>
        <v>1.6516166183591006</v>
      </c>
    </row>
    <row r="192" spans="1:19" x14ac:dyDescent="0.25">
      <c r="A192">
        <v>2021</v>
      </c>
      <c r="B192">
        <v>2</v>
      </c>
      <c r="C192">
        <f>'[1]11.2.2-catch'!C191/'11.6.3 Num quart long'!C191</f>
        <v>2.8774180956251936E-3</v>
      </c>
      <c r="D192">
        <f>'[1]11.2.2-catch'!D191/'11.6.3 Num quart long'!D191</f>
        <v>5.5704949221209381E-2</v>
      </c>
      <c r="E192">
        <f>'[1]11.2.2-catch'!E191/'11.6.3 Num quart long'!E191</f>
        <v>0.1906160406327769</v>
      </c>
      <c r="F192">
        <f>'[1]11.2.2-catch'!F191/'11.6.3 Num quart long'!F191</f>
        <v>0.68586547820802313</v>
      </c>
      <c r="H192">
        <f t="shared" si="8"/>
        <v>2.873282295935975E-3</v>
      </c>
      <c r="I192">
        <f t="shared" si="8"/>
        <v>5.4181840890197397E-2</v>
      </c>
      <c r="J192">
        <f t="shared" si="8"/>
        <v>0.17355014959900861</v>
      </c>
      <c r="K192">
        <f t="shared" si="6"/>
        <v>0.49634586079317256</v>
      </c>
      <c r="P192">
        <f t="shared" si="9"/>
        <v>1.6555919442159839E-2</v>
      </c>
      <c r="Q192">
        <f t="shared" si="9"/>
        <v>0.31219702786419784</v>
      </c>
      <c r="R192">
        <f t="shared" si="9"/>
        <v>1</v>
      </c>
      <c r="S192">
        <f t="shared" si="7"/>
        <v>2.859956398424262</v>
      </c>
    </row>
    <row r="193" spans="1:19" x14ac:dyDescent="0.25">
      <c r="A193">
        <v>2021</v>
      </c>
      <c r="B193">
        <v>3</v>
      </c>
      <c r="C193">
        <f>'[1]11.2.2-catch'!C192/'11.6.3 Num quart long'!C192</f>
        <v>0</v>
      </c>
      <c r="D193">
        <f>'[1]11.2.2-catch'!D192/'11.6.3 Num quart long'!D192</f>
        <v>0</v>
      </c>
      <c r="E193">
        <f>'[1]11.2.2-catch'!E192/'11.6.3 Num quart long'!E192</f>
        <v>0</v>
      </c>
      <c r="F193">
        <f>'[1]11.2.2-catch'!F192/'11.6.3 Num quart long'!F192</f>
        <v>0</v>
      </c>
      <c r="H193">
        <f t="shared" si="8"/>
        <v>0</v>
      </c>
      <c r="I193">
        <f t="shared" si="8"/>
        <v>0</v>
      </c>
      <c r="J193">
        <f t="shared" si="8"/>
        <v>0</v>
      </c>
      <c r="K193">
        <f t="shared" si="6"/>
        <v>0</v>
      </c>
      <c r="P193" t="str">
        <f t="shared" si="9"/>
        <v/>
      </c>
      <c r="Q193" t="str">
        <f t="shared" si="9"/>
        <v/>
      </c>
      <c r="R193" t="str">
        <f t="shared" si="9"/>
        <v/>
      </c>
      <c r="S193" t="str">
        <f t="shared" si="7"/>
        <v/>
      </c>
    </row>
    <row r="194" spans="1:19" x14ac:dyDescent="0.25">
      <c r="A194">
        <v>2021</v>
      </c>
      <c r="B194">
        <v>4</v>
      </c>
      <c r="C194">
        <f>'[1]11.2.2-catch'!C193/'11.6.3 Num quart long'!C193</f>
        <v>0</v>
      </c>
      <c r="D194">
        <f>'[1]11.2.2-catch'!D193/'11.6.3 Num quart long'!D193</f>
        <v>0</v>
      </c>
      <c r="E194">
        <f>'[1]11.2.2-catch'!E193/'11.6.3 Num quart long'!E193</f>
        <v>0</v>
      </c>
      <c r="F194">
        <f>'[1]11.2.2-catch'!F193/'11.6.3 Num quart long'!F193</f>
        <v>0</v>
      </c>
      <c r="H194">
        <f t="shared" si="8"/>
        <v>0</v>
      </c>
      <c r="I194">
        <f t="shared" si="8"/>
        <v>0</v>
      </c>
      <c r="J194">
        <f t="shared" si="8"/>
        <v>0</v>
      </c>
      <c r="K194">
        <f t="shared" si="6"/>
        <v>0</v>
      </c>
      <c r="P194" t="str">
        <f t="shared" si="9"/>
        <v/>
      </c>
      <c r="Q194" t="str">
        <f t="shared" si="9"/>
        <v/>
      </c>
      <c r="R194" t="str">
        <f t="shared" si="9"/>
        <v/>
      </c>
      <c r="S194" t="str">
        <f t="shared" si="7"/>
        <v/>
      </c>
    </row>
    <row r="195" spans="1:19" x14ac:dyDescent="0.25">
      <c r="A195">
        <v>2022</v>
      </c>
      <c r="B195">
        <v>1</v>
      </c>
      <c r="C195">
        <f>'[1]11.2.2-catch'!C194/'11.6.3 Num quart long'!C194</f>
        <v>2.0240619037523852E-3</v>
      </c>
      <c r="D195">
        <f>'[1]11.2.2-catch'!D194/'11.6.3 Num quart long'!D194</f>
        <v>0.19751402139427021</v>
      </c>
      <c r="E195">
        <f>'[1]11.2.2-catch'!E194/'11.6.3 Num quart long'!E194</f>
        <v>0.20903450631344583</v>
      </c>
      <c r="F195">
        <f>'[1]11.2.2-catch'!F194/'11.6.3 Num quart long'!F194</f>
        <v>0.30117185014136749</v>
      </c>
      <c r="H195">
        <f t="shared" si="8"/>
        <v>2.0220148717966513E-3</v>
      </c>
      <c r="I195">
        <f t="shared" si="8"/>
        <v>0.17923136777355408</v>
      </c>
      <c r="J195">
        <f t="shared" si="8"/>
        <v>0.18863276213186531</v>
      </c>
      <c r="K195">
        <f t="shared" si="8"/>
        <v>0.26004939879562505</v>
      </c>
      <c r="P195">
        <f t="shared" si="9"/>
        <v>1.0719319639624133E-2</v>
      </c>
      <c r="Q195">
        <f t="shared" si="9"/>
        <v>0.95016033136524236</v>
      </c>
      <c r="R195">
        <f t="shared" si="9"/>
        <v>1</v>
      </c>
      <c r="S195">
        <f t="shared" si="9"/>
        <v>1.3786014468358119</v>
      </c>
    </row>
    <row r="196" spans="1:19" x14ac:dyDescent="0.25">
      <c r="A196">
        <v>2022</v>
      </c>
      <c r="B196">
        <v>2</v>
      </c>
      <c r="C196">
        <f>'[1]11.2.2-catch'!C195/'11.6.3 Num quart long'!C195</f>
        <v>7.3014822565175691E-3</v>
      </c>
      <c r="D196">
        <f>'[1]11.2.2-catch'!D195/'11.6.3 Num quart long'!D195</f>
        <v>1.4328629538492442E-2</v>
      </c>
      <c r="E196">
        <f>'[1]11.2.2-catch'!E195/'11.6.3 Num quart long'!E195</f>
        <v>0.17266004887138567</v>
      </c>
      <c r="F196">
        <f>'[1]11.2.2-catch'!F195/'11.6.3 Num quart long'!F195</f>
        <v>0.57210803465262439</v>
      </c>
      <c r="H196">
        <f t="shared" ref="H196:K206" si="10">IF(C196&lt;1,1-EXP(-C196),2)</f>
        <v>7.2748911923664616E-3</v>
      </c>
      <c r="I196">
        <f t="shared" si="10"/>
        <v>1.4226463275877732E-2</v>
      </c>
      <c r="J196">
        <f t="shared" si="10"/>
        <v>0.15857639086460373</v>
      </c>
      <c r="K196">
        <f t="shared" si="10"/>
        <v>0.4356654528608358</v>
      </c>
      <c r="P196">
        <f t="shared" ref="P196:S206" si="11">IF($J196=0,"",H196/$J196)</f>
        <v>4.5876256564433573E-2</v>
      </c>
      <c r="Q196">
        <f t="shared" si="11"/>
        <v>8.9713627598099532E-2</v>
      </c>
      <c r="R196">
        <f t="shared" si="11"/>
        <v>1</v>
      </c>
      <c r="S196">
        <f t="shared" si="11"/>
        <v>2.7473538178379733</v>
      </c>
    </row>
    <row r="197" spans="1:19" x14ac:dyDescent="0.25">
      <c r="A197">
        <v>2022</v>
      </c>
      <c r="B197">
        <v>3</v>
      </c>
      <c r="C197">
        <f>'[1]11.2.2-catch'!C196/'11.6.3 Num quart long'!C196</f>
        <v>0</v>
      </c>
      <c r="D197">
        <f>'[1]11.2.2-catch'!D196/'11.6.3 Num quart long'!D196</f>
        <v>0</v>
      </c>
      <c r="E197">
        <f>'[1]11.2.2-catch'!E196/'11.6.3 Num quart long'!E196</f>
        <v>0</v>
      </c>
      <c r="F197">
        <f>'[1]11.2.2-catch'!F196/'11.6.3 Num quart long'!F196</f>
        <v>0</v>
      </c>
      <c r="H197">
        <f t="shared" si="10"/>
        <v>0</v>
      </c>
      <c r="I197">
        <f t="shared" si="10"/>
        <v>0</v>
      </c>
      <c r="J197">
        <f t="shared" si="10"/>
        <v>0</v>
      </c>
      <c r="K197">
        <f t="shared" si="10"/>
        <v>0</v>
      </c>
      <c r="P197" t="str">
        <f t="shared" si="11"/>
        <v/>
      </c>
      <c r="Q197" t="str">
        <f t="shared" si="11"/>
        <v/>
      </c>
      <c r="R197" t="str">
        <f t="shared" si="11"/>
        <v/>
      </c>
      <c r="S197" t="str">
        <f t="shared" si="11"/>
        <v/>
      </c>
    </row>
    <row r="198" spans="1:19" x14ac:dyDescent="0.25">
      <c r="A198">
        <v>2022</v>
      </c>
      <c r="B198">
        <v>4</v>
      </c>
      <c r="C198">
        <f>'[1]11.2.2-catch'!C197/'11.6.3 Num quart long'!C197</f>
        <v>0</v>
      </c>
      <c r="D198">
        <f>'[1]11.2.2-catch'!D197/'11.6.3 Num quart long'!D197</f>
        <v>0</v>
      </c>
      <c r="E198">
        <f>'[1]11.2.2-catch'!E197/'11.6.3 Num quart long'!E197</f>
        <v>0</v>
      </c>
      <c r="F198">
        <f>'[1]11.2.2-catch'!F197/'11.6.3 Num quart long'!F197</f>
        <v>0</v>
      </c>
      <c r="H198">
        <f t="shared" si="10"/>
        <v>0</v>
      </c>
      <c r="I198">
        <f t="shared" si="10"/>
        <v>0</v>
      </c>
      <c r="J198">
        <f t="shared" si="10"/>
        <v>0</v>
      </c>
      <c r="K198">
        <f t="shared" si="10"/>
        <v>0</v>
      </c>
      <c r="P198" t="str">
        <f t="shared" si="11"/>
        <v/>
      </c>
      <c r="Q198" t="str">
        <f t="shared" si="11"/>
        <v/>
      </c>
      <c r="R198" t="str">
        <f t="shared" si="11"/>
        <v/>
      </c>
      <c r="S198" t="str">
        <f t="shared" si="11"/>
        <v/>
      </c>
    </row>
    <row r="199" spans="1:19" x14ac:dyDescent="0.25">
      <c r="A199">
        <v>2023</v>
      </c>
      <c r="B199">
        <v>1</v>
      </c>
      <c r="C199">
        <f>'[1]11.2.2-catch'!C198/'11.6.3 Num quart long'!C198</f>
        <v>6.0881263724348756E-3</v>
      </c>
      <c r="D199">
        <f>'[1]11.2.2-catch'!D198/'11.6.3 Num quart long'!D198</f>
        <v>0.11806864009938838</v>
      </c>
      <c r="E199">
        <f>'[1]11.2.2-catch'!E198/'11.6.3 Num quart long'!E198</f>
        <v>0.30055478712203043</v>
      </c>
      <c r="F199">
        <f>'[1]11.2.2-catch'!F198/'11.6.3 Num quart long'!F198</f>
        <v>0.16107809986540167</v>
      </c>
      <c r="H199">
        <f t="shared" si="10"/>
        <v>6.0696312835855082E-3</v>
      </c>
      <c r="I199">
        <f t="shared" si="10"/>
        <v>0.11136494547727871</v>
      </c>
      <c r="J199">
        <f t="shared" si="10"/>
        <v>0.2595926617402049</v>
      </c>
      <c r="K199">
        <f t="shared" si="10"/>
        <v>0.14877441209282161</v>
      </c>
      <c r="P199">
        <f t="shared" si="11"/>
        <v>2.3381366957359807E-2</v>
      </c>
      <c r="Q199">
        <f t="shared" si="11"/>
        <v>0.42899881965357906</v>
      </c>
      <c r="R199">
        <f t="shared" si="11"/>
        <v>1</v>
      </c>
      <c r="S199">
        <f t="shared" si="11"/>
        <v>0.57310715601703732</v>
      </c>
    </row>
    <row r="200" spans="1:19" x14ac:dyDescent="0.25">
      <c r="A200">
        <v>2023</v>
      </c>
      <c r="B200">
        <v>2</v>
      </c>
      <c r="C200">
        <f>'[1]11.2.2-catch'!C199/'11.6.3 Num quart long'!C199</f>
        <v>8.936392385194683E-3</v>
      </c>
      <c r="D200">
        <f>'[1]11.2.2-catch'!D199/'11.6.3 Num quart long'!D199</f>
        <v>0.11625541847282428</v>
      </c>
      <c r="E200">
        <f>'[1]11.2.2-catch'!E199/'11.6.3 Num quart long'!E199</f>
        <v>0.42233586664077888</v>
      </c>
      <c r="F200">
        <f>'[1]11.2.2-catch'!F199/'11.6.3 Num quart long'!F199</f>
        <v>0.43729834372983439</v>
      </c>
      <c r="H200">
        <f t="shared" si="10"/>
        <v>8.8965815075650045E-3</v>
      </c>
      <c r="I200">
        <f t="shared" si="10"/>
        <v>0.10975219147994597</v>
      </c>
      <c r="J200">
        <f t="shared" si="10"/>
        <v>0.34448616281425581</v>
      </c>
      <c r="K200">
        <f t="shared" si="10"/>
        <v>0.35422126136981835</v>
      </c>
      <c r="P200">
        <f t="shared" si="11"/>
        <v>2.5825657073959077E-2</v>
      </c>
      <c r="Q200">
        <f t="shared" si="11"/>
        <v>0.31859680685962261</v>
      </c>
      <c r="R200">
        <f t="shared" si="11"/>
        <v>1</v>
      </c>
      <c r="S200">
        <f t="shared" si="11"/>
        <v>1.0282597665927489</v>
      </c>
    </row>
    <row r="201" spans="1:19" x14ac:dyDescent="0.25">
      <c r="A201">
        <v>2023</v>
      </c>
      <c r="B201">
        <v>3</v>
      </c>
      <c r="C201">
        <f>'[1]11.2.2-catch'!C200/'11.6.3 Num quart long'!C200</f>
        <v>0</v>
      </c>
      <c r="D201">
        <f>'[1]11.2.2-catch'!D200/'11.6.3 Num quart long'!D200</f>
        <v>0</v>
      </c>
      <c r="E201">
        <f>'[1]11.2.2-catch'!E200/'11.6.3 Num quart long'!E200</f>
        <v>0</v>
      </c>
      <c r="F201">
        <f>'[1]11.2.2-catch'!F200/'11.6.3 Num quart long'!F200</f>
        <v>0</v>
      </c>
      <c r="H201">
        <f t="shared" si="10"/>
        <v>0</v>
      </c>
      <c r="I201">
        <f t="shared" si="10"/>
        <v>0</v>
      </c>
      <c r="J201">
        <f t="shared" si="10"/>
        <v>0</v>
      </c>
      <c r="K201">
        <f t="shared" si="10"/>
        <v>0</v>
      </c>
      <c r="P201" t="str">
        <f t="shared" si="11"/>
        <v/>
      </c>
      <c r="Q201" t="str">
        <f t="shared" si="11"/>
        <v/>
      </c>
      <c r="R201" t="str">
        <f t="shared" si="11"/>
        <v/>
      </c>
      <c r="S201" t="str">
        <f t="shared" si="11"/>
        <v/>
      </c>
    </row>
    <row r="202" spans="1:19" x14ac:dyDescent="0.25">
      <c r="A202">
        <v>2023</v>
      </c>
      <c r="B202">
        <v>4</v>
      </c>
      <c r="C202">
        <f>'[1]11.2.2-catch'!C201/'11.6.3 Num quart long'!C201</f>
        <v>0</v>
      </c>
      <c r="D202">
        <f>'[1]11.2.2-catch'!D201/'11.6.3 Num quart long'!D201</f>
        <v>0</v>
      </c>
      <c r="E202">
        <f>'[1]11.2.2-catch'!E201/'11.6.3 Num quart long'!E201</f>
        <v>0</v>
      </c>
      <c r="F202">
        <f>'[1]11.2.2-catch'!F201/'11.6.3 Num quart long'!F201</f>
        <v>0</v>
      </c>
      <c r="H202">
        <f t="shared" si="10"/>
        <v>0</v>
      </c>
      <c r="I202">
        <f t="shared" si="10"/>
        <v>0</v>
      </c>
      <c r="J202">
        <f t="shared" si="10"/>
        <v>0</v>
      </c>
      <c r="K202">
        <f t="shared" si="10"/>
        <v>0</v>
      </c>
      <c r="P202" t="str">
        <f t="shared" si="11"/>
        <v/>
      </c>
      <c r="Q202" t="str">
        <f t="shared" si="11"/>
        <v/>
      </c>
      <c r="R202" t="str">
        <f t="shared" si="11"/>
        <v/>
      </c>
      <c r="S202" t="str">
        <f t="shared" si="11"/>
        <v/>
      </c>
    </row>
    <row r="203" spans="1:19" x14ac:dyDescent="0.25">
      <c r="A203">
        <v>2024</v>
      </c>
      <c r="B203">
        <v>1</v>
      </c>
      <c r="C203">
        <f>'[1]11.2.2-catch'!C202/'11.6.3 Num quart long'!C202</f>
        <v>2.5202149677618517E-2</v>
      </c>
      <c r="D203">
        <f>'[1]11.2.2-catch'!D202/'11.6.3 Num quart long'!D202</f>
        <v>0.135299379318638</v>
      </c>
      <c r="E203">
        <f>'[1]11.2.2-catch'!E202/'11.6.3 Num quart long'!E202</f>
        <v>0.35446026354460264</v>
      </c>
      <c r="F203">
        <f>'[1]11.2.2-catch'!F202/'11.6.3 Num quart long'!F202</f>
        <v>0.94362685612161601</v>
      </c>
      <c r="H203">
        <f t="shared" si="10"/>
        <v>2.4887226629532577E-2</v>
      </c>
      <c r="I203">
        <f t="shared" si="10"/>
        <v>0.12654562163550243</v>
      </c>
      <c r="J203">
        <f t="shared" si="10"/>
        <v>0.29844800577286879</v>
      </c>
      <c r="K203">
        <f t="shared" si="10"/>
        <v>0.61078634952468014</v>
      </c>
      <c r="P203">
        <f t="shared" si="11"/>
        <v>8.338881864894343E-2</v>
      </c>
      <c r="Q203">
        <f t="shared" si="11"/>
        <v>0.42401228752658798</v>
      </c>
      <c r="R203">
        <f t="shared" si="11"/>
        <v>1</v>
      </c>
      <c r="S203">
        <f t="shared" si="11"/>
        <v>2.0465419024763518</v>
      </c>
    </row>
    <row r="204" spans="1:19" x14ac:dyDescent="0.25">
      <c r="A204">
        <v>2024</v>
      </c>
      <c r="B204">
        <v>2</v>
      </c>
      <c r="C204">
        <f>'[1]11.2.2-catch'!C203/'11.6.3 Num quart long'!C203</f>
        <v>1.4140640591247519E-2</v>
      </c>
      <c r="D204">
        <f>'[1]11.2.2-catch'!D203/'11.6.3 Num quart long'!D203</f>
        <v>4.5092612002247172E-2</v>
      </c>
      <c r="E204">
        <f>'[1]11.2.2-catch'!E203/'11.6.3 Num quart long'!E203</f>
        <v>3.6025512176265942E-2</v>
      </c>
      <c r="F204">
        <f>'[1]11.2.2-catch'!F203/'11.6.3 Num quart long'!F203</f>
        <v>0.18377706412514244</v>
      </c>
      <c r="H204">
        <f t="shared" si="10"/>
        <v>1.4041131326853917E-2</v>
      </c>
      <c r="I204">
        <f t="shared" si="10"/>
        <v>4.4091050908175444E-2</v>
      </c>
      <c r="J204">
        <f t="shared" si="10"/>
        <v>3.5384316276151906E-2</v>
      </c>
      <c r="K204">
        <f t="shared" si="10"/>
        <v>0.16787870716176756</v>
      </c>
      <c r="P204">
        <f t="shared" si="11"/>
        <v>0.39681793530421466</v>
      </c>
      <c r="Q204">
        <f t="shared" si="11"/>
        <v>1.2460619717524866</v>
      </c>
      <c r="R204">
        <f t="shared" si="11"/>
        <v>1</v>
      </c>
      <c r="S204">
        <f t="shared" si="11"/>
        <v>4.7444383509231001</v>
      </c>
    </row>
    <row r="205" spans="1:19" x14ac:dyDescent="0.25">
      <c r="A205">
        <v>2024</v>
      </c>
      <c r="B205">
        <v>3</v>
      </c>
      <c r="C205">
        <f>'[1]11.2.2-catch'!C204/'11.6.3 Num quart long'!C204</f>
        <v>0</v>
      </c>
      <c r="D205">
        <f>'[1]11.2.2-catch'!D204/'11.6.3 Num quart long'!D204</f>
        <v>0</v>
      </c>
      <c r="E205">
        <f>'[1]11.2.2-catch'!E204/'11.6.3 Num quart long'!E204</f>
        <v>0</v>
      </c>
      <c r="F205">
        <f>'[1]11.2.2-catch'!F204/'11.6.3 Num quart long'!F204</f>
        <v>0</v>
      </c>
      <c r="H205">
        <f t="shared" si="10"/>
        <v>0</v>
      </c>
      <c r="I205">
        <f t="shared" si="10"/>
        <v>0</v>
      </c>
      <c r="J205">
        <f t="shared" si="10"/>
        <v>0</v>
      </c>
      <c r="K205">
        <f t="shared" si="10"/>
        <v>0</v>
      </c>
      <c r="P205" t="str">
        <f t="shared" si="11"/>
        <v/>
      </c>
      <c r="Q205" t="str">
        <f t="shared" si="11"/>
        <v/>
      </c>
      <c r="R205" t="str">
        <f t="shared" si="11"/>
        <v/>
      </c>
      <c r="S205" t="str">
        <f t="shared" si="11"/>
        <v/>
      </c>
    </row>
    <row r="206" spans="1:19" x14ac:dyDescent="0.25">
      <c r="A206">
        <v>2024</v>
      </c>
      <c r="B206">
        <v>4</v>
      </c>
      <c r="C206">
        <f>'[1]11.2.2-catch'!C205/'11.6.3 Num quart long'!C205</f>
        <v>0</v>
      </c>
      <c r="D206">
        <f>'[1]11.2.2-catch'!D205/'11.6.3 Num quart long'!D205</f>
        <v>0</v>
      </c>
      <c r="E206">
        <f>'[1]11.2.2-catch'!E205/'11.6.3 Num quart long'!E205</f>
        <v>0</v>
      </c>
      <c r="F206">
        <f>'[1]11.2.2-catch'!F205/'11.6.3 Num quart long'!F205</f>
        <v>0</v>
      </c>
      <c r="H206">
        <f t="shared" si="10"/>
        <v>0</v>
      </c>
      <c r="I206">
        <f t="shared" si="10"/>
        <v>0</v>
      </c>
      <c r="J206">
        <f t="shared" si="10"/>
        <v>0</v>
      </c>
      <c r="K206">
        <f t="shared" si="10"/>
        <v>0</v>
      </c>
      <c r="P206" t="str">
        <f t="shared" si="11"/>
        <v/>
      </c>
      <c r="Q206" t="str">
        <f t="shared" si="11"/>
        <v/>
      </c>
      <c r="R206" t="str">
        <f t="shared" si="11"/>
        <v/>
      </c>
      <c r="S206" t="str">
        <f t="shared" si="11"/>
        <v/>
      </c>
    </row>
    <row r="207" spans="1:19" x14ac:dyDescent="0.25">
      <c r="O207" t="s">
        <v>701</v>
      </c>
      <c r="P207">
        <f>AVERAGE(P2:P206)</f>
        <v>0.17662988311235736</v>
      </c>
      <c r="Q207">
        <f t="shared" ref="Q207:S207" si="12">AVERAGE(Q2:Q206)</f>
        <v>1.0093943045478788</v>
      </c>
      <c r="R207">
        <f t="shared" si="12"/>
        <v>1</v>
      </c>
      <c r="S207">
        <f t="shared" si="12"/>
        <v>2.0260545229059566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2A58-1E0A-4C66-A161-BA50835023AC}">
  <sheetPr codeName="Sheet9"/>
  <dimension ref="A1:S207"/>
  <sheetViews>
    <sheetView topLeftCell="A193" workbookViewId="0">
      <selection activeCell="O207" sqref="O207:S207"/>
    </sheetView>
  </sheetViews>
  <sheetFormatPr defaultRowHeight="15" x14ac:dyDescent="0.25"/>
  <sheetData>
    <row r="1" spans="1:19" x14ac:dyDescent="0.25">
      <c r="A1" t="s">
        <v>698</v>
      </c>
      <c r="H1" t="s">
        <v>699</v>
      </c>
      <c r="P1" t="s">
        <v>700</v>
      </c>
    </row>
    <row r="2" spans="1:19" x14ac:dyDescent="0.25">
      <c r="A2" t="s">
        <v>0</v>
      </c>
      <c r="B2" t="s">
        <v>5</v>
      </c>
      <c r="C2">
        <v>0</v>
      </c>
      <c r="D2">
        <v>1</v>
      </c>
      <c r="E2">
        <v>2</v>
      </c>
      <c r="F2">
        <v>3</v>
      </c>
      <c r="H2">
        <v>0</v>
      </c>
      <c r="I2">
        <v>1</v>
      </c>
      <c r="J2">
        <v>2</v>
      </c>
      <c r="K2">
        <v>3</v>
      </c>
    </row>
    <row r="3" spans="1:19" x14ac:dyDescent="0.25">
      <c r="A3">
        <v>1974</v>
      </c>
      <c r="B3">
        <v>1</v>
      </c>
      <c r="C3">
        <v>0</v>
      </c>
      <c r="D3">
        <v>0.13413862021277481</v>
      </c>
      <c r="E3">
        <v>0.19250448728824912</v>
      </c>
      <c r="F3">
        <v>0.86184102040927268</v>
      </c>
      <c r="H3">
        <v>0</v>
      </c>
      <c r="I3">
        <v>0.12553116285502985</v>
      </c>
      <c r="J3">
        <v>0.17510938332667259</v>
      </c>
      <c r="K3">
        <v>0.57761625102860314</v>
      </c>
      <c r="P3">
        <v>0</v>
      </c>
      <c r="Q3">
        <v>0.71687285095880415</v>
      </c>
      <c r="R3">
        <v>1</v>
      </c>
      <c r="S3">
        <v>3.2986025080737114</v>
      </c>
    </row>
    <row r="4" spans="1:19" x14ac:dyDescent="0.25">
      <c r="A4">
        <v>1974</v>
      </c>
      <c r="B4">
        <v>2</v>
      </c>
      <c r="C4">
        <v>7.5143115804754707E-3</v>
      </c>
      <c r="D4">
        <v>0.19322665577573611</v>
      </c>
      <c r="E4">
        <v>0.17401658622608124</v>
      </c>
      <c r="F4">
        <v>0.18481701475378426</v>
      </c>
      <c r="H4">
        <v>7.4861497243472463E-3</v>
      </c>
      <c r="I4">
        <v>0.17570487828593018</v>
      </c>
      <c r="J4">
        <v>0.15971703958030503</v>
      </c>
      <c r="K4">
        <v>0.16874362241083218</v>
      </c>
      <c r="P4">
        <v>4.6871327843409236E-2</v>
      </c>
      <c r="Q4">
        <v>1.1001010208280659</v>
      </c>
      <c r="R4">
        <v>1</v>
      </c>
      <c r="S4">
        <v>1.0565160915469425</v>
      </c>
    </row>
    <row r="5" spans="1:19" x14ac:dyDescent="0.25">
      <c r="A5">
        <v>1974</v>
      </c>
      <c r="B5">
        <v>3</v>
      </c>
      <c r="C5">
        <v>1.647207912989564E-2</v>
      </c>
      <c r="D5">
        <v>0.29340907106860836</v>
      </c>
      <c r="E5">
        <v>0.65449611035996313</v>
      </c>
      <c r="F5">
        <v>0.33253411137109901</v>
      </c>
      <c r="H5">
        <v>1.6337156270257225E-2</v>
      </c>
      <c r="I5">
        <v>0.25428297296623814</v>
      </c>
      <c r="J5">
        <v>0.48029612998352866</v>
      </c>
      <c r="K5">
        <v>0.28289579296094813</v>
      </c>
      <c r="P5">
        <v>3.4014757251567891E-2</v>
      </c>
      <c r="Q5">
        <v>0.52942956874326375</v>
      </c>
      <c r="R5">
        <v>1</v>
      </c>
      <c r="S5">
        <v>0.58900285740517999</v>
      </c>
    </row>
    <row r="6" spans="1:19" x14ac:dyDescent="0.25">
      <c r="A6">
        <v>1974</v>
      </c>
      <c r="B6">
        <v>4</v>
      </c>
      <c r="C6">
        <v>9.8722018814575603E-3</v>
      </c>
      <c r="D6">
        <v>9.2173231641072315E-2</v>
      </c>
      <c r="E6">
        <v>0.25827951266523785</v>
      </c>
      <c r="F6">
        <v>0.25556494301429383</v>
      </c>
      <c r="H6">
        <v>9.8236316595463613E-3</v>
      </c>
      <c r="I6">
        <v>8.8052842241812423E-2</v>
      </c>
      <c r="J6">
        <v>0.22762068786795864</v>
      </c>
      <c r="K6">
        <v>0.22552116206297634</v>
      </c>
      <c r="P6">
        <v>4.3157903403072878E-2</v>
      </c>
      <c r="Q6">
        <v>0.38684024315439786</v>
      </c>
      <c r="R6">
        <v>1</v>
      </c>
      <c r="S6">
        <v>0.99077620832865498</v>
      </c>
    </row>
    <row r="7" spans="1:19" x14ac:dyDescent="0.25">
      <c r="A7">
        <v>1975</v>
      </c>
      <c r="B7">
        <v>1</v>
      </c>
      <c r="C7">
        <v>4.8647480201234941E-4</v>
      </c>
      <c r="D7">
        <v>0.29525133655668917</v>
      </c>
      <c r="E7">
        <v>0.55285431446955946</v>
      </c>
      <c r="F7">
        <v>0.32949779137623603</v>
      </c>
      <c r="H7">
        <v>4.8635649233153E-4</v>
      </c>
      <c r="I7">
        <v>0.25565551702554634</v>
      </c>
      <c r="J7">
        <v>0.42469463780890282</v>
      </c>
      <c r="K7">
        <v>0.28071512619300076</v>
      </c>
      <c r="P7">
        <v>1.1451910361777932E-3</v>
      </c>
      <c r="Q7">
        <v>0.60197491153769178</v>
      </c>
      <c r="R7">
        <v>1</v>
      </c>
      <c r="S7">
        <v>0.66098109371306069</v>
      </c>
    </row>
    <row r="8" spans="1:19" x14ac:dyDescent="0.25">
      <c r="A8">
        <v>1975</v>
      </c>
      <c r="B8">
        <v>2</v>
      </c>
      <c r="C8">
        <v>3.610683588010579E-3</v>
      </c>
      <c r="D8">
        <v>0.38263089067227996</v>
      </c>
      <c r="E8">
        <v>0.73654023756133746</v>
      </c>
      <c r="F8">
        <v>0.58920958096523168</v>
      </c>
      <c r="H8">
        <v>3.6041729083827745E-3</v>
      </c>
      <c r="I8">
        <v>0.31793539076173527</v>
      </c>
      <c r="J8">
        <v>0.52123252486277694</v>
      </c>
      <c r="K8">
        <v>0.44523439122113406</v>
      </c>
      <c r="P8">
        <v>6.9147122185662388E-3</v>
      </c>
      <c r="Q8">
        <v>0.60996844133131756</v>
      </c>
      <c r="R8">
        <v>1</v>
      </c>
      <c r="S8">
        <v>0.85419533506346201</v>
      </c>
    </row>
    <row r="9" spans="1:19" x14ac:dyDescent="0.25">
      <c r="A9">
        <v>1975</v>
      </c>
      <c r="B9">
        <v>3</v>
      </c>
      <c r="C9">
        <v>2.3480912883523556E-2</v>
      </c>
      <c r="D9">
        <v>0.23928945911949687</v>
      </c>
      <c r="E9">
        <v>1.5725205580971111</v>
      </c>
      <c r="F9">
        <v>1.0671546734170685</v>
      </c>
      <c r="H9">
        <v>2.3207381354601209E-2</v>
      </c>
      <c r="I9">
        <v>0.21281300906162426</v>
      </c>
      <c r="J9">
        <v>2</v>
      </c>
      <c r="K9">
        <v>2</v>
      </c>
      <c r="P9">
        <v>1.1603690677300604E-2</v>
      </c>
      <c r="Q9">
        <v>0.10640650453081213</v>
      </c>
      <c r="R9">
        <v>1</v>
      </c>
      <c r="S9">
        <v>1</v>
      </c>
    </row>
    <row r="10" spans="1:19" x14ac:dyDescent="0.25">
      <c r="A10">
        <v>1975</v>
      </c>
      <c r="B10">
        <v>4</v>
      </c>
      <c r="C10">
        <v>0</v>
      </c>
      <c r="D10">
        <v>0</v>
      </c>
      <c r="E10">
        <v>0</v>
      </c>
      <c r="F10">
        <v>0</v>
      </c>
      <c r="H10">
        <v>0</v>
      </c>
      <c r="I10">
        <v>0</v>
      </c>
      <c r="J10">
        <v>0</v>
      </c>
      <c r="K10">
        <v>0</v>
      </c>
      <c r="P10" t="s">
        <v>702</v>
      </c>
      <c r="Q10" t="s">
        <v>702</v>
      </c>
      <c r="R10" t="s">
        <v>702</v>
      </c>
      <c r="S10" t="s">
        <v>702</v>
      </c>
    </row>
    <row r="11" spans="1:19" x14ac:dyDescent="0.25">
      <c r="A11">
        <v>1976</v>
      </c>
      <c r="B11">
        <v>1</v>
      </c>
      <c r="C11">
        <v>9.2458294327510855E-3</v>
      </c>
      <c r="D11">
        <v>0.35914395595980564</v>
      </c>
      <c r="E11">
        <v>0.30821602681129345</v>
      </c>
      <c r="F11">
        <v>0.29460723486439921</v>
      </c>
      <c r="H11">
        <v>9.2032181783865408E-3</v>
      </c>
      <c r="I11">
        <v>0.30172617656250911</v>
      </c>
      <c r="J11">
        <v>0.26524342625652542</v>
      </c>
      <c r="K11">
        <v>0.25517592904928277</v>
      </c>
      <c r="P11">
        <v>3.469725266437259E-2</v>
      </c>
      <c r="Q11">
        <v>1.1375444090014886</v>
      </c>
      <c r="R11">
        <v>1</v>
      </c>
      <c r="S11">
        <v>0.96204431020467196</v>
      </c>
    </row>
    <row r="12" spans="1:19" x14ac:dyDescent="0.25">
      <c r="A12">
        <v>1976</v>
      </c>
      <c r="B12">
        <v>2</v>
      </c>
      <c r="C12">
        <v>4.9265003675180281E-2</v>
      </c>
      <c r="D12">
        <v>0.38969599415125727</v>
      </c>
      <c r="E12">
        <v>0.52351696496665423</v>
      </c>
      <c r="F12">
        <v>0.40248566834134331</v>
      </c>
      <c r="H12">
        <v>4.8071168368868489E-2</v>
      </c>
      <c r="I12">
        <v>0.32273726496223787</v>
      </c>
      <c r="J12">
        <v>0.40756668745062197</v>
      </c>
      <c r="K12">
        <v>0.33134407819407996</v>
      </c>
      <c r="P12">
        <v>0.11794675533851738</v>
      </c>
      <c r="Q12">
        <v>0.79186369960949898</v>
      </c>
      <c r="R12">
        <v>1</v>
      </c>
      <c r="S12">
        <v>0.81298125778305519</v>
      </c>
    </row>
    <row r="13" spans="1:19" x14ac:dyDescent="0.25">
      <c r="A13">
        <v>1976</v>
      </c>
      <c r="B13">
        <v>3</v>
      </c>
      <c r="C13">
        <v>7.5318406695477028E-2</v>
      </c>
      <c r="D13">
        <v>0.28240437470435675</v>
      </c>
      <c r="E13">
        <v>0.39032322516381479</v>
      </c>
      <c r="F13">
        <v>0.18269781794137094</v>
      </c>
      <c r="H13">
        <v>7.2551866385543118E-2</v>
      </c>
      <c r="I13">
        <v>0.2460312630044077</v>
      </c>
      <c r="J13">
        <v>0.32316193195722576</v>
      </c>
      <c r="K13">
        <v>0.16698015864172333</v>
      </c>
      <c r="P13">
        <v>0.22450622802671635</v>
      </c>
      <c r="Q13">
        <v>0.76132501595816926</v>
      </c>
      <c r="R13">
        <v>1</v>
      </c>
      <c r="S13">
        <v>0.51670739072021976</v>
      </c>
    </row>
    <row r="14" spans="1:19" x14ac:dyDescent="0.25">
      <c r="A14">
        <v>1976</v>
      </c>
      <c r="B14">
        <v>4</v>
      </c>
      <c r="C14">
        <v>0</v>
      </c>
      <c r="D14">
        <v>0</v>
      </c>
      <c r="E14">
        <v>0</v>
      </c>
      <c r="F14">
        <v>0</v>
      </c>
      <c r="H14">
        <v>0</v>
      </c>
      <c r="I14">
        <v>0</v>
      </c>
      <c r="J14">
        <v>0</v>
      </c>
      <c r="K14">
        <v>0</v>
      </c>
      <c r="P14" t="s">
        <v>702</v>
      </c>
      <c r="Q14" t="s">
        <v>702</v>
      </c>
      <c r="R14" t="s">
        <v>702</v>
      </c>
      <c r="S14" t="s">
        <v>702</v>
      </c>
    </row>
    <row r="15" spans="1:19" x14ac:dyDescent="0.25">
      <c r="A15">
        <v>1977</v>
      </c>
      <c r="B15">
        <v>1</v>
      </c>
      <c r="C15">
        <v>7.0824772666241926E-3</v>
      </c>
      <c r="D15">
        <v>0.2437338040492498</v>
      </c>
      <c r="E15">
        <v>0.46137731162020423</v>
      </c>
      <c r="F15">
        <v>0.37163423267787882</v>
      </c>
      <c r="H15">
        <v>7.0574556310777359E-3</v>
      </c>
      <c r="I15">
        <v>0.21630377673989232</v>
      </c>
      <c r="J15">
        <v>0.36958523029994905</v>
      </c>
      <c r="K15">
        <v>0.31039356810199226</v>
      </c>
      <c r="P15">
        <v>1.9095610572289444E-2</v>
      </c>
      <c r="Q15">
        <v>0.58526087897057977</v>
      </c>
      <c r="R15">
        <v>1</v>
      </c>
      <c r="S15">
        <v>0.83984299873152979</v>
      </c>
    </row>
    <row r="16" spans="1:19" x14ac:dyDescent="0.25">
      <c r="A16">
        <v>1977</v>
      </c>
      <c r="B16">
        <v>2</v>
      </c>
      <c r="C16">
        <v>9.6242906135667536E-3</v>
      </c>
      <c r="D16">
        <v>0.20992274373175596</v>
      </c>
      <c r="E16">
        <v>0.89868707742212839</v>
      </c>
      <c r="F16">
        <v>0.58289916726229951</v>
      </c>
      <c r="H16">
        <v>9.5781253500027974E-3</v>
      </c>
      <c r="I16">
        <v>0.189353128896811</v>
      </c>
      <c r="J16">
        <v>0.59289619520482728</v>
      </c>
      <c r="K16">
        <v>0.44172252170074078</v>
      </c>
      <c r="P16">
        <v>1.6154809943912444E-2</v>
      </c>
      <c r="Q16">
        <v>0.31936978248172998</v>
      </c>
      <c r="R16">
        <v>1</v>
      </c>
      <c r="S16">
        <v>0.74502505712343003</v>
      </c>
    </row>
    <row r="17" spans="1:19" x14ac:dyDescent="0.25">
      <c r="A17">
        <v>1977</v>
      </c>
      <c r="B17">
        <v>3</v>
      </c>
      <c r="C17">
        <v>8.9984207420185897E-2</v>
      </c>
      <c r="D17">
        <v>0.15152746611430309</v>
      </c>
      <c r="E17">
        <v>2.2531605915263695</v>
      </c>
      <c r="F17">
        <v>1.4662274752954854</v>
      </c>
      <c r="H17">
        <v>8.6054381283613424E-2</v>
      </c>
      <c r="I17">
        <v>0.14060572227269763</v>
      </c>
      <c r="J17">
        <v>2</v>
      </c>
      <c r="K17">
        <v>2</v>
      </c>
      <c r="P17">
        <v>4.3027190641806712E-2</v>
      </c>
      <c r="Q17">
        <v>7.0302861136348815E-2</v>
      </c>
      <c r="R17">
        <v>1</v>
      </c>
      <c r="S17">
        <v>1</v>
      </c>
    </row>
    <row r="18" spans="1:19" x14ac:dyDescent="0.25">
      <c r="A18">
        <v>1977</v>
      </c>
      <c r="B18">
        <v>4</v>
      </c>
      <c r="C18">
        <v>0</v>
      </c>
      <c r="D18">
        <v>0</v>
      </c>
      <c r="E18">
        <v>0</v>
      </c>
      <c r="F18">
        <v>0</v>
      </c>
      <c r="H18">
        <v>0</v>
      </c>
      <c r="I18">
        <v>0</v>
      </c>
      <c r="J18">
        <v>0</v>
      </c>
      <c r="K18">
        <v>0</v>
      </c>
      <c r="P18" t="s">
        <v>702</v>
      </c>
      <c r="Q18" t="s">
        <v>702</v>
      </c>
      <c r="R18" t="s">
        <v>702</v>
      </c>
      <c r="S18" t="s">
        <v>702</v>
      </c>
    </row>
    <row r="19" spans="1:19" x14ac:dyDescent="0.25">
      <c r="A19">
        <v>1978</v>
      </c>
      <c r="B19">
        <v>1</v>
      </c>
      <c r="C19">
        <v>7.2488777640846195E-4</v>
      </c>
      <c r="D19">
        <v>0.35394913438718661</v>
      </c>
      <c r="E19">
        <v>7.7571029609507264E-2</v>
      </c>
      <c r="F19">
        <v>0.23706101859909437</v>
      </c>
      <c r="H19">
        <v>7.246251087362765E-4</v>
      </c>
      <c r="I19">
        <v>0.29808933043627339</v>
      </c>
      <c r="J19">
        <v>7.4638705989104048E-2</v>
      </c>
      <c r="K19">
        <v>0.21105685365669913</v>
      </c>
      <c r="P19">
        <v>9.7084361141263516E-3</v>
      </c>
      <c r="Q19">
        <v>3.9937633763343814</v>
      </c>
      <c r="R19">
        <v>1</v>
      </c>
      <c r="S19">
        <v>2.8277131933062956</v>
      </c>
    </row>
    <row r="20" spans="1:19" x14ac:dyDescent="0.25">
      <c r="A20">
        <v>1978</v>
      </c>
      <c r="B20">
        <v>2</v>
      </c>
      <c r="C20">
        <v>1.2193788701828516E-2</v>
      </c>
      <c r="D20">
        <v>0.21638529872552978</v>
      </c>
      <c r="E20">
        <v>0.47424809745425461</v>
      </c>
      <c r="F20">
        <v>0.58491975178691369</v>
      </c>
      <c r="H20">
        <v>1.211974572076413E-2</v>
      </c>
      <c r="I20">
        <v>0.19457508711136651</v>
      </c>
      <c r="J20">
        <v>0.37764717074012344</v>
      </c>
      <c r="K20">
        <v>0.44284942964404939</v>
      </c>
      <c r="P20">
        <v>3.2092775108076448E-2</v>
      </c>
      <c r="Q20">
        <v>0.5152298287579723</v>
      </c>
      <c r="R20">
        <v>1</v>
      </c>
      <c r="S20">
        <v>1.17265390543279</v>
      </c>
    </row>
    <row r="21" spans="1:19" x14ac:dyDescent="0.25">
      <c r="A21">
        <v>1978</v>
      </c>
      <c r="B21">
        <v>3</v>
      </c>
      <c r="C21">
        <v>1.9429687179373854E-2</v>
      </c>
      <c r="D21">
        <v>0.17138296772592884</v>
      </c>
      <c r="E21">
        <v>1.2321434470001431</v>
      </c>
      <c r="F21">
        <v>0.4398431072981549</v>
      </c>
      <c r="H21">
        <v>1.9242147384689212E-2</v>
      </c>
      <c r="I21">
        <v>0.15750113819171618</v>
      </c>
      <c r="J21">
        <v>2</v>
      </c>
      <c r="K21">
        <v>0.35586252637567239</v>
      </c>
      <c r="P21">
        <v>9.6210736923446061E-3</v>
      </c>
      <c r="Q21">
        <v>7.8750569095858092E-2</v>
      </c>
      <c r="R21">
        <v>1</v>
      </c>
      <c r="S21">
        <v>0.1779312631878362</v>
      </c>
    </row>
    <row r="22" spans="1:19" x14ac:dyDescent="0.25">
      <c r="A22">
        <v>1978</v>
      </c>
      <c r="B22">
        <v>4</v>
      </c>
      <c r="C22">
        <v>0</v>
      </c>
      <c r="D22">
        <v>0</v>
      </c>
      <c r="E22">
        <v>0</v>
      </c>
      <c r="F22">
        <v>0</v>
      </c>
      <c r="H22">
        <v>0</v>
      </c>
      <c r="I22">
        <v>0</v>
      </c>
      <c r="J22">
        <v>0</v>
      </c>
      <c r="K22">
        <v>0</v>
      </c>
      <c r="P22" t="s">
        <v>702</v>
      </c>
      <c r="Q22" t="s">
        <v>702</v>
      </c>
      <c r="R22" t="s">
        <v>702</v>
      </c>
      <c r="S22" t="s">
        <v>702</v>
      </c>
    </row>
    <row r="23" spans="1:19" x14ac:dyDescent="0.25">
      <c r="A23">
        <v>1979</v>
      </c>
      <c r="B23">
        <v>1</v>
      </c>
      <c r="C23">
        <v>1.0170828041042603E-2</v>
      </c>
      <c r="D23">
        <v>0.21422851863258394</v>
      </c>
      <c r="E23">
        <v>4.3832358966331593E-2</v>
      </c>
      <c r="F23">
        <v>0.25201480174695035</v>
      </c>
      <c r="H23">
        <v>1.011928007936258E-2</v>
      </c>
      <c r="I23">
        <v>0.19283608804771313</v>
      </c>
      <c r="J23">
        <v>4.2885604328712468E-2</v>
      </c>
      <c r="K23">
        <v>0.2227667664258417</v>
      </c>
      <c r="P23">
        <v>0.23595983402261611</v>
      </c>
      <c r="Q23">
        <v>4.4965225759592915</v>
      </c>
      <c r="R23">
        <v>1</v>
      </c>
      <c r="S23">
        <v>5.1944415827363422</v>
      </c>
    </row>
    <row r="24" spans="1:19" x14ac:dyDescent="0.25">
      <c r="A24">
        <v>1979</v>
      </c>
      <c r="B24">
        <v>2</v>
      </c>
      <c r="C24">
        <v>4.2317894635306979E-3</v>
      </c>
      <c r="D24">
        <v>0.11512670990189448</v>
      </c>
      <c r="E24">
        <v>0.27242016981160733</v>
      </c>
      <c r="F24">
        <v>0.24439200808136891</v>
      </c>
      <c r="H24">
        <v>4.2228480596583351E-3</v>
      </c>
      <c r="I24">
        <v>0.1087467938544977</v>
      </c>
      <c r="J24">
        <v>0.23846577983104167</v>
      </c>
      <c r="K24">
        <v>0.21681943902988265</v>
      </c>
      <c r="P24">
        <v>1.7708402701009415E-2</v>
      </c>
      <c r="Q24">
        <v>0.45602683090021234</v>
      </c>
      <c r="R24">
        <v>1</v>
      </c>
      <c r="S24">
        <v>0.90922663697702899</v>
      </c>
    </row>
    <row r="25" spans="1:19" x14ac:dyDescent="0.25">
      <c r="A25">
        <v>1979</v>
      </c>
      <c r="B25">
        <v>3</v>
      </c>
      <c r="C25">
        <v>2.2705126630762122E-2</v>
      </c>
      <c r="D25">
        <v>0.10206838416608449</v>
      </c>
      <c r="E25">
        <v>8.9024817619787755E-2</v>
      </c>
      <c r="F25">
        <v>0.21606237881650009</v>
      </c>
      <c r="H25">
        <v>2.244930505469156E-2</v>
      </c>
      <c r="I25">
        <v>9.703219914255079E-2</v>
      </c>
      <c r="J25">
        <v>8.5177130433426562E-2</v>
      </c>
      <c r="K25">
        <v>0.19431495737349103</v>
      </c>
      <c r="P25">
        <v>0.26356024135184586</v>
      </c>
      <c r="Q25">
        <v>1.1391813582918247</v>
      </c>
      <c r="R25">
        <v>1</v>
      </c>
      <c r="S25">
        <v>2.2813043405514266</v>
      </c>
    </row>
    <row r="26" spans="1:19" x14ac:dyDescent="0.25">
      <c r="A26">
        <v>1979</v>
      </c>
      <c r="B26">
        <v>4</v>
      </c>
      <c r="C26">
        <v>0</v>
      </c>
      <c r="D26">
        <v>0</v>
      </c>
      <c r="E26">
        <v>0</v>
      </c>
      <c r="F26">
        <v>0</v>
      </c>
      <c r="H26">
        <v>0</v>
      </c>
      <c r="I26">
        <v>0</v>
      </c>
      <c r="J26">
        <v>0</v>
      </c>
      <c r="K26">
        <v>0</v>
      </c>
      <c r="P26" t="s">
        <v>702</v>
      </c>
      <c r="Q26" t="s">
        <v>702</v>
      </c>
      <c r="R26" t="s">
        <v>702</v>
      </c>
      <c r="S26" t="s">
        <v>702</v>
      </c>
    </row>
    <row r="27" spans="1:19" x14ac:dyDescent="0.25">
      <c r="A27">
        <v>1980</v>
      </c>
      <c r="B27">
        <v>1</v>
      </c>
      <c r="C27">
        <v>0</v>
      </c>
      <c r="D27">
        <v>0.15478146956728767</v>
      </c>
      <c r="E27">
        <v>0.5326785954527109</v>
      </c>
      <c r="F27">
        <v>0.74348090177554005</v>
      </c>
      <c r="H27">
        <v>0</v>
      </c>
      <c r="I27">
        <v>0.14339764928629095</v>
      </c>
      <c r="J27">
        <v>0.41296955521783674</v>
      </c>
      <c r="K27">
        <v>0.52454398398794633</v>
      </c>
      <c r="P27">
        <v>0</v>
      </c>
      <c r="Q27">
        <v>0.34723540143449638</v>
      </c>
      <c r="R27">
        <v>1</v>
      </c>
      <c r="S27">
        <v>1.2701759182011743</v>
      </c>
    </row>
    <row r="28" spans="1:19" x14ac:dyDescent="0.25">
      <c r="A28">
        <v>1980</v>
      </c>
      <c r="B28">
        <v>2</v>
      </c>
      <c r="C28">
        <v>0</v>
      </c>
      <c r="D28">
        <v>0.28193485213266734</v>
      </c>
      <c r="E28">
        <v>1.2876209040166846</v>
      </c>
      <c r="F28">
        <v>1.6236609229891878</v>
      </c>
      <c r="H28">
        <v>0</v>
      </c>
      <c r="I28">
        <v>0.24567717454428284</v>
      </c>
      <c r="J28">
        <v>2</v>
      </c>
      <c r="K28">
        <v>2</v>
      </c>
      <c r="P28">
        <v>0</v>
      </c>
      <c r="Q28">
        <v>0.12283858727214142</v>
      </c>
      <c r="R28">
        <v>1</v>
      </c>
      <c r="S28">
        <v>1</v>
      </c>
    </row>
    <row r="29" spans="1:19" x14ac:dyDescent="0.25">
      <c r="A29">
        <v>1980</v>
      </c>
      <c r="B29">
        <v>3</v>
      </c>
      <c r="C29">
        <v>2.7214448212216164E-2</v>
      </c>
      <c r="D29">
        <v>0.27562744147586327</v>
      </c>
      <c r="E29">
        <v>0.30013016520968921</v>
      </c>
      <c r="F29">
        <v>0.11027682973075464</v>
      </c>
      <c r="H29">
        <v>2.6847471673862588E-2</v>
      </c>
      <c r="I29">
        <v>0.24090431434507587</v>
      </c>
      <c r="J29">
        <v>0.2592782018017562</v>
      </c>
      <c r="K29">
        <v>0.10441382390312393</v>
      </c>
      <c r="P29">
        <v>0.10354696803393497</v>
      </c>
      <c r="Q29">
        <v>0.92913446896423257</v>
      </c>
      <c r="R29">
        <v>1</v>
      </c>
      <c r="S29">
        <v>0.40270961144261025</v>
      </c>
    </row>
    <row r="30" spans="1:19" x14ac:dyDescent="0.25">
      <c r="A30">
        <v>1980</v>
      </c>
      <c r="B30">
        <v>4</v>
      </c>
      <c r="C30">
        <v>0</v>
      </c>
      <c r="D30">
        <v>0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P30" t="s">
        <v>702</v>
      </c>
      <c r="Q30" t="s">
        <v>702</v>
      </c>
      <c r="R30" t="s">
        <v>702</v>
      </c>
      <c r="S30" t="s">
        <v>702</v>
      </c>
    </row>
    <row r="31" spans="1:19" x14ac:dyDescent="0.25">
      <c r="A31">
        <v>1981</v>
      </c>
      <c r="B31">
        <v>1</v>
      </c>
      <c r="C31">
        <v>7.0085830525983715E-3</v>
      </c>
      <c r="D31">
        <v>0.25230822624634514</v>
      </c>
      <c r="E31">
        <v>0.24168946564835742</v>
      </c>
      <c r="F31">
        <v>0.2568550984180844</v>
      </c>
      <c r="H31">
        <v>6.9840802112126621E-3</v>
      </c>
      <c r="I31">
        <v>0.22299479224249963</v>
      </c>
      <c r="J31">
        <v>0.21469999768104786</v>
      </c>
      <c r="K31">
        <v>0.22651971583758024</v>
      </c>
      <c r="P31">
        <v>3.2529484334638932E-2</v>
      </c>
      <c r="Q31">
        <v>1.0386343486308476</v>
      </c>
      <c r="R31">
        <v>1</v>
      </c>
      <c r="S31">
        <v>1.0550522509743638</v>
      </c>
    </row>
    <row r="32" spans="1:19" x14ac:dyDescent="0.25">
      <c r="A32">
        <v>1981</v>
      </c>
      <c r="B32">
        <v>2</v>
      </c>
      <c r="C32">
        <v>9.9355431880202277E-4</v>
      </c>
      <c r="D32">
        <v>0.14532718489240229</v>
      </c>
      <c r="E32">
        <v>1.1149316547690562</v>
      </c>
      <c r="F32">
        <v>0.83495739422941828</v>
      </c>
      <c r="H32">
        <v>9.9306090713380257E-4</v>
      </c>
      <c r="I32">
        <v>0.13526068281990666</v>
      </c>
      <c r="J32">
        <v>2</v>
      </c>
      <c r="K32">
        <v>0.56610703261659068</v>
      </c>
      <c r="P32">
        <v>4.9653045356690129E-4</v>
      </c>
      <c r="Q32">
        <v>6.7630341409953332E-2</v>
      </c>
      <c r="R32">
        <v>1</v>
      </c>
      <c r="S32">
        <v>0.28305351630829534</v>
      </c>
    </row>
    <row r="33" spans="1:19" x14ac:dyDescent="0.25">
      <c r="A33">
        <v>1981</v>
      </c>
      <c r="B33">
        <v>3</v>
      </c>
      <c r="C33">
        <v>1.3305295041986335E-2</v>
      </c>
      <c r="D33">
        <v>0.27802449809916102</v>
      </c>
      <c r="E33">
        <v>0.33338754896349099</v>
      </c>
      <c r="F33">
        <v>0.11688851913477537</v>
      </c>
      <c r="H33">
        <v>1.3217170876219098E-2</v>
      </c>
      <c r="I33">
        <v>0.24272173059104563</v>
      </c>
      <c r="J33">
        <v>0.28350753556969766</v>
      </c>
      <c r="K33">
        <v>0.11031562958148344</v>
      </c>
      <c r="P33">
        <v>4.6620174838244398E-2</v>
      </c>
      <c r="Q33">
        <v>0.85613855061490873</v>
      </c>
      <c r="R33">
        <v>1</v>
      </c>
      <c r="S33">
        <v>0.38911004379410363</v>
      </c>
    </row>
    <row r="34" spans="1:19" x14ac:dyDescent="0.25">
      <c r="A34">
        <v>1981</v>
      </c>
      <c r="B34">
        <v>4</v>
      </c>
      <c r="C34">
        <v>0</v>
      </c>
      <c r="D34">
        <v>0</v>
      </c>
      <c r="E34">
        <v>0</v>
      </c>
      <c r="F34">
        <v>0</v>
      </c>
      <c r="H34">
        <v>0</v>
      </c>
      <c r="I34">
        <v>0</v>
      </c>
      <c r="J34">
        <v>0</v>
      </c>
      <c r="K34">
        <v>0</v>
      </c>
      <c r="P34" t="s">
        <v>702</v>
      </c>
      <c r="Q34" t="s">
        <v>702</v>
      </c>
      <c r="R34" t="s">
        <v>702</v>
      </c>
      <c r="S34" t="s">
        <v>702</v>
      </c>
    </row>
    <row r="35" spans="1:19" x14ac:dyDescent="0.25">
      <c r="A35">
        <v>1982</v>
      </c>
      <c r="B35">
        <v>1</v>
      </c>
      <c r="C35">
        <v>1.4695346388826809E-2</v>
      </c>
      <c r="D35">
        <v>0.40702924606302998</v>
      </c>
      <c r="E35">
        <v>8.2243081369357748E-2</v>
      </c>
      <c r="F35">
        <v>0.12090035629630734</v>
      </c>
      <c r="H35">
        <v>1.4587896766482089E-2</v>
      </c>
      <c r="I35">
        <v>0.33437527688575319</v>
      </c>
      <c r="J35">
        <v>7.8951958136814326E-2</v>
      </c>
      <c r="K35">
        <v>0.11387774830299002</v>
      </c>
      <c r="P35">
        <v>0.18476928388784233</v>
      </c>
      <c r="Q35">
        <v>4.2351739561205148</v>
      </c>
      <c r="R35">
        <v>1</v>
      </c>
      <c r="S35">
        <v>1.4423676244438861</v>
      </c>
    </row>
    <row r="36" spans="1:19" x14ac:dyDescent="0.25">
      <c r="A36">
        <v>1982</v>
      </c>
      <c r="B36">
        <v>2</v>
      </c>
      <c r="C36">
        <v>3.2992668072053623E-2</v>
      </c>
      <c r="D36">
        <v>0.60637937884868298</v>
      </c>
      <c r="E36">
        <v>0.30702984120431293</v>
      </c>
      <c r="F36">
        <v>0.19847270744707562</v>
      </c>
      <c r="H36">
        <v>3.2454346461957662E-2</v>
      </c>
      <c r="I36">
        <v>0.45467829760890055</v>
      </c>
      <c r="J36">
        <v>0.26437135146508706</v>
      </c>
      <c r="K36">
        <v>0.18001785015876637</v>
      </c>
      <c r="P36">
        <v>0.12276045147139776</v>
      </c>
      <c r="Q36">
        <v>1.7198470828596777</v>
      </c>
      <c r="R36">
        <v>1</v>
      </c>
      <c r="S36">
        <v>0.68092797937880789</v>
      </c>
    </row>
    <row r="37" spans="1:19" x14ac:dyDescent="0.25">
      <c r="A37">
        <v>1982</v>
      </c>
      <c r="B37">
        <v>3</v>
      </c>
      <c r="C37">
        <v>0.13911370207900436</v>
      </c>
      <c r="D37">
        <v>7.5999788174461028E-2</v>
      </c>
      <c r="E37">
        <v>3.1915342331555456E-2</v>
      </c>
      <c r="F37">
        <v>3.0193236714975844E-2</v>
      </c>
      <c r="H37">
        <v>0.12987091265278039</v>
      </c>
      <c r="I37">
        <v>7.3183597117254529E-2</v>
      </c>
      <c r="J37">
        <v>3.1411422940987421E-2</v>
      </c>
      <c r="K37">
        <v>2.9741974041198938E-2</v>
      </c>
      <c r="P37">
        <v>4.1345122408739208</v>
      </c>
      <c r="Q37">
        <v>2.3298402385254691</v>
      </c>
      <c r="R37">
        <v>1</v>
      </c>
      <c r="S37">
        <v>0.94685217212461614</v>
      </c>
    </row>
    <row r="38" spans="1:19" x14ac:dyDescent="0.25">
      <c r="A38">
        <v>1982</v>
      </c>
      <c r="B38">
        <v>4</v>
      </c>
      <c r="C38">
        <v>0</v>
      </c>
      <c r="D38">
        <v>0</v>
      </c>
      <c r="E38">
        <v>0</v>
      </c>
      <c r="F38">
        <v>0</v>
      </c>
      <c r="H38">
        <v>0</v>
      </c>
      <c r="I38">
        <v>0</v>
      </c>
      <c r="J38">
        <v>0</v>
      </c>
      <c r="K38">
        <v>0</v>
      </c>
      <c r="P38" t="s">
        <v>702</v>
      </c>
      <c r="Q38" t="s">
        <v>702</v>
      </c>
      <c r="R38" t="s">
        <v>702</v>
      </c>
      <c r="S38" t="s">
        <v>702</v>
      </c>
    </row>
    <row r="39" spans="1:19" x14ac:dyDescent="0.25">
      <c r="A39">
        <v>1983</v>
      </c>
      <c r="B39">
        <v>1</v>
      </c>
      <c r="C39">
        <v>0.11113146178408886</v>
      </c>
      <c r="D39">
        <v>0.25433422344110856</v>
      </c>
      <c r="E39">
        <v>0.30968006719962182</v>
      </c>
      <c r="F39">
        <v>0.1691468598949821</v>
      </c>
      <c r="H39">
        <v>0.10517889358263677</v>
      </c>
      <c r="I39">
        <v>0.22456740901722383</v>
      </c>
      <c r="J39">
        <v>0.26631835249635982</v>
      </c>
      <c r="K39">
        <v>0.15561511199616251</v>
      </c>
      <c r="P39">
        <v>0.39493670862985086</v>
      </c>
      <c r="Q39">
        <v>0.84322919135020302</v>
      </c>
      <c r="R39">
        <v>1</v>
      </c>
      <c r="S39">
        <v>0.58431989585955979</v>
      </c>
    </row>
    <row r="40" spans="1:19" x14ac:dyDescent="0.25">
      <c r="A40">
        <v>1983</v>
      </c>
      <c r="B40">
        <v>2</v>
      </c>
      <c r="C40">
        <v>7.1398265353961557E-2</v>
      </c>
      <c r="D40">
        <v>0.27552696351727501</v>
      </c>
      <c r="E40">
        <v>0.52502876305485935</v>
      </c>
      <c r="F40">
        <v>0.2456186699519341</v>
      </c>
      <c r="H40">
        <v>6.8909003010333647E-2</v>
      </c>
      <c r="I40">
        <v>0.24082803812823306</v>
      </c>
      <c r="J40">
        <v>0.40846165032788406</v>
      </c>
      <c r="K40">
        <v>0.21777954777700703</v>
      </c>
      <c r="P40">
        <v>0.16870372764497812</v>
      </c>
      <c r="Q40">
        <v>0.58959767198441615</v>
      </c>
      <c r="R40">
        <v>1</v>
      </c>
      <c r="S40">
        <v>0.53317012160673849</v>
      </c>
    </row>
    <row r="41" spans="1:19" x14ac:dyDescent="0.25">
      <c r="A41">
        <v>1983</v>
      </c>
      <c r="B41">
        <v>3</v>
      </c>
      <c r="C41">
        <v>6.9725773661621859E-2</v>
      </c>
      <c r="D41">
        <v>0.22902042492124339</v>
      </c>
      <c r="E41">
        <v>2.4894631784737272E-2</v>
      </c>
      <c r="F41">
        <v>0</v>
      </c>
      <c r="H41">
        <v>6.7350458089640575E-2</v>
      </c>
      <c r="I41">
        <v>0.20468771085167003</v>
      </c>
      <c r="J41">
        <v>2.45873158925487E-2</v>
      </c>
      <c r="K41">
        <v>0</v>
      </c>
      <c r="P41">
        <v>2.7392358882919563</v>
      </c>
      <c r="Q41">
        <v>8.3249311045660583</v>
      </c>
      <c r="R41">
        <v>1</v>
      </c>
      <c r="S41">
        <v>0</v>
      </c>
    </row>
    <row r="42" spans="1:19" x14ac:dyDescent="0.25">
      <c r="A42">
        <v>1983</v>
      </c>
      <c r="B42">
        <v>4</v>
      </c>
      <c r="C42">
        <v>0</v>
      </c>
      <c r="D42">
        <v>0</v>
      </c>
      <c r="E42">
        <v>0</v>
      </c>
      <c r="F42">
        <v>0</v>
      </c>
      <c r="H42">
        <v>0</v>
      </c>
      <c r="I42">
        <v>0</v>
      </c>
      <c r="J42">
        <v>0</v>
      </c>
      <c r="K42">
        <v>0</v>
      </c>
      <c r="P42" t="s">
        <v>702</v>
      </c>
      <c r="Q42" t="s">
        <v>702</v>
      </c>
      <c r="R42" t="s">
        <v>702</v>
      </c>
      <c r="S42" t="s">
        <v>702</v>
      </c>
    </row>
    <row r="43" spans="1:19" x14ac:dyDescent="0.25">
      <c r="A43">
        <v>1984</v>
      </c>
      <c r="B43">
        <v>1</v>
      </c>
      <c r="C43">
        <v>3.8265433311022848E-2</v>
      </c>
      <c r="D43">
        <v>0.4293125716899942</v>
      </c>
      <c r="E43">
        <v>0.28020966951195758</v>
      </c>
      <c r="F43">
        <v>1.3472528174185103E-2</v>
      </c>
      <c r="H43">
        <v>3.7542561281371789E-2</v>
      </c>
      <c r="I43">
        <v>0.34904357317229395</v>
      </c>
      <c r="J43">
        <v>0.24437470674103257</v>
      </c>
      <c r="K43">
        <v>1.3382179861664123E-2</v>
      </c>
      <c r="P43">
        <v>0.15362703359131266</v>
      </c>
      <c r="Q43">
        <v>1.4283130108967477</v>
      </c>
      <c r="R43">
        <v>1</v>
      </c>
      <c r="S43">
        <v>5.4760904023694296E-2</v>
      </c>
    </row>
    <row r="44" spans="1:19" x14ac:dyDescent="0.25">
      <c r="A44">
        <v>1984</v>
      </c>
      <c r="B44">
        <v>2</v>
      </c>
      <c r="C44">
        <v>3.2021819699089411E-2</v>
      </c>
      <c r="D44">
        <v>0.31264461648116132</v>
      </c>
      <c r="E44">
        <v>0.34267457579745098</v>
      </c>
      <c r="F44">
        <v>4.8156651994746183E-2</v>
      </c>
      <c r="H44">
        <v>3.1514550212438541E-2</v>
      </c>
      <c r="I44">
        <v>0.2684901670810701</v>
      </c>
      <c r="J44">
        <v>0.29013081741095292</v>
      </c>
      <c r="K44">
        <v>4.7015511537232713E-2</v>
      </c>
      <c r="P44">
        <v>0.10862186407381905</v>
      </c>
      <c r="Q44">
        <v>0.92541071464590352</v>
      </c>
      <c r="R44">
        <v>1</v>
      </c>
      <c r="S44">
        <v>0.16204935400101966</v>
      </c>
    </row>
    <row r="45" spans="1:19" x14ac:dyDescent="0.25">
      <c r="A45">
        <v>1984</v>
      </c>
      <c r="B45">
        <v>3</v>
      </c>
      <c r="C45">
        <v>3.4955129864526709E-2</v>
      </c>
      <c r="D45">
        <v>0.11609655392058359</v>
      </c>
      <c r="E45">
        <v>3.221034736233918E-2</v>
      </c>
      <c r="F45">
        <v>2.354019493874631E-2</v>
      </c>
      <c r="H45">
        <v>3.4351255924537027E-2</v>
      </c>
      <c r="I45">
        <v>0.10961075142585419</v>
      </c>
      <c r="J45">
        <v>3.1697119300975851E-2</v>
      </c>
      <c r="K45">
        <v>2.3265285912193345E-2</v>
      </c>
      <c r="P45">
        <v>1.0837343166222511</v>
      </c>
      <c r="Q45">
        <v>3.4580666585205941</v>
      </c>
      <c r="R45">
        <v>1</v>
      </c>
      <c r="S45">
        <v>0.73398739144970448</v>
      </c>
    </row>
    <row r="46" spans="1:19" x14ac:dyDescent="0.25">
      <c r="A46">
        <v>1984</v>
      </c>
      <c r="B46">
        <v>4</v>
      </c>
      <c r="C46">
        <v>0</v>
      </c>
      <c r="D46">
        <v>0</v>
      </c>
      <c r="E46">
        <v>0</v>
      </c>
      <c r="F46">
        <v>0</v>
      </c>
      <c r="H46">
        <v>0</v>
      </c>
      <c r="I46">
        <v>0</v>
      </c>
      <c r="J46">
        <v>0</v>
      </c>
      <c r="K46">
        <v>0</v>
      </c>
      <c r="P46" t="s">
        <v>702</v>
      </c>
      <c r="Q46" t="s">
        <v>702</v>
      </c>
      <c r="R46" t="s">
        <v>702</v>
      </c>
      <c r="S46" t="s">
        <v>702</v>
      </c>
    </row>
    <row r="47" spans="1:19" x14ac:dyDescent="0.25">
      <c r="A47">
        <v>1985</v>
      </c>
      <c r="B47">
        <v>1</v>
      </c>
      <c r="C47">
        <v>0</v>
      </c>
      <c r="D47">
        <v>0.18288275910413235</v>
      </c>
      <c r="E47">
        <v>0.61779133224312821</v>
      </c>
      <c r="F47">
        <v>0.16686077664657664</v>
      </c>
      <c r="H47">
        <v>0</v>
      </c>
      <c r="I47">
        <v>0.16713420405467949</v>
      </c>
      <c r="J47">
        <v>0.46086610880064316</v>
      </c>
      <c r="K47">
        <v>0.15368256971387151</v>
      </c>
      <c r="P47">
        <v>0</v>
      </c>
      <c r="Q47">
        <v>0.3626524078536153</v>
      </c>
      <c r="R47">
        <v>1</v>
      </c>
      <c r="S47">
        <v>0.3334646804769712</v>
      </c>
    </row>
    <row r="48" spans="1:19" x14ac:dyDescent="0.25">
      <c r="A48">
        <v>1985</v>
      </c>
      <c r="B48">
        <v>2</v>
      </c>
      <c r="C48">
        <v>0</v>
      </c>
      <c r="D48">
        <v>0.1726967184853164</v>
      </c>
      <c r="E48">
        <v>0.67854220726091119</v>
      </c>
      <c r="F48">
        <v>0.16744663506536639</v>
      </c>
      <c r="H48">
        <v>0</v>
      </c>
      <c r="I48">
        <v>0.15860724497779521</v>
      </c>
      <c r="J48">
        <v>0.49264392647875843</v>
      </c>
      <c r="K48">
        <v>0.15417824669293001</v>
      </c>
      <c r="P48">
        <v>0</v>
      </c>
      <c r="Q48">
        <v>0.32195108160870417</v>
      </c>
      <c r="R48">
        <v>1</v>
      </c>
      <c r="S48">
        <v>0.31296081897312861</v>
      </c>
    </row>
    <row r="49" spans="1:19" x14ac:dyDescent="0.25">
      <c r="A49">
        <v>1985</v>
      </c>
      <c r="B49">
        <v>3</v>
      </c>
      <c r="C49">
        <v>1.2027847389945764E-2</v>
      </c>
      <c r="D49">
        <v>0.11816265868171691</v>
      </c>
      <c r="E49">
        <v>0.35831480214391609</v>
      </c>
      <c r="F49">
        <v>0.47319332529661823</v>
      </c>
      <c r="H49">
        <v>1.1955801973241975E-2</v>
      </c>
      <c r="I49">
        <v>0.11144848975789334</v>
      </c>
      <c r="J49">
        <v>0.30114696006066788</v>
      </c>
      <c r="K49">
        <v>0.37699038398429419</v>
      </c>
      <c r="P49">
        <v>3.9700888798058616E-2</v>
      </c>
      <c r="Q49">
        <v>0.3700800756396192</v>
      </c>
      <c r="R49">
        <v>1</v>
      </c>
      <c r="S49">
        <v>1.2518485456680259</v>
      </c>
    </row>
    <row r="50" spans="1:19" x14ac:dyDescent="0.25">
      <c r="A50">
        <v>1985</v>
      </c>
      <c r="B50">
        <v>4</v>
      </c>
      <c r="C50">
        <v>0</v>
      </c>
      <c r="D50">
        <v>0</v>
      </c>
      <c r="E50">
        <v>0</v>
      </c>
      <c r="F50">
        <v>0</v>
      </c>
      <c r="H50">
        <v>0</v>
      </c>
      <c r="I50">
        <v>0</v>
      </c>
      <c r="J50">
        <v>0</v>
      </c>
      <c r="K50">
        <v>0</v>
      </c>
      <c r="P50" t="s">
        <v>702</v>
      </c>
      <c r="Q50" t="s">
        <v>702</v>
      </c>
      <c r="R50" t="s">
        <v>702</v>
      </c>
      <c r="S50" t="s">
        <v>702</v>
      </c>
    </row>
    <row r="51" spans="1:19" x14ac:dyDescent="0.25">
      <c r="A51">
        <v>1986</v>
      </c>
      <c r="B51">
        <v>1</v>
      </c>
      <c r="C51">
        <v>0</v>
      </c>
      <c r="D51">
        <v>4.2185542351645851E-2</v>
      </c>
      <c r="E51">
        <v>0.42858968533454506</v>
      </c>
      <c r="F51">
        <v>1.3606544543604195</v>
      </c>
      <c r="H51">
        <v>0</v>
      </c>
      <c r="I51">
        <v>4.1308113877537411E-2</v>
      </c>
      <c r="J51">
        <v>0.34857283552893781</v>
      </c>
      <c r="K51">
        <v>2</v>
      </c>
      <c r="P51">
        <v>0</v>
      </c>
      <c r="Q51">
        <v>0.11850640574115563</v>
      </c>
      <c r="R51">
        <v>1</v>
      </c>
      <c r="S51">
        <v>5.7376817587208802</v>
      </c>
    </row>
    <row r="52" spans="1:19" x14ac:dyDescent="0.25">
      <c r="A52">
        <v>1986</v>
      </c>
      <c r="B52">
        <v>2</v>
      </c>
      <c r="C52">
        <v>0</v>
      </c>
      <c r="D52">
        <v>7.7872456575682383E-2</v>
      </c>
      <c r="E52">
        <v>0.8908755283668337</v>
      </c>
      <c r="F52">
        <v>2.5959725865132413</v>
      </c>
      <c r="H52">
        <v>0</v>
      </c>
      <c r="I52">
        <v>7.4917592802459021E-2</v>
      </c>
      <c r="J52">
        <v>0.58970363066004949</v>
      </c>
      <c r="K52">
        <v>2</v>
      </c>
      <c r="P52">
        <v>0</v>
      </c>
      <c r="Q52">
        <v>0.12704278710070768</v>
      </c>
      <c r="R52">
        <v>1</v>
      </c>
      <c r="S52">
        <v>3.3915341470111344</v>
      </c>
    </row>
    <row r="53" spans="1:19" x14ac:dyDescent="0.25">
      <c r="A53">
        <v>1986</v>
      </c>
      <c r="B53">
        <v>3</v>
      </c>
      <c r="C53">
        <v>2.3908307097145913E-2</v>
      </c>
      <c r="D53">
        <v>5.1924505607245194E-2</v>
      </c>
      <c r="E53">
        <v>4.4935632742288071E-3</v>
      </c>
      <c r="F53">
        <v>0</v>
      </c>
      <c r="H53">
        <v>2.3624767667118407E-2</v>
      </c>
      <c r="I53">
        <v>5.0599461445411387E-2</v>
      </c>
      <c r="J53">
        <v>4.4834823242272392E-3</v>
      </c>
      <c r="K53">
        <v>0</v>
      </c>
      <c r="P53">
        <v>5.2692897972315098</v>
      </c>
      <c r="Q53">
        <v>11.28575017949526</v>
      </c>
      <c r="R53">
        <v>1</v>
      </c>
      <c r="S53">
        <v>0</v>
      </c>
    </row>
    <row r="54" spans="1:19" x14ac:dyDescent="0.25">
      <c r="A54">
        <v>1986</v>
      </c>
      <c r="B54">
        <v>4</v>
      </c>
      <c r="C54">
        <v>0</v>
      </c>
      <c r="D54">
        <v>0</v>
      </c>
      <c r="E54">
        <v>0</v>
      </c>
      <c r="F54">
        <v>0</v>
      </c>
      <c r="H54">
        <v>0</v>
      </c>
      <c r="I54">
        <v>0</v>
      </c>
      <c r="J54">
        <v>0</v>
      </c>
      <c r="K54">
        <v>0</v>
      </c>
      <c r="P54" t="s">
        <v>702</v>
      </c>
      <c r="Q54" t="s">
        <v>702</v>
      </c>
      <c r="R54" t="s">
        <v>702</v>
      </c>
      <c r="S54" t="s">
        <v>702</v>
      </c>
    </row>
    <row r="55" spans="1:19" x14ac:dyDescent="0.25">
      <c r="A55">
        <v>1987</v>
      </c>
      <c r="B55">
        <v>1</v>
      </c>
      <c r="C55">
        <v>6.3231538850916664E-5</v>
      </c>
      <c r="D55">
        <v>0.16070455924881288</v>
      </c>
      <c r="E55">
        <v>0.19594933543546245</v>
      </c>
      <c r="F55">
        <v>2.1182885906040269E-2</v>
      </c>
      <c r="H55">
        <v>6.3229539779330324E-5</v>
      </c>
      <c r="I55">
        <v>0.14845638536760697</v>
      </c>
      <c r="J55">
        <v>0.17794611737487032</v>
      </c>
      <c r="K55">
        <v>2.0960104402992785E-2</v>
      </c>
      <c r="P55">
        <v>3.5532969593333563E-4</v>
      </c>
      <c r="Q55">
        <v>0.83427718209136992</v>
      </c>
      <c r="R55">
        <v>1</v>
      </c>
      <c r="S55">
        <v>0.11778905160845497</v>
      </c>
    </row>
    <row r="56" spans="1:19" x14ac:dyDescent="0.25">
      <c r="A56">
        <v>1987</v>
      </c>
      <c r="B56">
        <v>2</v>
      </c>
      <c r="C56">
        <v>2.3085828995588337E-3</v>
      </c>
      <c r="D56">
        <v>0.22782982730755036</v>
      </c>
      <c r="E56">
        <v>0.7502901939673301</v>
      </c>
      <c r="F56">
        <v>1.4103192685951605E-2</v>
      </c>
      <c r="H56">
        <v>2.3059201714937805E-3</v>
      </c>
      <c r="I56">
        <v>0.20374025002769192</v>
      </c>
      <c r="J56">
        <v>0.52777050529528968</v>
      </c>
      <c r="K56">
        <v>1.4004208541178009E-2</v>
      </c>
      <c r="P56">
        <v>4.3691721086300738E-3</v>
      </c>
      <c r="Q56">
        <v>0.38603947735521604</v>
      </c>
      <c r="R56">
        <v>1</v>
      </c>
      <c r="S56">
        <v>2.6534655500201929E-2</v>
      </c>
    </row>
    <row r="57" spans="1:19" x14ac:dyDescent="0.25">
      <c r="A57">
        <v>1987</v>
      </c>
      <c r="B57">
        <v>3</v>
      </c>
      <c r="C57">
        <v>1.558881226964689E-2</v>
      </c>
      <c r="D57">
        <v>0.16099275040686492</v>
      </c>
      <c r="E57">
        <v>0.16572538959298541</v>
      </c>
      <c r="F57">
        <v>0.78370799866926477</v>
      </c>
      <c r="H57">
        <v>1.5467935658363352E-2</v>
      </c>
      <c r="I57">
        <v>0.14870175734932367</v>
      </c>
      <c r="J57">
        <v>0.15272112615829658</v>
      </c>
      <c r="K57">
        <v>0.54329061009579116</v>
      </c>
      <c r="P57">
        <v>0.10128222628695602</v>
      </c>
      <c r="Q57">
        <v>0.97368164503444787</v>
      </c>
      <c r="R57">
        <v>1</v>
      </c>
      <c r="S57">
        <v>3.5574031161390627</v>
      </c>
    </row>
    <row r="58" spans="1:19" x14ac:dyDescent="0.25">
      <c r="A58">
        <v>1987</v>
      </c>
      <c r="B58">
        <v>4</v>
      </c>
      <c r="C58">
        <v>0</v>
      </c>
      <c r="D58">
        <v>0</v>
      </c>
      <c r="E58">
        <v>0</v>
      </c>
      <c r="F58">
        <v>0</v>
      </c>
      <c r="H58">
        <v>0</v>
      </c>
      <c r="I58">
        <v>0</v>
      </c>
      <c r="J58">
        <v>0</v>
      </c>
      <c r="K58">
        <v>0</v>
      </c>
      <c r="P58" t="s">
        <v>702</v>
      </c>
      <c r="Q58" t="s">
        <v>702</v>
      </c>
      <c r="R58" t="s">
        <v>702</v>
      </c>
      <c r="S58" t="s">
        <v>702</v>
      </c>
    </row>
    <row r="59" spans="1:19" x14ac:dyDescent="0.25">
      <c r="A59">
        <v>1988</v>
      </c>
      <c r="B59">
        <v>1</v>
      </c>
      <c r="C59">
        <v>8.0494090510315724E-2</v>
      </c>
      <c r="D59">
        <v>0.27169696663440374</v>
      </c>
      <c r="E59">
        <v>0.86558170262483403</v>
      </c>
      <c r="F59">
        <v>0.2537511006223383</v>
      </c>
      <c r="H59">
        <v>7.7339643980497974E-2</v>
      </c>
      <c r="I59">
        <v>0.23791483666555535</v>
      </c>
      <c r="J59">
        <v>0.57919330294256421</v>
      </c>
      <c r="K59">
        <v>0.22411510471734097</v>
      </c>
      <c r="P59">
        <v>0.13352993480341979</v>
      </c>
      <c r="Q59">
        <v>0.41076931562716673</v>
      </c>
      <c r="R59">
        <v>1</v>
      </c>
      <c r="S59">
        <v>0.3869435360849906</v>
      </c>
    </row>
    <row r="60" spans="1:19" x14ac:dyDescent="0.25">
      <c r="A60">
        <v>1988</v>
      </c>
      <c r="B60">
        <v>2</v>
      </c>
      <c r="C60">
        <v>3.878832715166905E-2</v>
      </c>
      <c r="D60">
        <v>9.1944945320000943E-2</v>
      </c>
      <c r="E60">
        <v>0.41945596390040835</v>
      </c>
      <c r="F60">
        <v>0.15872097826985046</v>
      </c>
      <c r="H60">
        <v>3.8045692794313579E-2</v>
      </c>
      <c r="I60">
        <v>8.7844633415447015E-2</v>
      </c>
      <c r="J60">
        <v>0.34259562574339897</v>
      </c>
      <c r="K60">
        <v>0.14676560330367272</v>
      </c>
      <c r="P60">
        <v>0.11105130928556999</v>
      </c>
      <c r="Q60">
        <v>0.25640909227849235</v>
      </c>
      <c r="R60">
        <v>1</v>
      </c>
      <c r="S60">
        <v>0.42839310334218578</v>
      </c>
    </row>
    <row r="61" spans="1:19" x14ac:dyDescent="0.25">
      <c r="A61">
        <v>1988</v>
      </c>
      <c r="B61">
        <v>3</v>
      </c>
      <c r="C61">
        <v>9.7890536224937666E-2</v>
      </c>
      <c r="D61">
        <v>0.34501012047149493</v>
      </c>
      <c r="E61">
        <v>0.32234870284693518</v>
      </c>
      <c r="F61">
        <v>0.24415295686971988</v>
      </c>
      <c r="H61">
        <v>9.3251845602342121E-2</v>
      </c>
      <c r="I61">
        <v>0.2917868140198302</v>
      </c>
      <c r="J61">
        <v>0.27555446993799637</v>
      </c>
      <c r="K61">
        <v>0.21663219638844422</v>
      </c>
      <c r="P61">
        <v>0.33841528908358881</v>
      </c>
      <c r="Q61">
        <v>1.0589079323789823</v>
      </c>
      <c r="R61">
        <v>1</v>
      </c>
      <c r="S61">
        <v>0.78616832612873055</v>
      </c>
    </row>
    <row r="62" spans="1:19" x14ac:dyDescent="0.25">
      <c r="A62">
        <v>1988</v>
      </c>
      <c r="B62">
        <v>4</v>
      </c>
      <c r="C62">
        <v>0</v>
      </c>
      <c r="D62">
        <v>0</v>
      </c>
      <c r="E62">
        <v>0</v>
      </c>
      <c r="F62">
        <v>0</v>
      </c>
      <c r="H62">
        <v>0</v>
      </c>
      <c r="I62">
        <v>0</v>
      </c>
      <c r="J62">
        <v>0</v>
      </c>
      <c r="K62">
        <v>0</v>
      </c>
      <c r="P62" t="s">
        <v>702</v>
      </c>
      <c r="Q62" t="s">
        <v>702</v>
      </c>
      <c r="R62" t="s">
        <v>702</v>
      </c>
      <c r="S62" t="s">
        <v>702</v>
      </c>
    </row>
    <row r="63" spans="1:19" x14ac:dyDescent="0.25">
      <c r="A63">
        <v>1989</v>
      </c>
      <c r="B63">
        <v>1</v>
      </c>
      <c r="C63">
        <v>2.9163826642587945E-4</v>
      </c>
      <c r="D63">
        <v>0.16729632243393711</v>
      </c>
      <c r="E63">
        <v>3.4720094153816592</v>
      </c>
      <c r="F63">
        <v>2.5692197051420354E-2</v>
      </c>
      <c r="H63">
        <v>2.9159574412052081E-4</v>
      </c>
      <c r="I63">
        <v>0.15405109944379092</v>
      </c>
      <c r="J63">
        <v>2</v>
      </c>
      <c r="K63">
        <v>2.5364961017481868E-2</v>
      </c>
      <c r="P63">
        <v>1.457978720602604E-4</v>
      </c>
      <c r="Q63">
        <v>7.7025549721895459E-2</v>
      </c>
      <c r="R63">
        <v>1</v>
      </c>
      <c r="S63">
        <v>1.2682480508740934E-2</v>
      </c>
    </row>
    <row r="64" spans="1:19" x14ac:dyDescent="0.25">
      <c r="A64">
        <v>1989</v>
      </c>
      <c r="B64">
        <v>2</v>
      </c>
      <c r="C64">
        <v>3.079403783379872E-5</v>
      </c>
      <c r="D64">
        <v>1.3367047599389155E-2</v>
      </c>
      <c r="E64">
        <v>0.15632086516589261</v>
      </c>
      <c r="F64">
        <v>2.5743125757427495E-3</v>
      </c>
      <c r="H64">
        <v>3.079356370228048E-5</v>
      </c>
      <c r="I64">
        <v>1.327810535806917E-2</v>
      </c>
      <c r="J64">
        <v>0.14471528473342599</v>
      </c>
      <c r="K64">
        <v>2.5710018746597507E-3</v>
      </c>
      <c r="P64">
        <v>2.1278722395498185E-4</v>
      </c>
      <c r="Q64">
        <v>9.1753302925314459E-2</v>
      </c>
      <c r="R64">
        <v>1</v>
      </c>
      <c r="S64">
        <v>1.7765931770066214E-2</v>
      </c>
    </row>
    <row r="65" spans="1:19" x14ac:dyDescent="0.25">
      <c r="A65">
        <v>1989</v>
      </c>
      <c r="B65">
        <v>3</v>
      </c>
      <c r="C65">
        <v>2.9144762164913893E-2</v>
      </c>
      <c r="D65">
        <v>0.10928469013024936</v>
      </c>
      <c r="E65">
        <v>0.10262120800934502</v>
      </c>
      <c r="F65">
        <v>0.15992324286359302</v>
      </c>
      <c r="H65">
        <v>2.872414970577275E-2</v>
      </c>
      <c r="I65">
        <v>0.10352483646525468</v>
      </c>
      <c r="J65">
        <v>9.7531243318092153E-2</v>
      </c>
      <c r="K65">
        <v>0.14779080040640646</v>
      </c>
      <c r="P65">
        <v>0.29451228886820097</v>
      </c>
      <c r="Q65">
        <v>1.0614530579459014</v>
      </c>
      <c r="R65">
        <v>1</v>
      </c>
      <c r="S65">
        <v>1.5153175062517747</v>
      </c>
    </row>
    <row r="66" spans="1:19" x14ac:dyDescent="0.25">
      <c r="A66">
        <v>1989</v>
      </c>
      <c r="B66">
        <v>4</v>
      </c>
      <c r="C66">
        <v>0</v>
      </c>
      <c r="D66">
        <v>0</v>
      </c>
      <c r="E66">
        <v>0</v>
      </c>
      <c r="F66">
        <v>0</v>
      </c>
      <c r="H66">
        <v>0</v>
      </c>
      <c r="I66">
        <v>0</v>
      </c>
      <c r="J66">
        <v>0</v>
      </c>
      <c r="K66">
        <v>0</v>
      </c>
      <c r="P66" t="s">
        <v>702</v>
      </c>
      <c r="Q66" t="s">
        <v>702</v>
      </c>
      <c r="R66" t="s">
        <v>702</v>
      </c>
      <c r="S66" t="s">
        <v>702</v>
      </c>
    </row>
    <row r="67" spans="1:19" x14ac:dyDescent="0.25">
      <c r="A67">
        <v>1990</v>
      </c>
      <c r="B67">
        <v>1</v>
      </c>
      <c r="C67">
        <v>2.562480899875308E-5</v>
      </c>
      <c r="D67">
        <v>0.29422121109184202</v>
      </c>
      <c r="E67">
        <v>0.97680762134606469</v>
      </c>
      <c r="F67">
        <v>1.3630716210139247</v>
      </c>
      <c r="H67">
        <v>2.5624480686103901E-5</v>
      </c>
      <c r="I67">
        <v>0.25488835374964292</v>
      </c>
      <c r="J67">
        <v>0.62348885152080458</v>
      </c>
      <c r="K67">
        <v>2</v>
      </c>
      <c r="P67">
        <v>4.1098538688544399E-5</v>
      </c>
      <c r="Q67">
        <v>0.40880980169560865</v>
      </c>
      <c r="R67">
        <v>1</v>
      </c>
      <c r="S67">
        <v>3.2077558325567974</v>
      </c>
    </row>
    <row r="68" spans="1:19" x14ac:dyDescent="0.25">
      <c r="A68">
        <v>1990</v>
      </c>
      <c r="B68">
        <v>2</v>
      </c>
      <c r="C68">
        <v>3.2832932637543183E-5</v>
      </c>
      <c r="D68">
        <v>0.54276811498648381</v>
      </c>
      <c r="E68">
        <v>2.1211064846980174</v>
      </c>
      <c r="F68">
        <v>2.6788812728273377</v>
      </c>
      <c r="H68">
        <v>3.2832393642712177E-5</v>
      </c>
      <c r="I68">
        <v>0.41886263121264433</v>
      </c>
      <c r="J68">
        <v>2</v>
      </c>
      <c r="K68">
        <v>2</v>
      </c>
      <c r="P68">
        <v>1.6416196821356088E-5</v>
      </c>
      <c r="Q68">
        <v>0.20943131560632217</v>
      </c>
      <c r="R68">
        <v>1</v>
      </c>
      <c r="S68">
        <v>1</v>
      </c>
    </row>
    <row r="69" spans="1:19" x14ac:dyDescent="0.25">
      <c r="A69">
        <v>1990</v>
      </c>
      <c r="B69">
        <v>3</v>
      </c>
      <c r="C69">
        <v>1.2333364324836027E-2</v>
      </c>
      <c r="D69">
        <v>3.2157090366347257E-2</v>
      </c>
      <c r="E69">
        <v>8.632882341952872E-3</v>
      </c>
      <c r="F69">
        <v>1.6905071521456438E-2</v>
      </c>
      <c r="H69">
        <v>1.2257620100536992E-2</v>
      </c>
      <c r="I69">
        <v>3.1645549025112629E-2</v>
      </c>
      <c r="J69">
        <v>8.5957260121385382E-3</v>
      </c>
      <c r="K69">
        <v>1.6762982601019716E-2</v>
      </c>
      <c r="P69">
        <v>1.4260133563153683</v>
      </c>
      <c r="Q69">
        <v>3.6815446397923872</v>
      </c>
      <c r="R69">
        <v>1</v>
      </c>
      <c r="S69">
        <v>1.9501532014105274</v>
      </c>
    </row>
    <row r="70" spans="1:19" x14ac:dyDescent="0.25">
      <c r="A70">
        <v>1990</v>
      </c>
      <c r="B70">
        <v>4</v>
      </c>
      <c r="C70">
        <v>0</v>
      </c>
      <c r="D70">
        <v>0</v>
      </c>
      <c r="E70">
        <v>0</v>
      </c>
      <c r="F70">
        <v>0</v>
      </c>
      <c r="H70">
        <v>0</v>
      </c>
      <c r="I70">
        <v>0</v>
      </c>
      <c r="J70">
        <v>0</v>
      </c>
      <c r="K70">
        <v>0</v>
      </c>
      <c r="P70" t="s">
        <v>702</v>
      </c>
      <c r="Q70" t="s">
        <v>702</v>
      </c>
      <c r="R70" t="s">
        <v>702</v>
      </c>
      <c r="S70" t="s">
        <v>702</v>
      </c>
    </row>
    <row r="71" spans="1:19" x14ac:dyDescent="0.25">
      <c r="A71">
        <v>1991</v>
      </c>
      <c r="B71">
        <v>1</v>
      </c>
      <c r="C71">
        <v>3.8686507860704119E-4</v>
      </c>
      <c r="D71">
        <v>0.12969660100722305</v>
      </c>
      <c r="E71">
        <v>2.4358617714588662</v>
      </c>
      <c r="F71">
        <v>7.1558249063752535E-2</v>
      </c>
      <c r="H71">
        <v>3.8679025596155547E-4</v>
      </c>
      <c r="I71">
        <v>0.12163811539128899</v>
      </c>
      <c r="J71">
        <v>2</v>
      </c>
      <c r="K71">
        <v>6.905795048728236E-2</v>
      </c>
      <c r="P71">
        <v>1.9339512798077774E-4</v>
      </c>
      <c r="Q71">
        <v>6.0819057695644496E-2</v>
      </c>
      <c r="R71">
        <v>1</v>
      </c>
      <c r="S71">
        <v>3.452897524364118E-2</v>
      </c>
    </row>
    <row r="72" spans="1:19" x14ac:dyDescent="0.25">
      <c r="A72">
        <v>1991</v>
      </c>
      <c r="B72">
        <v>2</v>
      </c>
      <c r="C72">
        <v>2.3466378233908687E-2</v>
      </c>
      <c r="D72">
        <v>0.41684177506259618</v>
      </c>
      <c r="E72">
        <v>1.2135490550157464</v>
      </c>
      <c r="F72">
        <v>0.15785747217282486</v>
      </c>
      <c r="H72">
        <v>2.3193183912965654E-2</v>
      </c>
      <c r="I72">
        <v>0.34087479826230083</v>
      </c>
      <c r="J72">
        <v>2</v>
      </c>
      <c r="K72">
        <v>0.14602851200431854</v>
      </c>
      <c r="P72">
        <v>1.1596591956482827E-2</v>
      </c>
      <c r="Q72">
        <v>0.17043739913115041</v>
      </c>
      <c r="R72">
        <v>1</v>
      </c>
      <c r="S72">
        <v>7.3014256002159272E-2</v>
      </c>
    </row>
    <row r="73" spans="1:19" x14ac:dyDescent="0.25">
      <c r="A73">
        <v>1991</v>
      </c>
      <c r="B73">
        <v>3</v>
      </c>
      <c r="C73">
        <v>4.7544200735690099E-3</v>
      </c>
      <c r="D73">
        <v>1.4197786055757618E-2</v>
      </c>
      <c r="E73">
        <v>4.0831448097554054E-3</v>
      </c>
      <c r="F73">
        <v>3.3014306199353055E-3</v>
      </c>
      <c r="H73">
        <v>4.7431357090705895E-3</v>
      </c>
      <c r="I73">
        <v>1.4097472794547095E-2</v>
      </c>
      <c r="J73">
        <v>4.0748201081616253E-3</v>
      </c>
      <c r="K73">
        <v>3.2959868902125988E-3</v>
      </c>
      <c r="P73">
        <v>1.1640110687513217</v>
      </c>
      <c r="Q73">
        <v>3.459655253568295</v>
      </c>
      <c r="R73">
        <v>1</v>
      </c>
      <c r="S73">
        <v>0.8088668463206341</v>
      </c>
    </row>
    <row r="74" spans="1:19" x14ac:dyDescent="0.25">
      <c r="A74">
        <v>1991</v>
      </c>
      <c r="B74">
        <v>4</v>
      </c>
      <c r="C74">
        <v>0</v>
      </c>
      <c r="D74">
        <v>0</v>
      </c>
      <c r="E74">
        <v>0</v>
      </c>
      <c r="F74">
        <v>0</v>
      </c>
      <c r="H74">
        <v>0</v>
      </c>
      <c r="I74">
        <v>0</v>
      </c>
      <c r="J74">
        <v>0</v>
      </c>
      <c r="K74">
        <v>0</v>
      </c>
      <c r="P74" t="s">
        <v>702</v>
      </c>
      <c r="Q74" t="s">
        <v>702</v>
      </c>
      <c r="R74" t="s">
        <v>702</v>
      </c>
      <c r="S74" t="s">
        <v>702</v>
      </c>
    </row>
    <row r="75" spans="1:19" x14ac:dyDescent="0.25">
      <c r="A75">
        <v>1992</v>
      </c>
      <c r="B75">
        <v>1</v>
      </c>
      <c r="C75">
        <v>1.8564640180277275E-4</v>
      </c>
      <c r="D75">
        <v>0.39343847517946345</v>
      </c>
      <c r="E75">
        <v>0.52282989768580723</v>
      </c>
      <c r="F75">
        <v>1.1378921468115646</v>
      </c>
      <c r="H75">
        <v>1.8562917057585171E-4</v>
      </c>
      <c r="I75">
        <v>0.32526717088391432</v>
      </c>
      <c r="J75">
        <v>0.40715950604099138</v>
      </c>
      <c r="K75">
        <v>2</v>
      </c>
      <c r="P75">
        <v>4.5591265295710234E-4</v>
      </c>
      <c r="Q75">
        <v>0.79886915584175888</v>
      </c>
      <c r="R75">
        <v>1</v>
      </c>
      <c r="S75">
        <v>4.9120798368358543</v>
      </c>
    </row>
    <row r="76" spans="1:19" x14ac:dyDescent="0.25">
      <c r="A76">
        <v>1992</v>
      </c>
      <c r="B76">
        <v>2</v>
      </c>
      <c r="C76">
        <v>3.3579391360261178E-3</v>
      </c>
      <c r="D76">
        <v>8.9416256101885458E-2</v>
      </c>
      <c r="E76">
        <v>0.10688199521252507</v>
      </c>
      <c r="F76">
        <v>0.20660753213560851</v>
      </c>
      <c r="H76">
        <v>3.3523075636614497E-3</v>
      </c>
      <c r="I76">
        <v>8.5535157231573233E-2</v>
      </c>
      <c r="J76">
        <v>0.10136829042232309</v>
      </c>
      <c r="K76">
        <v>0.18666120330337299</v>
      </c>
      <c r="P76">
        <v>3.3070574138075945E-2</v>
      </c>
      <c r="Q76">
        <v>0.8438058575834172</v>
      </c>
      <c r="R76">
        <v>1</v>
      </c>
      <c r="S76">
        <v>1.8414161127281563</v>
      </c>
    </row>
    <row r="77" spans="1:19" x14ac:dyDescent="0.25">
      <c r="A77">
        <v>1992</v>
      </c>
      <c r="B77">
        <v>3</v>
      </c>
      <c r="C77">
        <v>2.8044002708263491E-2</v>
      </c>
      <c r="D77">
        <v>0.18603628522199947</v>
      </c>
      <c r="E77">
        <v>0.45941807858544081</v>
      </c>
      <c r="F77">
        <v>0.16207712654879577</v>
      </c>
      <c r="H77">
        <v>2.7654419979002309E-2</v>
      </c>
      <c r="I77">
        <v>0.16975653113321187</v>
      </c>
      <c r="J77">
        <v>0.36834889011376648</v>
      </c>
      <c r="K77">
        <v>0.14962438452546523</v>
      </c>
      <c r="P77">
        <v>7.5076702336366749E-2</v>
      </c>
      <c r="Q77">
        <v>0.46085799547483824</v>
      </c>
      <c r="R77">
        <v>1</v>
      </c>
      <c r="S77">
        <v>0.40620289226133666</v>
      </c>
    </row>
    <row r="78" spans="1:19" x14ac:dyDescent="0.25">
      <c r="A78">
        <v>1992</v>
      </c>
      <c r="B78">
        <v>4</v>
      </c>
      <c r="C78">
        <v>0</v>
      </c>
      <c r="D78">
        <v>0</v>
      </c>
      <c r="E78">
        <v>0</v>
      </c>
      <c r="F78">
        <v>0</v>
      </c>
      <c r="H78">
        <v>0</v>
      </c>
      <c r="I78">
        <v>0</v>
      </c>
      <c r="J78">
        <v>0</v>
      </c>
      <c r="K78">
        <v>0</v>
      </c>
      <c r="P78" t="s">
        <v>702</v>
      </c>
      <c r="Q78" t="s">
        <v>702</v>
      </c>
      <c r="R78" t="s">
        <v>702</v>
      </c>
      <c r="S78" t="s">
        <v>702</v>
      </c>
    </row>
    <row r="79" spans="1:19" x14ac:dyDescent="0.25">
      <c r="A79">
        <v>1993</v>
      </c>
      <c r="B79">
        <v>1</v>
      </c>
      <c r="C79">
        <v>1.9690010882041651E-3</v>
      </c>
      <c r="D79">
        <v>0.11529121165836954</v>
      </c>
      <c r="E79">
        <v>1.1269961856795168</v>
      </c>
      <c r="F79">
        <v>0.756647097075552</v>
      </c>
      <c r="H79">
        <v>1.9670638772268934E-3</v>
      </c>
      <c r="I79">
        <v>0.10889339451400903</v>
      </c>
      <c r="J79">
        <v>2</v>
      </c>
      <c r="K79">
        <v>0.53076290117569513</v>
      </c>
      <c r="P79">
        <v>9.8353193861344668E-4</v>
      </c>
      <c r="Q79">
        <v>5.4446697257004517E-2</v>
      </c>
      <c r="R79">
        <v>1</v>
      </c>
      <c r="S79">
        <v>0.26538145058784757</v>
      </c>
    </row>
    <row r="80" spans="1:19" x14ac:dyDescent="0.25">
      <c r="A80">
        <v>1993</v>
      </c>
      <c r="B80">
        <v>2</v>
      </c>
      <c r="C80">
        <v>1.6285258134058872E-2</v>
      </c>
      <c r="D80">
        <v>0.40866453658171287</v>
      </c>
      <c r="E80">
        <v>0.72458325810916535</v>
      </c>
      <c r="F80">
        <v>0.23261234728686758</v>
      </c>
      <c r="H80">
        <v>1.6153370231213215E-2</v>
      </c>
      <c r="I80">
        <v>0.33546287717087619</v>
      </c>
      <c r="J80">
        <v>0.51547355064490541</v>
      </c>
      <c r="K80">
        <v>0.20753928646570896</v>
      </c>
      <c r="P80">
        <v>3.1336952615713932E-2</v>
      </c>
      <c r="Q80">
        <v>0.6507858196626789</v>
      </c>
      <c r="R80">
        <v>1</v>
      </c>
      <c r="S80">
        <v>0.40261869150426438</v>
      </c>
    </row>
    <row r="81" spans="1:19" x14ac:dyDescent="0.25">
      <c r="A81">
        <v>1993</v>
      </c>
      <c r="B81">
        <v>3</v>
      </c>
      <c r="C81">
        <v>2.8866311730660753E-2</v>
      </c>
      <c r="D81">
        <v>0.2684837028937711</v>
      </c>
      <c r="E81">
        <v>0.62826137321953168</v>
      </c>
      <c r="F81">
        <v>1.1660566518141311</v>
      </c>
      <c r="H81">
        <v>2.8453659866219838E-2</v>
      </c>
      <c r="I81">
        <v>0.2354621175365903</v>
      </c>
      <c r="J81">
        <v>0.46648141519270547</v>
      </c>
      <c r="K81">
        <v>2</v>
      </c>
      <c r="P81">
        <v>6.0996341846685377E-2</v>
      </c>
      <c r="Q81">
        <v>0.50476205453827117</v>
      </c>
      <c r="R81">
        <v>1</v>
      </c>
      <c r="S81">
        <v>4.2874162503854336</v>
      </c>
    </row>
    <row r="82" spans="1:19" x14ac:dyDescent="0.25">
      <c r="A82">
        <v>1993</v>
      </c>
      <c r="B82">
        <v>4</v>
      </c>
      <c r="C82">
        <v>0</v>
      </c>
      <c r="D82">
        <v>0</v>
      </c>
      <c r="E82">
        <v>0</v>
      </c>
      <c r="F82">
        <v>0</v>
      </c>
      <c r="H82">
        <v>0</v>
      </c>
      <c r="I82">
        <v>0</v>
      </c>
      <c r="J82">
        <v>0</v>
      </c>
      <c r="K82">
        <v>0</v>
      </c>
      <c r="P82" t="s">
        <v>702</v>
      </c>
      <c r="Q82" t="s">
        <v>702</v>
      </c>
      <c r="R82" t="s">
        <v>702</v>
      </c>
      <c r="S82" t="s">
        <v>702</v>
      </c>
    </row>
    <row r="83" spans="1:19" x14ac:dyDescent="0.25">
      <c r="A83">
        <v>1994</v>
      </c>
      <c r="B83">
        <v>1</v>
      </c>
      <c r="C83">
        <v>3.7750368750317886E-3</v>
      </c>
      <c r="D83">
        <v>1.0795033071325371</v>
      </c>
      <c r="E83">
        <v>0.14325182025548711</v>
      </c>
      <c r="F83">
        <v>0.3600334525856061</v>
      </c>
      <c r="H83">
        <v>3.7679203811532558E-3</v>
      </c>
      <c r="I83">
        <v>2</v>
      </c>
      <c r="J83">
        <v>0.13346416985596243</v>
      </c>
      <c r="K83">
        <v>0.30234701261562025</v>
      </c>
      <c r="P83">
        <v>2.8231699827898988E-2</v>
      </c>
      <c r="Q83">
        <v>14.985295320522695</v>
      </c>
      <c r="R83">
        <v>1</v>
      </c>
      <c r="S83">
        <v>2.2653796366614354</v>
      </c>
    </row>
    <row r="84" spans="1:19" x14ac:dyDescent="0.25">
      <c r="A84">
        <v>1994</v>
      </c>
      <c r="B84">
        <v>2</v>
      </c>
      <c r="C84">
        <v>2.4675533067536289E-2</v>
      </c>
      <c r="D84">
        <v>0.34633496486551973</v>
      </c>
      <c r="E84">
        <v>0.79092395881442035</v>
      </c>
      <c r="F84">
        <v>0.9698002988724358</v>
      </c>
      <c r="H84">
        <v>2.4373580811033135E-2</v>
      </c>
      <c r="I84">
        <v>0.29272446503105953</v>
      </c>
      <c r="J84">
        <v>0.54657434495264845</v>
      </c>
      <c r="K84">
        <v>0.62084125102693011</v>
      </c>
      <c r="P84">
        <v>4.4593349534443848E-2</v>
      </c>
      <c r="Q84">
        <v>0.53556202872350189</v>
      </c>
      <c r="R84">
        <v>1</v>
      </c>
      <c r="S84">
        <v>1.1358770435533627</v>
      </c>
    </row>
    <row r="85" spans="1:19" x14ac:dyDescent="0.25">
      <c r="A85">
        <v>1994</v>
      </c>
      <c r="B85">
        <v>3</v>
      </c>
      <c r="C85">
        <v>1.4980288492321201E-2</v>
      </c>
      <c r="D85">
        <v>0.21415635278930517</v>
      </c>
      <c r="E85">
        <v>0.62076562472280861</v>
      </c>
      <c r="F85">
        <v>0.32436159927202413</v>
      </c>
      <c r="H85">
        <v>1.4868642163994639E-2</v>
      </c>
      <c r="I85">
        <v>0.19277783628147427</v>
      </c>
      <c r="J85">
        <v>0.46246726834001306</v>
      </c>
      <c r="K85">
        <v>0.27701123710304898</v>
      </c>
      <c r="P85">
        <v>3.2150690831297887E-2</v>
      </c>
      <c r="Q85">
        <v>0.41684644401631693</v>
      </c>
      <c r="R85">
        <v>1</v>
      </c>
      <c r="S85">
        <v>0.59898560626216268</v>
      </c>
    </row>
    <row r="86" spans="1:19" x14ac:dyDescent="0.25">
      <c r="A86">
        <v>1994</v>
      </c>
      <c r="B86">
        <v>4</v>
      </c>
      <c r="C86">
        <v>0</v>
      </c>
      <c r="D86">
        <v>0</v>
      </c>
      <c r="E86">
        <v>0</v>
      </c>
      <c r="F86">
        <v>0</v>
      </c>
      <c r="H86">
        <v>0</v>
      </c>
      <c r="I86">
        <v>0</v>
      </c>
      <c r="J86">
        <v>0</v>
      </c>
      <c r="K86">
        <v>0</v>
      </c>
      <c r="P86" t="s">
        <v>702</v>
      </c>
      <c r="Q86" t="s">
        <v>702</v>
      </c>
      <c r="R86" t="s">
        <v>702</v>
      </c>
      <c r="S86" t="s">
        <v>702</v>
      </c>
    </row>
    <row r="87" spans="1:19" x14ac:dyDescent="0.25">
      <c r="A87">
        <v>1995</v>
      </c>
      <c r="B87">
        <v>1</v>
      </c>
      <c r="C87">
        <v>4.9483259941267019E-3</v>
      </c>
      <c r="D87">
        <v>0.74603233360572763</v>
      </c>
      <c r="E87">
        <v>0.39154252592176497</v>
      </c>
      <c r="F87">
        <v>0.66065119882853873</v>
      </c>
      <c r="H87">
        <v>4.9361031981584036E-3</v>
      </c>
      <c r="I87">
        <v>0.52575553135355291</v>
      </c>
      <c r="J87">
        <v>0.32398669820536286</v>
      </c>
      <c r="K87">
        <v>0.48348512892766815</v>
      </c>
      <c r="P87">
        <v>1.523551190681784E-2</v>
      </c>
      <c r="Q87">
        <v>1.6227688799133859</v>
      </c>
      <c r="R87">
        <v>1</v>
      </c>
      <c r="S87">
        <v>1.4922993184775917</v>
      </c>
    </row>
    <row r="88" spans="1:19" x14ac:dyDescent="0.25">
      <c r="A88">
        <v>1995</v>
      </c>
      <c r="B88">
        <v>2</v>
      </c>
      <c r="C88">
        <v>2.8017048003589052E-2</v>
      </c>
      <c r="D88">
        <v>0.57270844129097409</v>
      </c>
      <c r="E88">
        <v>0.89183901673249188</v>
      </c>
      <c r="F88">
        <v>2.1357282479745674</v>
      </c>
      <c r="H88">
        <v>2.7628210337816372E-2</v>
      </c>
      <c r="I88">
        <v>0.43600418137158936</v>
      </c>
      <c r="J88">
        <v>0.59009875605845163</v>
      </c>
      <c r="K88">
        <v>2</v>
      </c>
      <c r="P88">
        <v>4.6819638330299562E-2</v>
      </c>
      <c r="Q88">
        <v>0.73886646412181456</v>
      </c>
      <c r="R88">
        <v>1</v>
      </c>
      <c r="S88">
        <v>3.3892632029237695</v>
      </c>
    </row>
    <row r="89" spans="1:19" x14ac:dyDescent="0.25">
      <c r="A89">
        <v>1995</v>
      </c>
      <c r="B89">
        <v>3</v>
      </c>
      <c r="C89">
        <v>0.11433206980767274</v>
      </c>
      <c r="D89">
        <v>0.52559316575617587</v>
      </c>
      <c r="E89">
        <v>0.53583073006593163</v>
      </c>
      <c r="F89">
        <v>1.8570228299918878</v>
      </c>
      <c r="H89">
        <v>0.10803828685603922</v>
      </c>
      <c r="I89">
        <v>0.40879542197070262</v>
      </c>
      <c r="J89">
        <v>0.414817040910339</v>
      </c>
      <c r="K89">
        <v>2</v>
      </c>
      <c r="P89">
        <v>0.2604480438386601</v>
      </c>
      <c r="Q89">
        <v>0.98548367510066226</v>
      </c>
      <c r="R89">
        <v>1</v>
      </c>
      <c r="S89">
        <v>4.8214026974660662</v>
      </c>
    </row>
    <row r="90" spans="1:19" x14ac:dyDescent="0.25">
      <c r="A90">
        <v>1995</v>
      </c>
      <c r="B90">
        <v>4</v>
      </c>
      <c r="C90">
        <v>0</v>
      </c>
      <c r="D90">
        <v>0</v>
      </c>
      <c r="E90">
        <v>0</v>
      </c>
      <c r="F90">
        <v>0</v>
      </c>
      <c r="H90">
        <v>0</v>
      </c>
      <c r="I90">
        <v>0</v>
      </c>
      <c r="J90">
        <v>0</v>
      </c>
      <c r="K90">
        <v>0</v>
      </c>
      <c r="P90" t="s">
        <v>702</v>
      </c>
      <c r="Q90" t="s">
        <v>702</v>
      </c>
      <c r="R90" t="s">
        <v>702</v>
      </c>
      <c r="S90" t="s">
        <v>702</v>
      </c>
    </row>
    <row r="91" spans="1:19" x14ac:dyDescent="0.25">
      <c r="A91">
        <v>1996</v>
      </c>
      <c r="B91">
        <v>1</v>
      </c>
      <c r="C91">
        <v>4.7301136363636365E-3</v>
      </c>
      <c r="D91">
        <v>2.4059478680555055E-2</v>
      </c>
      <c r="E91">
        <v>0.16565012486990605</v>
      </c>
      <c r="F91">
        <v>0.51825261158594493</v>
      </c>
      <c r="H91">
        <v>4.7189442665928061E-3</v>
      </c>
      <c r="I91">
        <v>2.377235670107658E-2</v>
      </c>
      <c r="J91">
        <v>0.1526573535486021</v>
      </c>
      <c r="K91">
        <v>0.40443968553897081</v>
      </c>
      <c r="P91">
        <v>3.0912001006819616E-2</v>
      </c>
      <c r="Q91">
        <v>0.15572362646459795</v>
      </c>
      <c r="R91">
        <v>1</v>
      </c>
      <c r="S91">
        <v>2.6493298628435071</v>
      </c>
    </row>
    <row r="92" spans="1:19" x14ac:dyDescent="0.25">
      <c r="A92">
        <v>1996</v>
      </c>
      <c r="B92">
        <v>2</v>
      </c>
      <c r="C92">
        <v>2.7200175702811243E-2</v>
      </c>
      <c r="D92">
        <v>0.16388391340763855</v>
      </c>
      <c r="E92">
        <v>1.0434066375339555</v>
      </c>
      <c r="F92">
        <v>3.5578981891442361</v>
      </c>
      <c r="H92">
        <v>2.6833582246131416E-2</v>
      </c>
      <c r="I92">
        <v>0.15115944483159305</v>
      </c>
      <c r="J92">
        <v>2</v>
      </c>
      <c r="K92">
        <v>2</v>
      </c>
      <c r="P92">
        <v>1.3416791123065708E-2</v>
      </c>
      <c r="Q92">
        <v>7.5579722415796524E-2</v>
      </c>
      <c r="R92">
        <v>1</v>
      </c>
      <c r="S92">
        <v>1</v>
      </c>
    </row>
    <row r="93" spans="1:19" x14ac:dyDescent="0.25">
      <c r="A93">
        <v>1996</v>
      </c>
      <c r="B93">
        <v>3</v>
      </c>
      <c r="C93">
        <v>6.2579763126549753E-2</v>
      </c>
      <c r="D93">
        <v>0.10439871183412343</v>
      </c>
      <c r="E93">
        <v>0.15325763555771449</v>
      </c>
      <c r="F93">
        <v>0.57226368446590725</v>
      </c>
      <c r="H93">
        <v>6.0661864721268999E-2</v>
      </c>
      <c r="I93">
        <v>9.9133960145207589E-2</v>
      </c>
      <c r="J93">
        <v>0.14209133444087829</v>
      </c>
      <c r="K93">
        <v>0.43575328459205342</v>
      </c>
      <c r="P93">
        <v>0.42692163431338126</v>
      </c>
      <c r="Q93">
        <v>0.69767773337687589</v>
      </c>
      <c r="R93">
        <v>1</v>
      </c>
      <c r="S93">
        <v>3.0667125923387166</v>
      </c>
    </row>
    <row r="94" spans="1:19" x14ac:dyDescent="0.25">
      <c r="A94">
        <v>1996</v>
      </c>
      <c r="B94">
        <v>4</v>
      </c>
      <c r="C94">
        <v>0</v>
      </c>
      <c r="D94">
        <v>0</v>
      </c>
      <c r="E94">
        <v>0</v>
      </c>
      <c r="F94">
        <v>0</v>
      </c>
      <c r="H94">
        <v>0</v>
      </c>
      <c r="I94">
        <v>0</v>
      </c>
      <c r="J94">
        <v>0</v>
      </c>
      <c r="K94">
        <v>0</v>
      </c>
      <c r="P94" t="s">
        <v>702</v>
      </c>
      <c r="Q94" t="s">
        <v>702</v>
      </c>
      <c r="R94" t="s">
        <v>702</v>
      </c>
      <c r="S94" t="s">
        <v>702</v>
      </c>
    </row>
    <row r="95" spans="1:19" x14ac:dyDescent="0.25">
      <c r="A95">
        <v>1997</v>
      </c>
      <c r="B95">
        <v>1</v>
      </c>
      <c r="C95">
        <v>1.1904366226831079E-4</v>
      </c>
      <c r="D95">
        <v>0.13714216312503374</v>
      </c>
      <c r="E95">
        <v>7.7377898123515018E-2</v>
      </c>
      <c r="F95">
        <v>0.43476080031896147</v>
      </c>
      <c r="H95">
        <v>1.1903657685274904E-4</v>
      </c>
      <c r="I95">
        <v>0.12815372706917794</v>
      </c>
      <c r="J95">
        <v>7.4459972328318802E-2</v>
      </c>
      <c r="K95">
        <v>0.35258048890147098</v>
      </c>
      <c r="P95">
        <v>1.5986653383092482E-3</v>
      </c>
      <c r="Q95">
        <v>1.7211089805957152</v>
      </c>
      <c r="R95">
        <v>1</v>
      </c>
      <c r="S95">
        <v>4.7351681430504193</v>
      </c>
    </row>
    <row r="96" spans="1:19" x14ac:dyDescent="0.25">
      <c r="A96">
        <v>1997</v>
      </c>
      <c r="B96">
        <v>2</v>
      </c>
      <c r="C96">
        <v>4.1995045015777418E-3</v>
      </c>
      <c r="D96">
        <v>0.47888302230512436</v>
      </c>
      <c r="E96">
        <v>1.2656441112877062</v>
      </c>
      <c r="F96">
        <v>1.1072666430015834</v>
      </c>
      <c r="H96">
        <v>4.1906989132302064E-3</v>
      </c>
      <c r="I96">
        <v>0.38052505479429188</v>
      </c>
      <c r="J96">
        <v>2</v>
      </c>
      <c r="K96">
        <v>2</v>
      </c>
      <c r="P96">
        <v>2.0953494566151032E-3</v>
      </c>
      <c r="Q96">
        <v>0.19026252739714594</v>
      </c>
      <c r="R96">
        <v>1</v>
      </c>
      <c r="S96">
        <v>1</v>
      </c>
    </row>
    <row r="97" spans="1:19" x14ac:dyDescent="0.25">
      <c r="A97">
        <v>1997</v>
      </c>
      <c r="B97">
        <v>3</v>
      </c>
      <c r="C97">
        <v>2.4770480974162751E-2</v>
      </c>
      <c r="D97">
        <v>0.12234022894274416</v>
      </c>
      <c r="E97">
        <v>0.47362587667591155</v>
      </c>
      <c r="F97">
        <v>0.41380992072640854</v>
      </c>
      <c r="H97">
        <v>2.4466210099636454E-2</v>
      </c>
      <c r="I97">
        <v>0.11515273336627052</v>
      </c>
      <c r="J97">
        <v>0.377259809378651</v>
      </c>
      <c r="K97">
        <v>0.33887339421164586</v>
      </c>
      <c r="P97">
        <v>6.4852416004589616E-2</v>
      </c>
      <c r="Q97">
        <v>0.30523456382997094</v>
      </c>
      <c r="R97">
        <v>1</v>
      </c>
      <c r="S97">
        <v>0.89824939149964644</v>
      </c>
    </row>
    <row r="98" spans="1:19" x14ac:dyDescent="0.25">
      <c r="A98">
        <v>1997</v>
      </c>
      <c r="B98">
        <v>4</v>
      </c>
      <c r="C98">
        <v>0</v>
      </c>
      <c r="D98">
        <v>0</v>
      </c>
      <c r="E98">
        <v>0</v>
      </c>
      <c r="F98">
        <v>0</v>
      </c>
      <c r="H98">
        <v>0</v>
      </c>
      <c r="I98">
        <v>0</v>
      </c>
      <c r="J98">
        <v>0</v>
      </c>
      <c r="K98">
        <v>0</v>
      </c>
      <c r="P98" t="s">
        <v>702</v>
      </c>
      <c r="Q98" t="s">
        <v>702</v>
      </c>
      <c r="R98" t="s">
        <v>702</v>
      </c>
      <c r="S98" t="s">
        <v>702</v>
      </c>
    </row>
    <row r="99" spans="1:19" x14ac:dyDescent="0.25">
      <c r="A99">
        <v>1998</v>
      </c>
      <c r="B99">
        <v>1</v>
      </c>
      <c r="C99">
        <v>7.3583841697852056E-4</v>
      </c>
      <c r="D99">
        <v>0.23655636824201109</v>
      </c>
      <c r="E99">
        <v>0.40746293415713958</v>
      </c>
      <c r="F99">
        <v>0.87764784021633413</v>
      </c>
      <c r="H99">
        <v>7.3556775428262888E-4</v>
      </c>
      <c r="I99">
        <v>0.21065861273841946</v>
      </c>
      <c r="J99">
        <v>0.33466388781522727</v>
      </c>
      <c r="K99">
        <v>0.58424030430892793</v>
      </c>
      <c r="P99">
        <v>2.1979298665434329E-3</v>
      </c>
      <c r="Q99">
        <v>0.62946323283833694</v>
      </c>
      <c r="R99">
        <v>1</v>
      </c>
      <c r="S99">
        <v>1.7457524566603235</v>
      </c>
    </row>
    <row r="100" spans="1:19" x14ac:dyDescent="0.25">
      <c r="A100">
        <v>1998</v>
      </c>
      <c r="B100">
        <v>2</v>
      </c>
      <c r="C100">
        <v>7.068419970437731E-2</v>
      </c>
      <c r="D100">
        <v>0.37851428181860791</v>
      </c>
      <c r="E100">
        <v>0.99789951199395144</v>
      </c>
      <c r="F100">
        <v>2.5857636193704754</v>
      </c>
      <c r="H100">
        <v>6.8243905479356437E-2</v>
      </c>
      <c r="I100">
        <v>0.31512181032084519</v>
      </c>
      <c r="J100">
        <v>0.6313470203549697</v>
      </c>
      <c r="K100">
        <v>2</v>
      </c>
      <c r="P100">
        <v>0.10809254384535918</v>
      </c>
      <c r="Q100">
        <v>0.49912615433532975</v>
      </c>
      <c r="R100">
        <v>1</v>
      </c>
      <c r="S100">
        <v>3.1678299501208009</v>
      </c>
    </row>
    <row r="101" spans="1:19" x14ac:dyDescent="0.25">
      <c r="A101">
        <v>1998</v>
      </c>
      <c r="B101">
        <v>3</v>
      </c>
      <c r="C101">
        <v>3.1712410758790679E-2</v>
      </c>
      <c r="D101">
        <v>0.28011653779048235</v>
      </c>
      <c r="E101">
        <v>1.185553203752767</v>
      </c>
      <c r="F101">
        <v>7.0535677775506027</v>
      </c>
      <c r="H101">
        <v>3.1214845792502555E-2</v>
      </c>
      <c r="I101">
        <v>0.24430433077961478</v>
      </c>
      <c r="J101">
        <v>2</v>
      </c>
      <c r="K101">
        <v>2</v>
      </c>
      <c r="P101">
        <v>1.5607422896251277E-2</v>
      </c>
      <c r="Q101">
        <v>0.12215216538980739</v>
      </c>
      <c r="R101">
        <v>1</v>
      </c>
      <c r="S101">
        <v>1</v>
      </c>
    </row>
    <row r="102" spans="1:19" x14ac:dyDescent="0.25">
      <c r="A102">
        <v>1998</v>
      </c>
      <c r="B102">
        <v>4</v>
      </c>
      <c r="C102">
        <v>0</v>
      </c>
      <c r="D102">
        <v>0</v>
      </c>
      <c r="E102">
        <v>0</v>
      </c>
      <c r="F102">
        <v>0</v>
      </c>
      <c r="H102">
        <v>0</v>
      </c>
      <c r="I102">
        <v>0</v>
      </c>
      <c r="J102">
        <v>0</v>
      </c>
      <c r="K102">
        <v>0</v>
      </c>
      <c r="P102" t="s">
        <v>702</v>
      </c>
      <c r="Q102" t="s">
        <v>702</v>
      </c>
      <c r="R102" t="s">
        <v>702</v>
      </c>
      <c r="S102" t="s">
        <v>702</v>
      </c>
    </row>
    <row r="103" spans="1:19" x14ac:dyDescent="0.25">
      <c r="A103">
        <v>1999</v>
      </c>
      <c r="B103">
        <v>1</v>
      </c>
      <c r="C103">
        <v>1.114092464305417E-5</v>
      </c>
      <c r="D103">
        <v>0.52006107906345433</v>
      </c>
      <c r="E103">
        <v>0.21926064950142482</v>
      </c>
      <c r="F103">
        <v>0.30553115606502673</v>
      </c>
      <c r="H103">
        <v>1.1140862583136624E-5</v>
      </c>
      <c r="I103">
        <v>0.40551576367912801</v>
      </c>
      <c r="J103">
        <v>0.19688763996596392</v>
      </c>
      <c r="K103">
        <v>0.26326804919664426</v>
      </c>
      <c r="P103">
        <v>5.6584875439933916E-5</v>
      </c>
      <c r="Q103">
        <v>2.0596303747113316</v>
      </c>
      <c r="R103">
        <v>1</v>
      </c>
      <c r="S103">
        <v>1.3371486866425721</v>
      </c>
    </row>
    <row r="104" spans="1:19" x14ac:dyDescent="0.25">
      <c r="A104">
        <v>1999</v>
      </c>
      <c r="B104">
        <v>2</v>
      </c>
      <c r="C104">
        <v>1.8251057088843833E-3</v>
      </c>
      <c r="D104">
        <v>0.14152230532538923</v>
      </c>
      <c r="E104">
        <v>0.22455737011785845</v>
      </c>
      <c r="F104">
        <v>0.36618452969185161</v>
      </c>
      <c r="H104">
        <v>1.8234412162391189E-3</v>
      </c>
      <c r="I104">
        <v>0.13196418645231645</v>
      </c>
      <c r="J104">
        <v>0.20113025586614985</v>
      </c>
      <c r="K104">
        <v>0.30662515884187214</v>
      </c>
      <c r="P104">
        <v>9.065971742474194E-3</v>
      </c>
      <c r="Q104">
        <v>0.65611305412019794</v>
      </c>
      <c r="R104">
        <v>1</v>
      </c>
      <c r="S104">
        <v>1.5245103603205679</v>
      </c>
    </row>
    <row r="105" spans="1:19" x14ac:dyDescent="0.25">
      <c r="A105">
        <v>1999</v>
      </c>
      <c r="B105">
        <v>3</v>
      </c>
      <c r="C105">
        <v>5.6072184960421413E-2</v>
      </c>
      <c r="D105">
        <v>0.2914073339940535</v>
      </c>
      <c r="E105">
        <v>1.2088746996948863</v>
      </c>
      <c r="F105">
        <v>3.2709871137245088</v>
      </c>
      <c r="H105">
        <v>5.4529115351318658E-2</v>
      </c>
      <c r="I105">
        <v>0.25278874852280508</v>
      </c>
      <c r="J105">
        <v>2</v>
      </c>
      <c r="K105">
        <v>2</v>
      </c>
      <c r="P105">
        <v>2.7264557675659329E-2</v>
      </c>
      <c r="Q105">
        <v>0.12639437426140254</v>
      </c>
      <c r="R105">
        <v>1</v>
      </c>
      <c r="S105">
        <v>1</v>
      </c>
    </row>
    <row r="106" spans="1:19" x14ac:dyDescent="0.25">
      <c r="A106">
        <v>1999</v>
      </c>
      <c r="B106">
        <v>4</v>
      </c>
      <c r="C106">
        <v>0</v>
      </c>
      <c r="D106">
        <v>0</v>
      </c>
      <c r="E106">
        <v>0</v>
      </c>
      <c r="F106">
        <v>0</v>
      </c>
      <c r="H106">
        <v>0</v>
      </c>
      <c r="I106">
        <v>0</v>
      </c>
      <c r="J106">
        <v>0</v>
      </c>
      <c r="K106">
        <v>0</v>
      </c>
      <c r="P106" t="s">
        <v>702</v>
      </c>
      <c r="Q106" t="s">
        <v>702</v>
      </c>
      <c r="R106" t="s">
        <v>702</v>
      </c>
      <c r="S106" t="s">
        <v>702</v>
      </c>
    </row>
    <row r="107" spans="1:19" x14ac:dyDescent="0.25">
      <c r="A107">
        <v>2000</v>
      </c>
      <c r="B107">
        <v>1</v>
      </c>
      <c r="C107">
        <v>8.7339057637192896E-5</v>
      </c>
      <c r="D107">
        <v>0.47225732473052107</v>
      </c>
      <c r="E107">
        <v>0.26816994078961343</v>
      </c>
      <c r="F107">
        <v>0.2143684289324049</v>
      </c>
      <c r="H107">
        <v>8.7335243692754361E-5</v>
      </c>
      <c r="I107">
        <v>0.37640697363740572</v>
      </c>
      <c r="J107">
        <v>0.23522219688484436</v>
      </c>
      <c r="K107">
        <v>0.19294901069293424</v>
      </c>
      <c r="P107">
        <v>3.7128827487105864E-4</v>
      </c>
      <c r="Q107">
        <v>1.6002187660107601</v>
      </c>
      <c r="R107">
        <v>1</v>
      </c>
      <c r="S107">
        <v>0.82028402611763118</v>
      </c>
    </row>
    <row r="108" spans="1:19" x14ac:dyDescent="0.25">
      <c r="A108">
        <v>2000</v>
      </c>
      <c r="B108">
        <v>2</v>
      </c>
      <c r="C108">
        <v>1.7362162162162162E-3</v>
      </c>
      <c r="D108">
        <v>7.8736772811680206E-2</v>
      </c>
      <c r="E108">
        <v>0.14068820804895613</v>
      </c>
      <c r="F108">
        <v>0.34347577326338863</v>
      </c>
      <c r="H108">
        <v>1.7347098647515491E-3</v>
      </c>
      <c r="I108">
        <v>7.571681110820272E-2</v>
      </c>
      <c r="J108">
        <v>0.13123985810623362</v>
      </c>
      <c r="K108">
        <v>0.29069933502334355</v>
      </c>
      <c r="P108">
        <v>1.3217858429467122E-2</v>
      </c>
      <c r="Q108">
        <v>0.57693457003674042</v>
      </c>
      <c r="R108">
        <v>1</v>
      </c>
      <c r="S108">
        <v>2.2150232346947041</v>
      </c>
    </row>
    <row r="109" spans="1:19" x14ac:dyDescent="0.25">
      <c r="A109">
        <v>2000</v>
      </c>
      <c r="B109">
        <v>3</v>
      </c>
      <c r="C109">
        <v>3.3408677110318197E-2</v>
      </c>
      <c r="D109">
        <v>0.48276660876743427</v>
      </c>
      <c r="E109">
        <v>1.5434947811917898</v>
      </c>
      <c r="F109">
        <v>4.1763647554566541</v>
      </c>
      <c r="H109">
        <v>3.2856770486943465E-2</v>
      </c>
      <c r="I109">
        <v>0.38292617381072525</v>
      </c>
      <c r="J109">
        <v>2</v>
      </c>
      <c r="K109">
        <v>2</v>
      </c>
      <c r="P109">
        <v>1.6428385243471733E-2</v>
      </c>
      <c r="Q109">
        <v>0.19146308690536262</v>
      </c>
      <c r="R109">
        <v>1</v>
      </c>
      <c r="S109">
        <v>1</v>
      </c>
    </row>
    <row r="110" spans="1:19" x14ac:dyDescent="0.25">
      <c r="A110">
        <v>2000</v>
      </c>
      <c r="B110">
        <v>4</v>
      </c>
      <c r="C110">
        <v>0</v>
      </c>
      <c r="D110">
        <v>0</v>
      </c>
      <c r="E110">
        <v>0</v>
      </c>
      <c r="F110">
        <v>0</v>
      </c>
      <c r="H110">
        <v>0</v>
      </c>
      <c r="I110">
        <v>0</v>
      </c>
      <c r="J110">
        <v>0</v>
      </c>
      <c r="K110">
        <v>0</v>
      </c>
      <c r="P110" t="s">
        <v>702</v>
      </c>
      <c r="Q110" t="s">
        <v>702</v>
      </c>
      <c r="R110" t="s">
        <v>702</v>
      </c>
      <c r="S110" t="s">
        <v>702</v>
      </c>
    </row>
    <row r="111" spans="1:19" x14ac:dyDescent="0.25">
      <c r="A111">
        <v>2001</v>
      </c>
      <c r="B111">
        <v>1</v>
      </c>
      <c r="C111">
        <v>2.1717325455479982E-4</v>
      </c>
      <c r="D111">
        <v>0.28620192236121933</v>
      </c>
      <c r="E111">
        <v>9.4834944220042322E-2</v>
      </c>
      <c r="F111">
        <v>1.6610140950884155E-2</v>
      </c>
      <c r="H111">
        <v>2.1714967415054076E-4</v>
      </c>
      <c r="I111">
        <v>0.24888906545997247</v>
      </c>
      <c r="J111">
        <v>9.0476955884905896E-2</v>
      </c>
      <c r="K111">
        <v>1.6472953179301308E-2</v>
      </c>
      <c r="P111">
        <v>2.4000550419354619E-3</v>
      </c>
      <c r="Q111">
        <v>2.7508558729206114</v>
      </c>
      <c r="R111">
        <v>1</v>
      </c>
      <c r="S111">
        <v>0.18206794225323247</v>
      </c>
    </row>
    <row r="112" spans="1:19" x14ac:dyDescent="0.25">
      <c r="A112">
        <v>2001</v>
      </c>
      <c r="B112">
        <v>2</v>
      </c>
      <c r="C112">
        <v>1.3590573457855328E-2</v>
      </c>
      <c r="D112">
        <v>0.39838880872262505</v>
      </c>
      <c r="E112">
        <v>1.0985835734766767</v>
      </c>
      <c r="F112">
        <v>2.3865185752585218</v>
      </c>
      <c r="H112">
        <v>1.3498638568280596E-2</v>
      </c>
      <c r="I112">
        <v>0.32859906963125951</v>
      </c>
      <c r="J112">
        <v>2</v>
      </c>
      <c r="K112">
        <v>2</v>
      </c>
      <c r="P112">
        <v>6.7493192841402982E-3</v>
      </c>
      <c r="Q112">
        <v>0.16429953481562976</v>
      </c>
      <c r="R112">
        <v>1</v>
      </c>
      <c r="S112">
        <v>1</v>
      </c>
    </row>
    <row r="113" spans="1:19" x14ac:dyDescent="0.25">
      <c r="A113">
        <v>2001</v>
      </c>
      <c r="B113">
        <v>3</v>
      </c>
      <c r="C113">
        <v>5.0130042202375111E-3</v>
      </c>
      <c r="D113">
        <v>9.4187393912763068E-2</v>
      </c>
      <c r="E113">
        <v>0.13805517212676965</v>
      </c>
      <c r="F113">
        <v>0.22022715336134455</v>
      </c>
      <c r="H113">
        <v>5.0004600846034197E-3</v>
      </c>
      <c r="I113">
        <v>8.9887803225805918E-2</v>
      </c>
      <c r="J113">
        <v>0.12894936729587958</v>
      </c>
      <c r="K113">
        <v>0.19766347617714541</v>
      </c>
      <c r="P113">
        <v>3.8778477083409493E-2</v>
      </c>
      <c r="Q113">
        <v>0.69707828049714027</v>
      </c>
      <c r="R113">
        <v>1</v>
      </c>
      <c r="S113">
        <v>1.5328766656419377</v>
      </c>
    </row>
    <row r="114" spans="1:19" x14ac:dyDescent="0.25">
      <c r="A114">
        <v>2001</v>
      </c>
      <c r="B114">
        <v>4</v>
      </c>
      <c r="C114">
        <v>0</v>
      </c>
      <c r="D114">
        <v>0</v>
      </c>
      <c r="E114">
        <v>0</v>
      </c>
      <c r="F114">
        <v>0</v>
      </c>
      <c r="H114">
        <v>0</v>
      </c>
      <c r="I114">
        <v>0</v>
      </c>
      <c r="J114">
        <v>0</v>
      </c>
      <c r="K114">
        <v>0</v>
      </c>
      <c r="P114" t="s">
        <v>702</v>
      </c>
      <c r="Q114" t="s">
        <v>702</v>
      </c>
      <c r="R114" t="s">
        <v>702</v>
      </c>
      <c r="S114" t="s">
        <v>702</v>
      </c>
    </row>
    <row r="115" spans="1:19" x14ac:dyDescent="0.25">
      <c r="A115">
        <v>2002</v>
      </c>
      <c r="B115">
        <v>1</v>
      </c>
      <c r="C115">
        <v>8.1127619671426488E-4</v>
      </c>
      <c r="D115">
        <v>0.38330483667281606</v>
      </c>
      <c r="E115">
        <v>0.18901407376087639</v>
      </c>
      <c r="F115">
        <v>0.43855776603042651</v>
      </c>
      <c r="H115">
        <v>8.1094720115537644E-4</v>
      </c>
      <c r="I115">
        <v>0.31839491061406233</v>
      </c>
      <c r="J115">
        <v>0.17222514329263849</v>
      </c>
      <c r="K115">
        <v>0.35503405758022644</v>
      </c>
      <c r="P115">
        <v>4.7086458205318222E-3</v>
      </c>
      <c r="Q115">
        <v>1.8487132861492683</v>
      </c>
      <c r="R115">
        <v>1</v>
      </c>
      <c r="S115">
        <v>2.0614531118546719</v>
      </c>
    </row>
    <row r="116" spans="1:19" x14ac:dyDescent="0.25">
      <c r="A116">
        <v>2002</v>
      </c>
      <c r="B116">
        <v>2</v>
      </c>
      <c r="C116">
        <v>1.7764865455130636E-2</v>
      </c>
      <c r="D116">
        <v>0.53575271713220429</v>
      </c>
      <c r="E116">
        <v>0.54009648428253076</v>
      </c>
      <c r="F116">
        <v>0.55072734228475984</v>
      </c>
      <c r="H116">
        <v>1.7608000501254661E-2</v>
      </c>
      <c r="I116">
        <v>0.41477138729016982</v>
      </c>
      <c r="J116">
        <v>0.41730797096065908</v>
      </c>
      <c r="K116">
        <v>0.42346967703882488</v>
      </c>
      <c r="P116">
        <v>4.2194258740661877E-2</v>
      </c>
      <c r="Q116">
        <v>0.99392155471018218</v>
      </c>
      <c r="R116">
        <v>1</v>
      </c>
      <c r="S116">
        <v>1.0147653687610647</v>
      </c>
    </row>
    <row r="117" spans="1:19" x14ac:dyDescent="0.25">
      <c r="A117">
        <v>2002</v>
      </c>
      <c r="B117">
        <v>3</v>
      </c>
      <c r="C117">
        <v>3.2850091798670655E-2</v>
      </c>
      <c r="D117">
        <v>0.2734641706327578</v>
      </c>
      <c r="E117">
        <v>0.87678886782311838</v>
      </c>
      <c r="F117">
        <v>2.3893979057591621</v>
      </c>
      <c r="H117">
        <v>3.2316387573749883E-2</v>
      </c>
      <c r="I117">
        <v>0.2392604073141853</v>
      </c>
      <c r="J117">
        <v>0.58388302478346077</v>
      </c>
      <c r="K117">
        <v>2</v>
      </c>
      <c r="P117">
        <v>5.5347366171049003E-2</v>
      </c>
      <c r="Q117">
        <v>0.40977455613291303</v>
      </c>
      <c r="R117">
        <v>1</v>
      </c>
      <c r="S117">
        <v>3.4253436306728071</v>
      </c>
    </row>
    <row r="118" spans="1:19" x14ac:dyDescent="0.25">
      <c r="A118">
        <v>2002</v>
      </c>
      <c r="B118">
        <v>4</v>
      </c>
      <c r="C118">
        <v>0</v>
      </c>
      <c r="D118">
        <v>0</v>
      </c>
      <c r="E118">
        <v>0</v>
      </c>
      <c r="F118">
        <v>0</v>
      </c>
      <c r="H118">
        <v>0</v>
      </c>
      <c r="I118">
        <v>0</v>
      </c>
      <c r="J118">
        <v>0</v>
      </c>
      <c r="K118">
        <v>0</v>
      </c>
      <c r="P118" t="s">
        <v>702</v>
      </c>
      <c r="Q118" t="s">
        <v>702</v>
      </c>
      <c r="R118" t="s">
        <v>702</v>
      </c>
      <c r="S118" t="s">
        <v>702</v>
      </c>
    </row>
    <row r="119" spans="1:19" x14ac:dyDescent="0.25">
      <c r="A119">
        <v>2003</v>
      </c>
      <c r="B119">
        <v>1</v>
      </c>
      <c r="C119">
        <v>1.8407111789961908E-3</v>
      </c>
      <c r="D119">
        <v>0.18195981110035409</v>
      </c>
      <c r="E119">
        <v>0.24045381006309657</v>
      </c>
      <c r="F119">
        <v>0.37086986573492037</v>
      </c>
      <c r="H119">
        <v>1.8390181091507696E-3</v>
      </c>
      <c r="I119">
        <v>0.16636515739044633</v>
      </c>
      <c r="J119">
        <v>0.21372903758448603</v>
      </c>
      <c r="K119">
        <v>0.30986625423682823</v>
      </c>
      <c r="P119">
        <v>8.6044373283804022E-3</v>
      </c>
      <c r="Q119">
        <v>0.77839286262019036</v>
      </c>
      <c r="R119">
        <v>1</v>
      </c>
      <c r="S119">
        <v>1.4498088689251671</v>
      </c>
    </row>
    <row r="120" spans="1:19" x14ac:dyDescent="0.25">
      <c r="A120">
        <v>2003</v>
      </c>
      <c r="B120">
        <v>2</v>
      </c>
      <c r="C120">
        <v>3.8274978908867066E-2</v>
      </c>
      <c r="D120">
        <v>0.59809355669651465</v>
      </c>
      <c r="E120">
        <v>1.0071253869549914</v>
      </c>
      <c r="F120">
        <v>2.435108375702435</v>
      </c>
      <c r="H120">
        <v>3.7551748469175306E-2</v>
      </c>
      <c r="I120">
        <v>0.45014108766827821</v>
      </c>
      <c r="J120">
        <v>2</v>
      </c>
      <c r="K120">
        <v>2</v>
      </c>
      <c r="P120">
        <v>1.8775874234587653E-2</v>
      </c>
      <c r="Q120">
        <v>0.2250705438341391</v>
      </c>
      <c r="R120">
        <v>1</v>
      </c>
      <c r="S120">
        <v>1</v>
      </c>
    </row>
    <row r="121" spans="1:19" x14ac:dyDescent="0.25">
      <c r="A121">
        <v>2003</v>
      </c>
      <c r="B121">
        <v>3</v>
      </c>
      <c r="C121">
        <v>1.3782176266326055E-2</v>
      </c>
      <c r="D121">
        <v>5.9293757509614542E-3</v>
      </c>
      <c r="E121">
        <v>7.6464953349033471E-2</v>
      </c>
      <c r="F121">
        <v>0.89534489768261283</v>
      </c>
      <c r="H121">
        <v>1.3687636892808053E-2</v>
      </c>
      <c r="I121">
        <v>5.9118316947904814E-3</v>
      </c>
      <c r="J121">
        <v>7.3614619575007589E-2</v>
      </c>
      <c r="K121">
        <v>0.59153330487297628</v>
      </c>
      <c r="P121">
        <v>0.18593639377381299</v>
      </c>
      <c r="Q121">
        <v>8.0307848208965929E-2</v>
      </c>
      <c r="R121">
        <v>1</v>
      </c>
      <c r="S121">
        <v>8.0355411504945664</v>
      </c>
    </row>
    <row r="122" spans="1:19" x14ac:dyDescent="0.25">
      <c r="A122">
        <v>2003</v>
      </c>
      <c r="B122">
        <v>4</v>
      </c>
      <c r="C122">
        <v>0</v>
      </c>
      <c r="D122">
        <v>0</v>
      </c>
      <c r="E122">
        <v>0</v>
      </c>
      <c r="F122">
        <v>0</v>
      </c>
      <c r="H122">
        <v>0</v>
      </c>
      <c r="I122">
        <v>0</v>
      </c>
      <c r="J122">
        <v>0</v>
      </c>
      <c r="K122">
        <v>0</v>
      </c>
      <c r="P122" t="s">
        <v>702</v>
      </c>
      <c r="Q122" t="s">
        <v>702</v>
      </c>
      <c r="R122" t="s">
        <v>702</v>
      </c>
      <c r="S122" t="s">
        <v>702</v>
      </c>
    </row>
    <row r="123" spans="1:19" x14ac:dyDescent="0.25">
      <c r="A123">
        <v>2004</v>
      </c>
      <c r="B123">
        <v>1</v>
      </c>
      <c r="C123">
        <v>1.2766695431895999E-3</v>
      </c>
      <c r="D123">
        <v>0.1419395997549795</v>
      </c>
      <c r="E123">
        <v>0.19869348508101206</v>
      </c>
      <c r="F123">
        <v>0.3749904961034024</v>
      </c>
      <c r="H123">
        <v>1.2758549473218528E-3</v>
      </c>
      <c r="I123">
        <v>0.13232633739495392</v>
      </c>
      <c r="J123">
        <v>0.18019886389505091</v>
      </c>
      <c r="K123">
        <v>0.31270418925175003</v>
      </c>
      <c r="P123">
        <v>7.080260772703427E-3</v>
      </c>
      <c r="Q123">
        <v>0.73433502595233735</v>
      </c>
      <c r="R123">
        <v>1</v>
      </c>
      <c r="S123">
        <v>1.7353283061422138</v>
      </c>
    </row>
    <row r="124" spans="1:19" x14ac:dyDescent="0.25">
      <c r="A124">
        <v>2004</v>
      </c>
      <c r="B124">
        <v>2</v>
      </c>
      <c r="C124">
        <v>0.2048777099627522</v>
      </c>
      <c r="D124">
        <v>0.36609995748134977</v>
      </c>
      <c r="E124">
        <v>0.20467534277330898</v>
      </c>
      <c r="F124">
        <v>0.65574675962293794</v>
      </c>
      <c r="H124">
        <v>0.18525305424620386</v>
      </c>
      <c r="I124">
        <v>0.30656651611911168</v>
      </c>
      <c r="J124">
        <v>0.18508815951260504</v>
      </c>
      <c r="K124">
        <v>0.48094569097437656</v>
      </c>
      <c r="P124">
        <v>1.0008908983374898</v>
      </c>
      <c r="Q124">
        <v>1.6563270007460071</v>
      </c>
      <c r="R124">
        <v>1</v>
      </c>
      <c r="S124">
        <v>2.5984681691192826</v>
      </c>
    </row>
    <row r="125" spans="1:19" x14ac:dyDescent="0.25">
      <c r="A125">
        <v>2004</v>
      </c>
      <c r="B125">
        <v>3</v>
      </c>
      <c r="C125">
        <v>5.971789444859632E-2</v>
      </c>
      <c r="D125">
        <v>4.6590227558663357E-2</v>
      </c>
      <c r="E125">
        <v>0.14697412096857426</v>
      </c>
      <c r="F125">
        <v>0.9166083099906629</v>
      </c>
      <c r="H125">
        <v>5.7969751934709213E-2</v>
      </c>
      <c r="I125">
        <v>4.5521563574472346E-2</v>
      </c>
      <c r="J125">
        <v>0.13668368108262241</v>
      </c>
      <c r="K125">
        <v>0.60012701107756627</v>
      </c>
      <c r="P125">
        <v>0.42411611595145521</v>
      </c>
      <c r="Q125">
        <v>0.333043149071728</v>
      </c>
      <c r="R125">
        <v>1</v>
      </c>
      <c r="S125">
        <v>4.3906266375340159</v>
      </c>
    </row>
    <row r="126" spans="1:19" x14ac:dyDescent="0.25">
      <c r="A126">
        <v>2004</v>
      </c>
      <c r="B126">
        <v>4</v>
      </c>
      <c r="C126">
        <v>0</v>
      </c>
      <c r="D126">
        <v>0</v>
      </c>
      <c r="E126">
        <v>0</v>
      </c>
      <c r="F126">
        <v>0</v>
      </c>
      <c r="H126">
        <v>0</v>
      </c>
      <c r="I126">
        <v>0</v>
      </c>
      <c r="J126">
        <v>0</v>
      </c>
      <c r="K126">
        <v>0</v>
      </c>
      <c r="P126" t="s">
        <v>702</v>
      </c>
      <c r="Q126" t="s">
        <v>702</v>
      </c>
      <c r="R126" t="s">
        <v>702</v>
      </c>
      <c r="S126" t="s">
        <v>702</v>
      </c>
    </row>
    <row r="127" spans="1:19" x14ac:dyDescent="0.25">
      <c r="A127">
        <v>2005</v>
      </c>
      <c r="B127">
        <v>1</v>
      </c>
      <c r="C127">
        <v>1.5924152986206963E-3</v>
      </c>
      <c r="D127">
        <v>0.26333499598410925</v>
      </c>
      <c r="E127">
        <v>0.13749766878699457</v>
      </c>
      <c r="F127">
        <v>0.62963146669312042</v>
      </c>
      <c r="H127">
        <v>1.5911480781154452E-3</v>
      </c>
      <c r="I127">
        <v>0.23151558500707625</v>
      </c>
      <c r="J127">
        <v>0.12846361826826258</v>
      </c>
      <c r="K127">
        <v>0.46721188500356081</v>
      </c>
      <c r="P127">
        <v>1.2385982113572029E-2</v>
      </c>
      <c r="Q127">
        <v>1.8021879511724219</v>
      </c>
      <c r="R127">
        <v>1</v>
      </c>
      <c r="S127">
        <v>3.6369198633959638</v>
      </c>
    </row>
    <row r="128" spans="1:19" x14ac:dyDescent="0.25">
      <c r="A128">
        <v>2005</v>
      </c>
      <c r="B128">
        <v>2</v>
      </c>
      <c r="C128">
        <v>2.0537482181323827E-2</v>
      </c>
      <c r="D128">
        <v>0.30974494734738189</v>
      </c>
      <c r="E128">
        <v>0.150407741153532</v>
      </c>
      <c r="F128">
        <v>0.34276343400743009</v>
      </c>
      <c r="H128">
        <v>2.0328024456293337E-2</v>
      </c>
      <c r="I128">
        <v>0.26636595232589999</v>
      </c>
      <c r="J128">
        <v>0.13964289810025099</v>
      </c>
      <c r="K128">
        <v>0.29019389231343418</v>
      </c>
      <c r="P128">
        <v>0.14557148793703531</v>
      </c>
      <c r="Q128">
        <v>1.9074794060394915</v>
      </c>
      <c r="R128">
        <v>1</v>
      </c>
      <c r="S128">
        <v>2.0781142203529832</v>
      </c>
    </row>
    <row r="129" spans="1:19" x14ac:dyDescent="0.25">
      <c r="A129">
        <v>2005</v>
      </c>
      <c r="B129">
        <v>3</v>
      </c>
      <c r="C129">
        <v>3.6832274404119847E-2</v>
      </c>
      <c r="D129">
        <v>0.36078853979054099</v>
      </c>
      <c r="E129">
        <v>0.43174268695038676</v>
      </c>
      <c r="F129">
        <v>1.8201859982061086</v>
      </c>
      <c r="H129">
        <v>3.6162217941143271E-2</v>
      </c>
      <c r="I129">
        <v>0.30287360262417007</v>
      </c>
      <c r="J129">
        <v>0.35062355177637849</v>
      </c>
      <c r="K129">
        <v>2</v>
      </c>
      <c r="P129">
        <v>0.10313687645320213</v>
      </c>
      <c r="Q129">
        <v>0.86381419927357728</v>
      </c>
      <c r="R129">
        <v>1</v>
      </c>
      <c r="S129">
        <v>5.7041233820926118</v>
      </c>
    </row>
    <row r="130" spans="1:19" x14ac:dyDescent="0.25">
      <c r="A130">
        <v>2005</v>
      </c>
      <c r="B130">
        <v>4</v>
      </c>
      <c r="C130">
        <v>0</v>
      </c>
      <c r="D130">
        <v>0</v>
      </c>
      <c r="E130">
        <v>0</v>
      </c>
      <c r="F130">
        <v>0</v>
      </c>
      <c r="H130">
        <v>0</v>
      </c>
      <c r="I130">
        <v>0</v>
      </c>
      <c r="J130">
        <v>0</v>
      </c>
      <c r="K130">
        <v>0</v>
      </c>
      <c r="P130" t="s">
        <v>702</v>
      </c>
      <c r="Q130" t="s">
        <v>702</v>
      </c>
      <c r="R130" t="s">
        <v>702</v>
      </c>
      <c r="S130" t="s">
        <v>702</v>
      </c>
    </row>
    <row r="131" spans="1:19" x14ac:dyDescent="0.25">
      <c r="A131">
        <v>2006</v>
      </c>
      <c r="B131">
        <v>1</v>
      </c>
      <c r="C131">
        <v>0</v>
      </c>
      <c r="D131">
        <v>0.11376009431856553</v>
      </c>
      <c r="E131">
        <v>0.16425486391353458</v>
      </c>
      <c r="F131">
        <v>1.010631631929821</v>
      </c>
      <c r="H131">
        <v>0</v>
      </c>
      <c r="I131">
        <v>0.10752796068578141</v>
      </c>
      <c r="J131">
        <v>0.15147426427013277</v>
      </c>
      <c r="K131">
        <v>2</v>
      </c>
      <c r="P131">
        <v>0</v>
      </c>
      <c r="Q131">
        <v>0.70987610472245377</v>
      </c>
      <c r="R131">
        <v>1</v>
      </c>
      <c r="S131">
        <v>13.203563058298041</v>
      </c>
    </row>
    <row r="132" spans="1:19" x14ac:dyDescent="0.25">
      <c r="A132">
        <v>2006</v>
      </c>
      <c r="B132">
        <v>2</v>
      </c>
      <c r="C132">
        <v>6.1252801992528021E-3</v>
      </c>
      <c r="D132">
        <v>6.2998589872628713E-2</v>
      </c>
      <c r="E132">
        <v>0.3116644778306617</v>
      </c>
      <c r="F132">
        <v>2.0223926090652289</v>
      </c>
      <c r="H132">
        <v>6.1065589143682875E-3</v>
      </c>
      <c r="I132">
        <v>6.105520228004091E-2</v>
      </c>
      <c r="J132">
        <v>0.26777283453535583</v>
      </c>
      <c r="K132">
        <v>2</v>
      </c>
      <c r="P132">
        <v>2.2804997844402316E-2</v>
      </c>
      <c r="Q132">
        <v>0.22801118861061831</v>
      </c>
      <c r="R132">
        <v>1</v>
      </c>
      <c r="S132">
        <v>7.4690175479168213</v>
      </c>
    </row>
    <row r="133" spans="1:19" x14ac:dyDescent="0.25">
      <c r="A133">
        <v>2006</v>
      </c>
      <c r="B133">
        <v>3</v>
      </c>
      <c r="C133">
        <v>4.7378833369075704E-3</v>
      </c>
      <c r="D133">
        <v>2.9677680970828856E-2</v>
      </c>
      <c r="E133">
        <v>0.18567119107777297</v>
      </c>
      <c r="F133">
        <v>0.34385909734234943</v>
      </c>
      <c r="H133">
        <v>4.7266772723113526E-3</v>
      </c>
      <c r="I133">
        <v>2.9241622974260473E-2</v>
      </c>
      <c r="J133">
        <v>0.16945335876458556</v>
      </c>
      <c r="K133">
        <v>0.29097117494273006</v>
      </c>
      <c r="P133">
        <v>2.7893677096586366E-2</v>
      </c>
      <c r="Q133">
        <v>0.17256443417497927</v>
      </c>
      <c r="R133">
        <v>1</v>
      </c>
      <c r="S133">
        <v>1.7171165981251755</v>
      </c>
    </row>
    <row r="134" spans="1:19" x14ac:dyDescent="0.25">
      <c r="A134">
        <v>2006</v>
      </c>
      <c r="B134">
        <v>4</v>
      </c>
      <c r="C134">
        <v>0</v>
      </c>
      <c r="D134">
        <v>0</v>
      </c>
      <c r="E134">
        <v>0</v>
      </c>
      <c r="F134">
        <v>0</v>
      </c>
      <c r="H134">
        <v>0</v>
      </c>
      <c r="I134">
        <v>0</v>
      </c>
      <c r="J134">
        <v>0</v>
      </c>
      <c r="K134">
        <v>0</v>
      </c>
      <c r="P134" t="s">
        <v>702</v>
      </c>
      <c r="Q134" t="s">
        <v>702</v>
      </c>
      <c r="R134" t="s">
        <v>702</v>
      </c>
      <c r="S134" t="s">
        <v>702</v>
      </c>
    </row>
    <row r="135" spans="1:19" x14ac:dyDescent="0.25">
      <c r="A135">
        <v>2007</v>
      </c>
      <c r="B135">
        <v>1</v>
      </c>
      <c r="C135">
        <v>0</v>
      </c>
      <c r="D135">
        <v>7.4988618447857439E-2</v>
      </c>
      <c r="E135">
        <v>7.7639334324555692E-2</v>
      </c>
      <c r="F135">
        <v>0.13617466545930174</v>
      </c>
      <c r="H135">
        <v>0</v>
      </c>
      <c r="I135">
        <v>7.2245954450492533E-2</v>
      </c>
      <c r="J135">
        <v>7.4701910370005065E-2</v>
      </c>
      <c r="K135">
        <v>0.12730980965700622</v>
      </c>
      <c r="P135">
        <v>0</v>
      </c>
      <c r="Q135">
        <v>0.96712325150256573</v>
      </c>
      <c r="R135">
        <v>1</v>
      </c>
      <c r="S135">
        <v>1.7042376697788537</v>
      </c>
    </row>
    <row r="136" spans="1:19" x14ac:dyDescent="0.25">
      <c r="A136">
        <v>2007</v>
      </c>
      <c r="B136">
        <v>2</v>
      </c>
      <c r="C136">
        <v>1.5349281405631484E-2</v>
      </c>
      <c r="D136">
        <v>0.40869916635754866</v>
      </c>
      <c r="E136">
        <v>1.7893336794996477</v>
      </c>
      <c r="F136">
        <v>1.2653809284930242</v>
      </c>
      <c r="H136">
        <v>1.5232081596304736E-2</v>
      </c>
      <c r="I136">
        <v>0.33548588954401537</v>
      </c>
      <c r="J136">
        <v>2</v>
      </c>
      <c r="K136">
        <v>2</v>
      </c>
      <c r="P136">
        <v>7.6160407981523681E-3</v>
      </c>
      <c r="Q136">
        <v>0.16774294477200768</v>
      </c>
      <c r="R136">
        <v>1</v>
      </c>
      <c r="S136">
        <v>1</v>
      </c>
    </row>
    <row r="137" spans="1:19" x14ac:dyDescent="0.25">
      <c r="A137">
        <v>2007</v>
      </c>
      <c r="B137">
        <v>3</v>
      </c>
      <c r="C137">
        <v>1.4475889146984399E-2</v>
      </c>
      <c r="D137">
        <v>5.7137806982885897E-2</v>
      </c>
      <c r="E137">
        <v>6.6408122211196394E-2</v>
      </c>
      <c r="F137">
        <v>0.35518959032225272</v>
      </c>
      <c r="H137">
        <v>1.4371617213039256E-2</v>
      </c>
      <c r="I137">
        <v>5.5536093323358182E-2</v>
      </c>
      <c r="J137">
        <v>6.4251113554561479E-2</v>
      </c>
      <c r="K137">
        <v>0.29895947988961591</v>
      </c>
      <c r="P137">
        <v>0.22367888146926831</v>
      </c>
      <c r="Q137">
        <v>0.86436001262760098</v>
      </c>
      <c r="R137">
        <v>1</v>
      </c>
      <c r="S137">
        <v>4.6529851912331788</v>
      </c>
    </row>
    <row r="138" spans="1:19" x14ac:dyDescent="0.25">
      <c r="A138">
        <v>2007</v>
      </c>
      <c r="B138">
        <v>4</v>
      </c>
      <c r="C138">
        <v>0</v>
      </c>
      <c r="D138">
        <v>0</v>
      </c>
      <c r="E138">
        <v>0</v>
      </c>
      <c r="F138">
        <v>0</v>
      </c>
      <c r="H138">
        <v>0</v>
      </c>
      <c r="I138">
        <v>0</v>
      </c>
      <c r="J138">
        <v>0</v>
      </c>
      <c r="K138">
        <v>0</v>
      </c>
      <c r="P138" t="s">
        <v>702</v>
      </c>
      <c r="Q138" t="s">
        <v>702</v>
      </c>
      <c r="R138" t="s">
        <v>702</v>
      </c>
      <c r="S138" t="s">
        <v>702</v>
      </c>
    </row>
    <row r="139" spans="1:19" x14ac:dyDescent="0.25">
      <c r="A139">
        <v>2008</v>
      </c>
      <c r="B139">
        <v>1</v>
      </c>
      <c r="C139">
        <v>8.2391998236996066E-5</v>
      </c>
      <c r="D139">
        <v>2.433773117474218E-2</v>
      </c>
      <c r="E139">
        <v>0.426398664208685</v>
      </c>
      <c r="F139">
        <v>1.7771514488497044</v>
      </c>
      <c r="H139">
        <v>8.2388604109473462E-5</v>
      </c>
      <c r="I139">
        <v>2.4043956689279389E-2</v>
      </c>
      <c r="J139">
        <v>0.34714398009501235</v>
      </c>
      <c r="K139">
        <v>2</v>
      </c>
      <c r="P139">
        <v>2.3733265974228886E-4</v>
      </c>
      <c r="Q139">
        <v>6.9262202624682204E-2</v>
      </c>
      <c r="R139">
        <v>1</v>
      </c>
      <c r="S139">
        <v>5.7612982355407851</v>
      </c>
    </row>
    <row r="140" spans="1:19" x14ac:dyDescent="0.25">
      <c r="A140">
        <v>2008</v>
      </c>
      <c r="B140">
        <v>2</v>
      </c>
      <c r="C140">
        <v>2.3834797513729189E-2</v>
      </c>
      <c r="D140">
        <v>0.22740364034657667</v>
      </c>
      <c r="E140">
        <v>0.69564009536643512</v>
      </c>
      <c r="F140">
        <v>3.1694478855449488</v>
      </c>
      <c r="H140">
        <v>2.3552992092467195E-2</v>
      </c>
      <c r="I140">
        <v>0.20340082217998179</v>
      </c>
      <c r="J140">
        <v>0.50124490503742658</v>
      </c>
      <c r="K140">
        <v>2</v>
      </c>
      <c r="P140">
        <v>4.6988990522923234E-2</v>
      </c>
      <c r="Q140">
        <v>0.40579130109022138</v>
      </c>
      <c r="R140">
        <v>1</v>
      </c>
      <c r="S140">
        <v>3.9900654947318928</v>
      </c>
    </row>
    <row r="141" spans="1:19" x14ac:dyDescent="0.25">
      <c r="A141">
        <v>2008</v>
      </c>
      <c r="B141">
        <v>3</v>
      </c>
      <c r="C141">
        <v>1.4220017819072771E-2</v>
      </c>
      <c r="D141">
        <v>2.5696456777363937E-2</v>
      </c>
      <c r="E141">
        <v>7.455130990506742E-2</v>
      </c>
      <c r="F141">
        <v>0.71825709779179814</v>
      </c>
      <c r="H141">
        <v>1.4119390902543771E-2</v>
      </c>
      <c r="I141">
        <v>2.5369112686800421E-2</v>
      </c>
      <c r="J141">
        <v>7.1840150956565485E-2</v>
      </c>
      <c r="K141">
        <v>0.51239864272293167</v>
      </c>
      <c r="P141">
        <v>0.19653899267389272</v>
      </c>
      <c r="Q141">
        <v>0.35313278645723578</v>
      </c>
      <c r="R141">
        <v>1</v>
      </c>
      <c r="S141">
        <v>7.132482823327134</v>
      </c>
    </row>
    <row r="142" spans="1:19" x14ac:dyDescent="0.25">
      <c r="A142">
        <v>2008</v>
      </c>
      <c r="B142">
        <v>4</v>
      </c>
      <c r="C142">
        <v>0</v>
      </c>
      <c r="D142">
        <v>0</v>
      </c>
      <c r="E142">
        <v>0</v>
      </c>
      <c r="F142">
        <v>0</v>
      </c>
      <c r="H142">
        <v>0</v>
      </c>
      <c r="I142">
        <v>0</v>
      </c>
      <c r="J142">
        <v>0</v>
      </c>
      <c r="K142">
        <v>0</v>
      </c>
      <c r="P142" t="s">
        <v>702</v>
      </c>
      <c r="Q142" t="s">
        <v>702</v>
      </c>
      <c r="R142" t="s">
        <v>702</v>
      </c>
      <c r="S142" t="s">
        <v>702</v>
      </c>
    </row>
    <row r="143" spans="1:19" x14ac:dyDescent="0.25">
      <c r="A143">
        <v>2009</v>
      </c>
      <c r="B143">
        <v>1</v>
      </c>
      <c r="C143">
        <v>0</v>
      </c>
      <c r="D143">
        <v>0.11940039192357491</v>
      </c>
      <c r="E143">
        <v>7.1378449694424334E-2</v>
      </c>
      <c r="F143">
        <v>0.11918784825585833</v>
      </c>
      <c r="H143">
        <v>0</v>
      </c>
      <c r="I143">
        <v>0.11254759915678536</v>
      </c>
      <c r="J143">
        <v>6.8890552645336611E-2</v>
      </c>
      <c r="K143">
        <v>0.11235895672191887</v>
      </c>
      <c r="P143">
        <v>0</v>
      </c>
      <c r="Q143">
        <v>1.633716015259808</v>
      </c>
      <c r="R143">
        <v>1</v>
      </c>
      <c r="S143">
        <v>1.6309777234676424</v>
      </c>
    </row>
    <row r="144" spans="1:19" x14ac:dyDescent="0.25">
      <c r="A144">
        <v>2009</v>
      </c>
      <c r="B144">
        <v>2</v>
      </c>
      <c r="C144">
        <v>3.415292159108351E-3</v>
      </c>
      <c r="D144">
        <v>0.37849403092329448</v>
      </c>
      <c r="E144">
        <v>0.35695660571722893</v>
      </c>
      <c r="F144">
        <v>0.80722771171446539</v>
      </c>
      <c r="H144">
        <v>3.4094666826307574E-3</v>
      </c>
      <c r="I144">
        <v>0.31510794078388871</v>
      </c>
      <c r="J144">
        <v>0.30019713548087923</v>
      </c>
      <c r="K144">
        <v>0.55390694789386041</v>
      </c>
      <c r="P144">
        <v>1.1357425770133373E-2</v>
      </c>
      <c r="Q144">
        <v>1.0496700452491801</v>
      </c>
      <c r="R144">
        <v>1</v>
      </c>
      <c r="S144">
        <v>1.8451440151371497</v>
      </c>
    </row>
    <row r="145" spans="1:19" x14ac:dyDescent="0.25">
      <c r="A145">
        <v>2009</v>
      </c>
      <c r="B145">
        <v>3</v>
      </c>
      <c r="C145">
        <v>3.4555287598132278E-3</v>
      </c>
      <c r="D145">
        <v>0.23543656975935456</v>
      </c>
      <c r="E145">
        <v>0.6544077634681662</v>
      </c>
      <c r="F145">
        <v>1.0454406580493536</v>
      </c>
      <c r="H145">
        <v>3.4495652912648334E-3</v>
      </c>
      <c r="I145">
        <v>0.20977421436910582</v>
      </c>
      <c r="J145">
        <v>0.4802502137337088</v>
      </c>
      <c r="K145">
        <v>2</v>
      </c>
      <c r="P145">
        <v>7.1828500906770303E-3</v>
      </c>
      <c r="Q145">
        <v>0.4368019177716021</v>
      </c>
      <c r="R145">
        <v>1</v>
      </c>
      <c r="S145">
        <v>4.1644958040746829</v>
      </c>
    </row>
    <row r="146" spans="1:19" x14ac:dyDescent="0.25">
      <c r="A146">
        <v>2009</v>
      </c>
      <c r="B146">
        <v>4</v>
      </c>
      <c r="C146">
        <v>0</v>
      </c>
      <c r="D146">
        <v>0</v>
      </c>
      <c r="E146">
        <v>0</v>
      </c>
      <c r="F146">
        <v>0</v>
      </c>
      <c r="H146">
        <v>0</v>
      </c>
      <c r="I146">
        <v>0</v>
      </c>
      <c r="J146">
        <v>0</v>
      </c>
      <c r="K146">
        <v>0</v>
      </c>
      <c r="P146" t="s">
        <v>702</v>
      </c>
      <c r="Q146" t="s">
        <v>702</v>
      </c>
      <c r="R146" t="s">
        <v>702</v>
      </c>
      <c r="S146" t="s">
        <v>702</v>
      </c>
    </row>
    <row r="147" spans="1:19" x14ac:dyDescent="0.25">
      <c r="A147">
        <v>2010</v>
      </c>
      <c r="B147">
        <v>1</v>
      </c>
      <c r="C147">
        <v>1.2252874697724918E-4</v>
      </c>
      <c r="D147">
        <v>5.5148172203225786E-2</v>
      </c>
      <c r="E147">
        <v>7.5960241250694394E-2</v>
      </c>
      <c r="F147">
        <v>0.16948705882352941</v>
      </c>
      <c r="H147">
        <v>1.2252124063694136E-4</v>
      </c>
      <c r="I147">
        <v>5.3655084446680434E-2</v>
      </c>
      <c r="J147">
        <v>7.3146943654862961E-2</v>
      </c>
      <c r="K147">
        <v>0.15590232197330967</v>
      </c>
      <c r="P147">
        <v>1.6750015040279253E-3</v>
      </c>
      <c r="Q147">
        <v>0.73352462544227348</v>
      </c>
      <c r="R147">
        <v>1</v>
      </c>
      <c r="S147">
        <v>2.1313579786589614</v>
      </c>
    </row>
    <row r="148" spans="1:19" x14ac:dyDescent="0.25">
      <c r="A148">
        <v>2010</v>
      </c>
      <c r="B148">
        <v>2</v>
      </c>
      <c r="C148">
        <v>5.6969174678991145E-3</v>
      </c>
      <c r="D148">
        <v>0.19609857287193735</v>
      </c>
      <c r="E148">
        <v>0.70768650472842132</v>
      </c>
      <c r="F148">
        <v>8.365175009015088</v>
      </c>
      <c r="H148">
        <v>5.680720805194106E-3</v>
      </c>
      <c r="I148">
        <v>0.17806878943509796</v>
      </c>
      <c r="J148">
        <v>0.50721706929382038</v>
      </c>
      <c r="K148">
        <v>2</v>
      </c>
      <c r="P148">
        <v>1.1199782399088351E-2</v>
      </c>
      <c r="Q148">
        <v>0.35107018319201394</v>
      </c>
      <c r="R148">
        <v>1</v>
      </c>
      <c r="S148">
        <v>3.9430849651501796</v>
      </c>
    </row>
    <row r="149" spans="1:19" x14ac:dyDescent="0.25">
      <c r="A149">
        <v>2010</v>
      </c>
      <c r="B149">
        <v>3</v>
      </c>
      <c r="C149">
        <v>6.9606505612186597E-3</v>
      </c>
      <c r="D149">
        <v>0.2401573901703318</v>
      </c>
      <c r="E149">
        <v>0.34329871526259992</v>
      </c>
      <c r="F149">
        <v>0.7718382089857394</v>
      </c>
      <c r="H149">
        <v>6.9364813434404926E-3</v>
      </c>
      <c r="I149">
        <v>0.2134959366839575</v>
      </c>
      <c r="J149">
        <v>0.29057373654686525</v>
      </c>
      <c r="K149">
        <v>0.53783726468713677</v>
      </c>
      <c r="P149">
        <v>2.3871673420566491E-2</v>
      </c>
      <c r="Q149">
        <v>0.73473927554882013</v>
      </c>
      <c r="R149">
        <v>1</v>
      </c>
      <c r="S149">
        <v>1.8509493358853222</v>
      </c>
    </row>
    <row r="150" spans="1:19" x14ac:dyDescent="0.25">
      <c r="A150">
        <v>2010</v>
      </c>
      <c r="B150">
        <v>4</v>
      </c>
      <c r="C150">
        <v>0</v>
      </c>
      <c r="D150">
        <v>0</v>
      </c>
      <c r="E150">
        <v>0</v>
      </c>
      <c r="F150">
        <v>0</v>
      </c>
      <c r="H150">
        <v>0</v>
      </c>
      <c r="I150">
        <v>0</v>
      </c>
      <c r="J150">
        <v>0</v>
      </c>
      <c r="K150">
        <v>0</v>
      </c>
      <c r="P150" t="s">
        <v>702</v>
      </c>
      <c r="Q150" t="s">
        <v>702</v>
      </c>
      <c r="R150" t="s">
        <v>702</v>
      </c>
      <c r="S150" t="s">
        <v>702</v>
      </c>
    </row>
    <row r="151" spans="1:19" x14ac:dyDescent="0.25">
      <c r="A151">
        <v>2011</v>
      </c>
      <c r="B151">
        <v>1</v>
      </c>
      <c r="C151">
        <v>2.8584726100668252E-5</v>
      </c>
      <c r="D151">
        <v>6.9477605765180236E-2</v>
      </c>
      <c r="E151">
        <v>0.18046515198035001</v>
      </c>
      <c r="F151">
        <v>0.22788221970554925</v>
      </c>
      <c r="H151">
        <v>2.8584317561253236E-5</v>
      </c>
      <c r="I151">
        <v>6.7118975692645799E-2</v>
      </c>
      <c r="J151">
        <v>0.16511822583351277</v>
      </c>
      <c r="K151">
        <v>0.20378196689259009</v>
      </c>
      <c r="P151">
        <v>1.7311424839359981E-4</v>
      </c>
      <c r="Q151">
        <v>0.4064904122717577</v>
      </c>
      <c r="R151">
        <v>1</v>
      </c>
      <c r="S151">
        <v>1.2341579245047221</v>
      </c>
    </row>
    <row r="152" spans="1:19" x14ac:dyDescent="0.25">
      <c r="A152">
        <v>2011</v>
      </c>
      <c r="B152">
        <v>2</v>
      </c>
      <c r="C152">
        <v>8.3208159076635958E-3</v>
      </c>
      <c r="D152">
        <v>0.31778163887179334</v>
      </c>
      <c r="E152">
        <v>1.0036213988938723</v>
      </c>
      <c r="F152">
        <v>1.6515552925893666</v>
      </c>
      <c r="H152">
        <v>8.2862937362137012E-3</v>
      </c>
      <c r="I152">
        <v>0.27223831407175125</v>
      </c>
      <c r="J152">
        <v>2</v>
      </c>
      <c r="K152">
        <v>2</v>
      </c>
      <c r="P152">
        <v>4.1431468681068506E-3</v>
      </c>
      <c r="Q152">
        <v>0.13611915703587563</v>
      </c>
      <c r="R152">
        <v>1</v>
      </c>
      <c r="S152">
        <v>1</v>
      </c>
    </row>
    <row r="153" spans="1:19" x14ac:dyDescent="0.25">
      <c r="A153">
        <v>2011</v>
      </c>
      <c r="B153">
        <v>3</v>
      </c>
      <c r="C153">
        <v>1.6522398341995198E-3</v>
      </c>
      <c r="D153">
        <v>2.9642216233823921E-2</v>
      </c>
      <c r="E153">
        <v>6.6201074867713899E-2</v>
      </c>
      <c r="F153">
        <v>0.14438018589811472</v>
      </c>
      <c r="H153">
        <v>1.6508756373948552E-3</v>
      </c>
      <c r="I153">
        <v>2.9207194673232184E-2</v>
      </c>
      <c r="J153">
        <v>6.405734917494843E-2</v>
      </c>
      <c r="K153">
        <v>0.13444138768160929</v>
      </c>
      <c r="P153">
        <v>2.5771838183408318E-2</v>
      </c>
      <c r="Q153">
        <v>0.45595384525612781</v>
      </c>
      <c r="R153">
        <v>1</v>
      </c>
      <c r="S153">
        <v>2.0987660184693793</v>
      </c>
    </row>
    <row r="154" spans="1:19" x14ac:dyDescent="0.25">
      <c r="A154">
        <v>2011</v>
      </c>
      <c r="B154">
        <v>4</v>
      </c>
      <c r="C154">
        <v>0</v>
      </c>
      <c r="D154">
        <v>0</v>
      </c>
      <c r="E154">
        <v>0</v>
      </c>
      <c r="F154">
        <v>0</v>
      </c>
      <c r="H154">
        <v>0</v>
      </c>
      <c r="I154">
        <v>0</v>
      </c>
      <c r="J154">
        <v>0</v>
      </c>
      <c r="K154">
        <v>0</v>
      </c>
      <c r="P154" t="s">
        <v>702</v>
      </c>
      <c r="Q154" t="s">
        <v>702</v>
      </c>
      <c r="R154" t="s">
        <v>702</v>
      </c>
      <c r="S154" t="s">
        <v>702</v>
      </c>
    </row>
    <row r="155" spans="1:19" x14ac:dyDescent="0.25">
      <c r="A155">
        <v>2012</v>
      </c>
      <c r="B155">
        <v>1</v>
      </c>
      <c r="C155">
        <v>2.0543193962721221E-3</v>
      </c>
      <c r="D155">
        <v>0.12219616544842789</v>
      </c>
      <c r="E155">
        <v>0.14577985538470148</v>
      </c>
      <c r="F155">
        <v>0.12281590787267484</v>
      </c>
      <c r="H155">
        <v>2.0522107263888367E-3</v>
      </c>
      <c r="I155">
        <v>0.1150252499944735</v>
      </c>
      <c r="J155">
        <v>0.1356520362085768</v>
      </c>
      <c r="K155">
        <v>0.11557353647569391</v>
      </c>
      <c r="P155">
        <v>1.5128491866007704E-2</v>
      </c>
      <c r="Q155">
        <v>0.84794340880819641</v>
      </c>
      <c r="R155">
        <v>1</v>
      </c>
      <c r="S155">
        <v>0.85198526838174071</v>
      </c>
    </row>
    <row r="156" spans="1:19" x14ac:dyDescent="0.25">
      <c r="A156">
        <v>2012</v>
      </c>
      <c r="B156">
        <v>2</v>
      </c>
      <c r="C156">
        <v>4.5175730884014723E-3</v>
      </c>
      <c r="D156">
        <v>0.42084102662926082</v>
      </c>
      <c r="E156">
        <v>0.88698631934131333</v>
      </c>
      <c r="F156">
        <v>0.69273843529953982</v>
      </c>
      <c r="H156">
        <v>4.5073842038815259E-3</v>
      </c>
      <c r="I156">
        <v>0.34350554174912828</v>
      </c>
      <c r="J156">
        <v>0.58810479523000636</v>
      </c>
      <c r="K156">
        <v>0.49979558559593384</v>
      </c>
      <c r="P156">
        <v>7.6642534467325652E-3</v>
      </c>
      <c r="Q156">
        <v>0.58408900001365249</v>
      </c>
      <c r="R156">
        <v>1</v>
      </c>
      <c r="S156">
        <v>0.84984103113878706</v>
      </c>
    </row>
    <row r="157" spans="1:19" x14ac:dyDescent="0.25">
      <c r="A157">
        <v>2012</v>
      </c>
      <c r="B157">
        <v>3</v>
      </c>
      <c r="C157">
        <v>2.7429533024821203E-3</v>
      </c>
      <c r="D157">
        <v>9.3194629496771555E-2</v>
      </c>
      <c r="E157">
        <v>0.13482717269389066</v>
      </c>
      <c r="F157">
        <v>0.23270726588060991</v>
      </c>
      <c r="H157">
        <v>2.7391948432836655E-3</v>
      </c>
      <c r="I157">
        <v>8.8983827579106278E-2</v>
      </c>
      <c r="J157">
        <v>0.12613307329526025</v>
      </c>
      <c r="K157">
        <v>0.20761450215249355</v>
      </c>
      <c r="P157">
        <v>2.1716705791125741E-2</v>
      </c>
      <c r="Q157">
        <v>0.70547577454810229</v>
      </c>
      <c r="R157">
        <v>1</v>
      </c>
      <c r="S157">
        <v>1.6459957466230641</v>
      </c>
    </row>
    <row r="158" spans="1:19" x14ac:dyDescent="0.25">
      <c r="A158">
        <v>2012</v>
      </c>
      <c r="B158">
        <v>4</v>
      </c>
      <c r="C158">
        <v>0</v>
      </c>
      <c r="D158">
        <v>0</v>
      </c>
      <c r="E158">
        <v>0</v>
      </c>
      <c r="F158">
        <v>0</v>
      </c>
      <c r="H158">
        <v>0</v>
      </c>
      <c r="I158">
        <v>0</v>
      </c>
      <c r="J158">
        <v>0</v>
      </c>
      <c r="K158">
        <v>0</v>
      </c>
      <c r="P158" t="s">
        <v>702</v>
      </c>
      <c r="Q158" t="s">
        <v>702</v>
      </c>
      <c r="R158" t="s">
        <v>702</v>
      </c>
      <c r="S158" t="s">
        <v>702</v>
      </c>
    </row>
    <row r="159" spans="1:19" x14ac:dyDescent="0.25">
      <c r="A159">
        <v>2013</v>
      </c>
      <c r="B159">
        <v>1</v>
      </c>
      <c r="C159">
        <v>5.3355097860354951E-5</v>
      </c>
      <c r="D159">
        <v>0.11437072927594021</v>
      </c>
      <c r="E159">
        <v>0.14230765241024471</v>
      </c>
      <c r="F159">
        <v>0.1766390833863781</v>
      </c>
      <c r="H159">
        <v>5.3353674502432114E-5</v>
      </c>
      <c r="I159">
        <v>0.10807276895505014</v>
      </c>
      <c r="J159">
        <v>0.13264562822885551</v>
      </c>
      <c r="K159">
        <v>0.16191779226271685</v>
      </c>
      <c r="P159">
        <v>4.0222716130817527E-4</v>
      </c>
      <c r="Q159">
        <v>0.81474806518757292</v>
      </c>
      <c r="R159">
        <v>1</v>
      </c>
      <c r="S159">
        <v>1.2206794481259318</v>
      </c>
    </row>
    <row r="160" spans="1:19" x14ac:dyDescent="0.25">
      <c r="A160">
        <v>2013</v>
      </c>
      <c r="B160">
        <v>2</v>
      </c>
      <c r="C160">
        <v>3.9948554333540847E-3</v>
      </c>
      <c r="D160">
        <v>0.24142240389829739</v>
      </c>
      <c r="E160">
        <v>0.52657160412738102</v>
      </c>
      <c r="F160">
        <v>0.66461133530583794</v>
      </c>
      <c r="H160">
        <v>3.9868866133470071E-3</v>
      </c>
      <c r="I160">
        <v>0.21449024608103839</v>
      </c>
      <c r="J160">
        <v>0.40937359631497094</v>
      </c>
      <c r="K160">
        <v>0.48552655348183105</v>
      </c>
      <c r="P160">
        <v>9.7389930597270545E-3</v>
      </c>
      <c r="Q160">
        <v>0.52394743581852843</v>
      </c>
      <c r="R160">
        <v>1</v>
      </c>
      <c r="S160">
        <v>1.1860231286344813</v>
      </c>
    </row>
    <row r="161" spans="1:19" x14ac:dyDescent="0.25">
      <c r="A161">
        <v>2013</v>
      </c>
      <c r="B161">
        <v>3</v>
      </c>
      <c r="C161">
        <v>2.3002328997984542E-3</v>
      </c>
      <c r="D161">
        <v>2.6387464426166039E-4</v>
      </c>
      <c r="E161">
        <v>3.4895726378716316E-3</v>
      </c>
      <c r="F161">
        <v>4.5839628234304181E-2</v>
      </c>
      <c r="H161">
        <v>2.2975893913852463E-3</v>
      </c>
      <c r="I161">
        <v>2.6383983240974018E-4</v>
      </c>
      <c r="J161">
        <v>3.4834911552558134E-3</v>
      </c>
      <c r="K161">
        <v>4.4804863761427227E-2</v>
      </c>
      <c r="P161">
        <v>0.65956515718970465</v>
      </c>
      <c r="Q161">
        <v>7.5740060947668705E-2</v>
      </c>
      <c r="R161">
        <v>1</v>
      </c>
      <c r="S161">
        <v>12.862057563667602</v>
      </c>
    </row>
    <row r="162" spans="1:19" x14ac:dyDescent="0.25">
      <c r="A162">
        <v>2013</v>
      </c>
      <c r="B162">
        <v>4</v>
      </c>
      <c r="C162">
        <v>0</v>
      </c>
      <c r="D162">
        <v>0</v>
      </c>
      <c r="E162">
        <v>0</v>
      </c>
      <c r="F162">
        <v>0</v>
      </c>
      <c r="H162">
        <v>0</v>
      </c>
      <c r="I162">
        <v>0</v>
      </c>
      <c r="J162">
        <v>0</v>
      </c>
      <c r="K162">
        <v>0</v>
      </c>
      <c r="P162" t="s">
        <v>702</v>
      </c>
      <c r="Q162" t="s">
        <v>702</v>
      </c>
      <c r="R162" t="s">
        <v>702</v>
      </c>
      <c r="S162" t="s">
        <v>702</v>
      </c>
    </row>
    <row r="163" spans="1:19" x14ac:dyDescent="0.25">
      <c r="A163">
        <v>2014</v>
      </c>
      <c r="B163">
        <v>1</v>
      </c>
      <c r="C163">
        <v>1.2753163089880044E-2</v>
      </c>
      <c r="D163">
        <v>0.17793412007118103</v>
      </c>
      <c r="E163">
        <v>0.17230081640277337</v>
      </c>
      <c r="F163">
        <v>0.21963860863700796</v>
      </c>
      <c r="H163">
        <v>1.2672186108563022E-2</v>
      </c>
      <c r="I163">
        <v>0.16300243698767292</v>
      </c>
      <c r="J163">
        <v>0.1582740698858407</v>
      </c>
      <c r="K163">
        <v>0.19719112626301649</v>
      </c>
      <c r="P163">
        <v>8.0064827534309102E-2</v>
      </c>
      <c r="Q163">
        <v>1.0298745530789895</v>
      </c>
      <c r="R163">
        <v>1</v>
      </c>
      <c r="S163">
        <v>1.2458839682662217</v>
      </c>
    </row>
    <row r="164" spans="1:19" x14ac:dyDescent="0.25">
      <c r="A164">
        <v>2014</v>
      </c>
      <c r="B164">
        <v>2</v>
      </c>
      <c r="C164">
        <v>9.0863407265602807E-3</v>
      </c>
      <c r="D164">
        <v>0.13252816790692801</v>
      </c>
      <c r="E164">
        <v>0.16241441495747749</v>
      </c>
      <c r="F164">
        <v>0.32528128926292738</v>
      </c>
      <c r="H164">
        <v>9.0451846796116842E-3</v>
      </c>
      <c r="I164">
        <v>0.12412173789864167</v>
      </c>
      <c r="J164">
        <v>0.14991115799818755</v>
      </c>
      <c r="K164">
        <v>0.27767585696285813</v>
      </c>
      <c r="P164">
        <v>6.0336967577296959E-2</v>
      </c>
      <c r="Q164">
        <v>0.82796864193486064</v>
      </c>
      <c r="R164">
        <v>1</v>
      </c>
      <c r="S164">
        <v>1.8522694419198287</v>
      </c>
    </row>
    <row r="165" spans="1:19" x14ac:dyDescent="0.25">
      <c r="A165">
        <v>2014</v>
      </c>
      <c r="B165">
        <v>3</v>
      </c>
      <c r="C165">
        <v>1.7863730790281657E-2</v>
      </c>
      <c r="D165">
        <v>0.11840868781713852</v>
      </c>
      <c r="E165">
        <v>0.15779460575374402</v>
      </c>
      <c r="F165">
        <v>0.13780941183947126</v>
      </c>
      <c r="H165">
        <v>1.770512021456927E-2</v>
      </c>
      <c r="I165">
        <v>0.11166707242778062</v>
      </c>
      <c r="J165">
        <v>0.14597482418730845</v>
      </c>
      <c r="K165">
        <v>0.1287352713350699</v>
      </c>
      <c r="P165">
        <v>0.12128886137140224</v>
      </c>
      <c r="Q165">
        <v>0.7649748718621121</v>
      </c>
      <c r="R165">
        <v>1</v>
      </c>
      <c r="S165">
        <v>0.88190050614400795</v>
      </c>
    </row>
    <row r="166" spans="1:19" x14ac:dyDescent="0.25">
      <c r="A166">
        <v>2014</v>
      </c>
      <c r="B166">
        <v>4</v>
      </c>
      <c r="C166">
        <v>0</v>
      </c>
      <c r="D166">
        <v>0</v>
      </c>
      <c r="E166">
        <v>0</v>
      </c>
      <c r="F166">
        <v>0</v>
      </c>
      <c r="H166">
        <v>0</v>
      </c>
      <c r="I166">
        <v>0</v>
      </c>
      <c r="J166">
        <v>0</v>
      </c>
      <c r="K166">
        <v>0</v>
      </c>
      <c r="P166" t="s">
        <v>702</v>
      </c>
      <c r="Q166" t="s">
        <v>702</v>
      </c>
      <c r="R166" t="s">
        <v>702</v>
      </c>
      <c r="S166" t="s">
        <v>702</v>
      </c>
    </row>
    <row r="167" spans="1:19" x14ac:dyDescent="0.25">
      <c r="A167">
        <v>2015</v>
      </c>
      <c r="B167">
        <v>1</v>
      </c>
      <c r="C167">
        <v>1.3683464938317787E-2</v>
      </c>
      <c r="D167">
        <v>0.21054929311785922</v>
      </c>
      <c r="E167">
        <v>0.22139354926551791</v>
      </c>
      <c r="F167">
        <v>0.20364967643148349</v>
      </c>
      <c r="H167">
        <v>1.3590271884179161E-2</v>
      </c>
      <c r="I167">
        <v>0.18986088011403002</v>
      </c>
      <c r="J167">
        <v>0.19859877264327974</v>
      </c>
      <c r="K167">
        <v>0.18425190307953498</v>
      </c>
      <c r="P167">
        <v>6.8430794930388686E-2</v>
      </c>
      <c r="Q167">
        <v>0.9560022833326135</v>
      </c>
      <c r="R167">
        <v>1</v>
      </c>
      <c r="S167">
        <v>0.92775952553586827</v>
      </c>
    </row>
    <row r="168" spans="1:19" x14ac:dyDescent="0.25">
      <c r="A168">
        <v>2015</v>
      </c>
      <c r="B168">
        <v>2</v>
      </c>
      <c r="C168">
        <v>7.7645825263298685E-3</v>
      </c>
      <c r="D168">
        <v>0.35481578268269021</v>
      </c>
      <c r="E168">
        <v>0.27570326433551318</v>
      </c>
      <c r="F168">
        <v>0.59223262963668588</v>
      </c>
      <c r="H168">
        <v>7.7345160236986787E-3</v>
      </c>
      <c r="I168">
        <v>0.29869737660250228</v>
      </c>
      <c r="J168">
        <v>0.24096186896870453</v>
      </c>
      <c r="K168">
        <v>0.44690894225779287</v>
      </c>
      <c r="P168">
        <v>3.2098506111368254E-2</v>
      </c>
      <c r="Q168">
        <v>1.2396043319256305</v>
      </c>
      <c r="R168">
        <v>1</v>
      </c>
      <c r="S168">
        <v>1.8546874000045053</v>
      </c>
    </row>
    <row r="169" spans="1:19" x14ac:dyDescent="0.25">
      <c r="A169">
        <v>2015</v>
      </c>
      <c r="B169">
        <v>3</v>
      </c>
      <c r="C169">
        <v>6.4992216636094334E-3</v>
      </c>
      <c r="D169">
        <v>0.10556302170970058</v>
      </c>
      <c r="E169">
        <v>0.31410349791770209</v>
      </c>
      <c r="F169">
        <v>0.63222546896788523</v>
      </c>
      <c r="H169">
        <v>6.4781474026405217E-3</v>
      </c>
      <c r="I169">
        <v>0.10018223699401696</v>
      </c>
      <c r="J169">
        <v>0.26955657512637254</v>
      </c>
      <c r="K169">
        <v>0.46859214760969448</v>
      </c>
      <c r="P169">
        <v>2.4032607624590349E-2</v>
      </c>
      <c r="Q169">
        <v>0.37165569768442813</v>
      </c>
      <c r="R169">
        <v>1</v>
      </c>
      <c r="S169">
        <v>1.7383814414098813</v>
      </c>
    </row>
    <row r="170" spans="1:19" x14ac:dyDescent="0.25">
      <c r="A170">
        <v>2015</v>
      </c>
      <c r="B170">
        <v>4</v>
      </c>
      <c r="C170">
        <v>0</v>
      </c>
      <c r="D170">
        <v>0</v>
      </c>
      <c r="E170">
        <v>0</v>
      </c>
      <c r="F170">
        <v>0</v>
      </c>
      <c r="H170">
        <v>0</v>
      </c>
      <c r="I170">
        <v>0</v>
      </c>
      <c r="J170">
        <v>0</v>
      </c>
      <c r="K170">
        <v>0</v>
      </c>
      <c r="P170" t="s">
        <v>702</v>
      </c>
      <c r="Q170" t="s">
        <v>702</v>
      </c>
      <c r="R170" t="s">
        <v>702</v>
      </c>
      <c r="S170" t="s">
        <v>702</v>
      </c>
    </row>
    <row r="171" spans="1:19" x14ac:dyDescent="0.25">
      <c r="A171">
        <v>2016</v>
      </c>
      <c r="B171">
        <v>1</v>
      </c>
      <c r="C171">
        <v>2.3967731512396871E-2</v>
      </c>
      <c r="D171">
        <v>0.36796357530056284</v>
      </c>
      <c r="E171">
        <v>0.43538511730557022</v>
      </c>
      <c r="F171">
        <v>0.33568030301873247</v>
      </c>
      <c r="H171">
        <v>2.3682786470481498E-2</v>
      </c>
      <c r="I171">
        <v>0.30785760769180948</v>
      </c>
      <c r="J171">
        <v>0.35298455775306325</v>
      </c>
      <c r="K171">
        <v>0.28514839481093557</v>
      </c>
      <c r="P171">
        <v>6.7092981690856909E-2</v>
      </c>
      <c r="Q171">
        <v>0.87215602192766983</v>
      </c>
      <c r="R171">
        <v>1</v>
      </c>
      <c r="S171">
        <v>0.80782115973021207</v>
      </c>
    </row>
    <row r="172" spans="1:19" x14ac:dyDescent="0.25">
      <c r="A172">
        <v>2016</v>
      </c>
      <c r="B172">
        <v>2</v>
      </c>
      <c r="C172">
        <v>3.0685724777536765E-2</v>
      </c>
      <c r="D172">
        <v>0.10894153135036168</v>
      </c>
      <c r="E172">
        <v>0.3906854097127031</v>
      </c>
      <c r="F172">
        <v>0.68483951560287071</v>
      </c>
      <c r="H172">
        <v>3.02196968905315E-2</v>
      </c>
      <c r="I172">
        <v>0.10321715035236023</v>
      </c>
      <c r="J172">
        <v>0.32340702785991648</v>
      </c>
      <c r="K172">
        <v>0.4958288653167523</v>
      </c>
      <c r="P172">
        <v>9.3441682731833328E-2</v>
      </c>
      <c r="Q172">
        <v>0.31915555773595822</v>
      </c>
      <c r="R172">
        <v>1</v>
      </c>
      <c r="S172">
        <v>1.5331419004645757</v>
      </c>
    </row>
    <row r="173" spans="1:19" x14ac:dyDescent="0.25">
      <c r="A173">
        <v>2016</v>
      </c>
      <c r="B173">
        <v>3</v>
      </c>
      <c r="C173">
        <v>6.5039325384209671E-3</v>
      </c>
      <c r="D173">
        <v>7.794887377232362E-3</v>
      </c>
      <c r="E173">
        <v>1.1427364484471798E-2</v>
      </c>
      <c r="F173">
        <v>3.4328150851888804E-2</v>
      </c>
      <c r="H173">
        <v>6.4828277486863595E-3</v>
      </c>
      <c r="I173">
        <v>7.764586025610476E-3</v>
      </c>
      <c r="J173">
        <v>1.136232015246319E-2</v>
      </c>
      <c r="K173">
        <v>3.3745624589192835E-2</v>
      </c>
      <c r="P173">
        <v>0.57055492731218049</v>
      </c>
      <c r="Q173">
        <v>0.6833627218229037</v>
      </c>
      <c r="R173">
        <v>1</v>
      </c>
      <c r="S173">
        <v>2.9699589640481361</v>
      </c>
    </row>
    <row r="174" spans="1:19" x14ac:dyDescent="0.25">
      <c r="A174">
        <v>2016</v>
      </c>
      <c r="B174">
        <v>4</v>
      </c>
      <c r="C174">
        <v>0</v>
      </c>
      <c r="D174">
        <v>0</v>
      </c>
      <c r="E174">
        <v>0</v>
      </c>
      <c r="F174">
        <v>0</v>
      </c>
      <c r="H174">
        <v>0</v>
      </c>
      <c r="I174">
        <v>0</v>
      </c>
      <c r="J174">
        <v>0</v>
      </c>
      <c r="K174">
        <v>0</v>
      </c>
      <c r="P174" t="s">
        <v>702</v>
      </c>
      <c r="Q174" t="s">
        <v>702</v>
      </c>
      <c r="R174" t="s">
        <v>702</v>
      </c>
      <c r="S174" t="s">
        <v>702</v>
      </c>
    </row>
    <row r="175" spans="1:19" x14ac:dyDescent="0.25">
      <c r="A175">
        <v>2017</v>
      </c>
      <c r="B175">
        <v>1</v>
      </c>
      <c r="C175">
        <v>7.4133782321711634E-3</v>
      </c>
      <c r="D175">
        <v>0.19495900697429155</v>
      </c>
      <c r="E175">
        <v>0.24312055850512326</v>
      </c>
      <c r="F175">
        <v>0.29939744124458734</v>
      </c>
      <c r="H175">
        <v>7.3859669223927948E-3</v>
      </c>
      <c r="I175">
        <v>0.17713161077032347</v>
      </c>
      <c r="J175">
        <v>0.21582303113054402</v>
      </c>
      <c r="K175">
        <v>0.25873525829917654</v>
      </c>
      <c r="P175">
        <v>3.4222329673079581E-2</v>
      </c>
      <c r="Q175">
        <v>0.82072617478522292</v>
      </c>
      <c r="R175">
        <v>1</v>
      </c>
      <c r="S175">
        <v>1.1988306203644985</v>
      </c>
    </row>
    <row r="176" spans="1:19" x14ac:dyDescent="0.25">
      <c r="A176">
        <v>2017</v>
      </c>
      <c r="B176">
        <v>2</v>
      </c>
      <c r="C176">
        <v>8.6407414041302626E-3</v>
      </c>
      <c r="D176">
        <v>0.12200147446299883</v>
      </c>
      <c r="E176">
        <v>0.13562019391507857</v>
      </c>
      <c r="F176">
        <v>0.60864388092613009</v>
      </c>
      <c r="H176">
        <v>8.6035174893538402E-3</v>
      </c>
      <c r="I176">
        <v>0.11485293661492857</v>
      </c>
      <c r="J176">
        <v>0.12682579360537494</v>
      </c>
      <c r="K176">
        <v>0.45591178259507925</v>
      </c>
      <c r="P176">
        <v>6.7837284867494171E-2</v>
      </c>
      <c r="Q176">
        <v>0.90559604123037829</v>
      </c>
      <c r="R176">
        <v>1</v>
      </c>
      <c r="S176">
        <v>3.5947875399358629</v>
      </c>
    </row>
    <row r="177" spans="1:19" x14ac:dyDescent="0.25">
      <c r="A177">
        <v>2017</v>
      </c>
      <c r="B177">
        <v>3</v>
      </c>
      <c r="C177">
        <v>6.1797129994372538E-3</v>
      </c>
      <c r="D177">
        <v>6.1983763066737328E-2</v>
      </c>
      <c r="E177">
        <v>0.35593662952646238</v>
      </c>
      <c r="F177">
        <v>1.381990983306933</v>
      </c>
      <c r="H177">
        <v>6.1606578450600358E-3</v>
      </c>
      <c r="I177">
        <v>6.010185226930842E-2</v>
      </c>
      <c r="J177">
        <v>0.29948298907658855</v>
      </c>
      <c r="K177">
        <v>2</v>
      </c>
      <c r="P177">
        <v>2.0570977550529706E-2</v>
      </c>
      <c r="Q177">
        <v>0.2006853626465516</v>
      </c>
      <c r="R177">
        <v>1</v>
      </c>
      <c r="S177">
        <v>6.6781756325015449</v>
      </c>
    </row>
    <row r="178" spans="1:19" x14ac:dyDescent="0.25">
      <c r="A178">
        <v>2017</v>
      </c>
      <c r="B178">
        <v>4</v>
      </c>
      <c r="C178">
        <v>0</v>
      </c>
      <c r="D178">
        <v>0</v>
      </c>
      <c r="E178">
        <v>0</v>
      </c>
      <c r="F178">
        <v>0</v>
      </c>
      <c r="H178">
        <v>0</v>
      </c>
      <c r="I178">
        <v>0</v>
      </c>
      <c r="J178">
        <v>0</v>
      </c>
      <c r="K178">
        <v>0</v>
      </c>
      <c r="P178" t="s">
        <v>702</v>
      </c>
      <c r="Q178" t="s">
        <v>702</v>
      </c>
      <c r="R178" t="s">
        <v>702</v>
      </c>
      <c r="S178" t="s">
        <v>702</v>
      </c>
    </row>
    <row r="179" spans="1:19" x14ac:dyDescent="0.25">
      <c r="A179">
        <v>2018</v>
      </c>
      <c r="B179">
        <v>1</v>
      </c>
      <c r="C179">
        <v>2.0300354350387375E-2</v>
      </c>
      <c r="D179">
        <v>0.18499084805857244</v>
      </c>
      <c r="E179">
        <v>0.39867287340497581</v>
      </c>
      <c r="F179">
        <v>1.0757543741751332</v>
      </c>
      <c r="H179">
        <v>2.0095689420240537E-2</v>
      </c>
      <c r="I179">
        <v>0.16888810989534242</v>
      </c>
      <c r="J179">
        <v>0.32878976383724789</v>
      </c>
      <c r="K179">
        <v>2</v>
      </c>
      <c r="P179">
        <v>6.1120179611759369E-2</v>
      </c>
      <c r="Q179">
        <v>0.51366596065607029</v>
      </c>
      <c r="R179">
        <v>1</v>
      </c>
      <c r="S179">
        <v>6.0829144334006919</v>
      </c>
    </row>
    <row r="180" spans="1:19" x14ac:dyDescent="0.25">
      <c r="A180">
        <v>2018</v>
      </c>
      <c r="B180">
        <v>2</v>
      </c>
      <c r="C180">
        <v>1.4307285357423948E-2</v>
      </c>
      <c r="D180">
        <v>9.0048976665159847E-2</v>
      </c>
      <c r="E180">
        <v>0.45303825642710965</v>
      </c>
      <c r="F180">
        <v>3.838367939512854</v>
      </c>
      <c r="H180">
        <v>1.4205422522469369E-2</v>
      </c>
      <c r="I180">
        <v>8.6113574934300274E-2</v>
      </c>
      <c r="J180">
        <v>0.36430618621282906</v>
      </c>
      <c r="K180">
        <v>2</v>
      </c>
      <c r="P180">
        <v>3.8993086200766587E-2</v>
      </c>
      <c r="Q180">
        <v>0.23637692192246332</v>
      </c>
      <c r="R180">
        <v>1</v>
      </c>
      <c r="S180">
        <v>5.489887560766241</v>
      </c>
    </row>
    <row r="181" spans="1:19" x14ac:dyDescent="0.25">
      <c r="A181">
        <v>2018</v>
      </c>
      <c r="B181">
        <v>3</v>
      </c>
      <c r="C181">
        <v>1.5154162581934914E-3</v>
      </c>
      <c r="D181">
        <v>5.8927016368645668E-2</v>
      </c>
      <c r="E181">
        <v>0.19047487038091526</v>
      </c>
      <c r="F181">
        <v>0.30103997710142161</v>
      </c>
      <c r="H181">
        <v>1.514268594778212E-3</v>
      </c>
      <c r="I181">
        <v>5.7224426168807963E-2</v>
      </c>
      <c r="J181">
        <v>0.17343347122991282</v>
      </c>
      <c r="K181">
        <v>0.2599518128260967</v>
      </c>
      <c r="P181">
        <v>8.7311208386691135E-3</v>
      </c>
      <c r="Q181">
        <v>0.32995030176699952</v>
      </c>
      <c r="R181">
        <v>1</v>
      </c>
      <c r="S181">
        <v>1.4988560799863739</v>
      </c>
    </row>
    <row r="182" spans="1:19" x14ac:dyDescent="0.25">
      <c r="A182">
        <v>2018</v>
      </c>
      <c r="B182">
        <v>4</v>
      </c>
      <c r="C182">
        <v>0</v>
      </c>
      <c r="D182">
        <v>0</v>
      </c>
      <c r="E182">
        <v>0</v>
      </c>
      <c r="F182">
        <v>0</v>
      </c>
      <c r="H182">
        <v>0</v>
      </c>
      <c r="I182">
        <v>0</v>
      </c>
      <c r="J182">
        <v>0</v>
      </c>
      <c r="K182">
        <v>0</v>
      </c>
      <c r="P182" t="s">
        <v>702</v>
      </c>
      <c r="Q182" t="s">
        <v>702</v>
      </c>
      <c r="R182" t="s">
        <v>702</v>
      </c>
      <c r="S182" t="s">
        <v>702</v>
      </c>
    </row>
    <row r="183" spans="1:19" x14ac:dyDescent="0.25">
      <c r="A183">
        <v>2019</v>
      </c>
      <c r="B183">
        <v>1</v>
      </c>
      <c r="C183">
        <v>1.1992562347939408E-2</v>
      </c>
      <c r="D183">
        <v>0.16299850594952245</v>
      </c>
      <c r="E183">
        <v>0.33135265604710407</v>
      </c>
      <c r="F183">
        <v>0.23471046888755703</v>
      </c>
      <c r="H183">
        <v>1.1920938177128804E-2</v>
      </c>
      <c r="I183">
        <v>0.15040754225234076</v>
      </c>
      <c r="J183">
        <v>0.28204806570034746</v>
      </c>
      <c r="K183">
        <v>0.20920022237441693</v>
      </c>
      <c r="P183">
        <v>4.2265626419128878E-2</v>
      </c>
      <c r="Q183">
        <v>0.53326918544492419</v>
      </c>
      <c r="R183">
        <v>1</v>
      </c>
      <c r="S183">
        <v>0.74171833745768256</v>
      </c>
    </row>
    <row r="184" spans="1:19" x14ac:dyDescent="0.25">
      <c r="A184">
        <v>2019</v>
      </c>
      <c r="B184">
        <v>2</v>
      </c>
      <c r="C184">
        <v>7.6669297493378663E-3</v>
      </c>
      <c r="D184">
        <v>7.9329100142772391E-2</v>
      </c>
      <c r="E184">
        <v>0.22522968791746747</v>
      </c>
      <c r="F184">
        <v>0.41943688808465251</v>
      </c>
      <c r="H184">
        <v>7.6376138123670501E-3</v>
      </c>
      <c r="I184">
        <v>7.6264127191512765E-2</v>
      </c>
      <c r="J184">
        <v>0.20166716970611021</v>
      </c>
      <c r="K184">
        <v>0.34258308509906743</v>
      </c>
      <c r="P184">
        <v>3.7872370716053351E-2</v>
      </c>
      <c r="Q184">
        <v>0.37816828243611772</v>
      </c>
      <c r="R184">
        <v>1</v>
      </c>
      <c r="S184">
        <v>1.6987548622728932</v>
      </c>
    </row>
    <row r="185" spans="1:19" x14ac:dyDescent="0.25">
      <c r="A185">
        <v>2019</v>
      </c>
      <c r="B185">
        <v>3</v>
      </c>
      <c r="C185">
        <v>0</v>
      </c>
      <c r="D185">
        <v>0</v>
      </c>
      <c r="E185">
        <v>0</v>
      </c>
      <c r="F185">
        <v>0</v>
      </c>
      <c r="H185">
        <v>0</v>
      </c>
      <c r="I185">
        <v>0</v>
      </c>
      <c r="J185">
        <v>0</v>
      </c>
      <c r="K185">
        <v>0</v>
      </c>
      <c r="P185" t="s">
        <v>702</v>
      </c>
      <c r="Q185" t="s">
        <v>702</v>
      </c>
      <c r="R185" t="s">
        <v>702</v>
      </c>
      <c r="S185" t="s">
        <v>702</v>
      </c>
    </row>
    <row r="186" spans="1:19" x14ac:dyDescent="0.25">
      <c r="A186">
        <v>2019</v>
      </c>
      <c r="B186">
        <v>4</v>
      </c>
      <c r="C186">
        <v>0</v>
      </c>
      <c r="D186">
        <v>0</v>
      </c>
      <c r="E186">
        <v>0</v>
      </c>
      <c r="F186">
        <v>0</v>
      </c>
      <c r="H186">
        <v>0</v>
      </c>
      <c r="I186">
        <v>0</v>
      </c>
      <c r="J186">
        <v>0</v>
      </c>
      <c r="K186">
        <v>0</v>
      </c>
      <c r="P186" t="s">
        <v>702</v>
      </c>
      <c r="Q186" t="s">
        <v>702</v>
      </c>
      <c r="R186" t="s">
        <v>702</v>
      </c>
      <c r="S186" t="s">
        <v>702</v>
      </c>
    </row>
    <row r="187" spans="1:19" x14ac:dyDescent="0.25">
      <c r="A187">
        <v>2020</v>
      </c>
      <c r="B187">
        <v>1</v>
      </c>
      <c r="C187">
        <v>1.43375973918329E-3</v>
      </c>
      <c r="D187">
        <v>0.19569286158958141</v>
      </c>
      <c r="E187">
        <v>0.3398935569232599</v>
      </c>
      <c r="F187">
        <v>0.37069291542546301</v>
      </c>
      <c r="H187">
        <v>1.4327323967344707E-3</v>
      </c>
      <c r="I187">
        <v>0.17773525501488763</v>
      </c>
      <c r="J187">
        <v>0.28815391018193548</v>
      </c>
      <c r="K187">
        <v>0.30974412405178009</v>
      </c>
      <c r="P187">
        <v>4.9721081203786821E-3</v>
      </c>
      <c r="Q187">
        <v>0.61680667426192004</v>
      </c>
      <c r="R187">
        <v>1</v>
      </c>
      <c r="S187">
        <v>1.0749259791623613</v>
      </c>
    </row>
    <row r="188" spans="1:19" x14ac:dyDescent="0.25">
      <c r="A188">
        <v>2020</v>
      </c>
      <c r="B188">
        <v>2</v>
      </c>
      <c r="C188">
        <v>1.0538217903122938E-3</v>
      </c>
      <c r="D188">
        <v>0.12722088964919442</v>
      </c>
      <c r="E188">
        <v>0.11268010621300338</v>
      </c>
      <c r="F188">
        <v>0.32535037194226152</v>
      </c>
      <c r="H188">
        <v>1.0532667151299524E-3</v>
      </c>
      <c r="I188">
        <v>0.11946085086991565</v>
      </c>
      <c r="J188">
        <v>0.10656358083312578</v>
      </c>
      <c r="K188">
        <v>0.27772575532643073</v>
      </c>
      <c r="P188">
        <v>9.8839275754005022E-3</v>
      </c>
      <c r="Q188">
        <v>1.1210288724905599</v>
      </c>
      <c r="R188">
        <v>1</v>
      </c>
      <c r="S188">
        <v>2.6061976629833596</v>
      </c>
    </row>
    <row r="189" spans="1:19" x14ac:dyDescent="0.25">
      <c r="A189">
        <v>2020</v>
      </c>
      <c r="B189">
        <v>3</v>
      </c>
      <c r="C189">
        <v>0</v>
      </c>
      <c r="D189">
        <v>0</v>
      </c>
      <c r="E189">
        <v>0</v>
      </c>
      <c r="F189">
        <v>0</v>
      </c>
      <c r="H189">
        <v>0</v>
      </c>
      <c r="I189">
        <v>0</v>
      </c>
      <c r="J189">
        <v>0</v>
      </c>
      <c r="K189">
        <v>0</v>
      </c>
      <c r="P189" t="s">
        <v>702</v>
      </c>
      <c r="Q189" t="s">
        <v>702</v>
      </c>
      <c r="R189" t="s">
        <v>702</v>
      </c>
      <c r="S189" t="s">
        <v>702</v>
      </c>
    </row>
    <row r="190" spans="1:19" x14ac:dyDescent="0.25">
      <c r="A190">
        <v>2020</v>
      </c>
      <c r="B190">
        <v>4</v>
      </c>
      <c r="C190">
        <v>0</v>
      </c>
      <c r="D190">
        <v>0</v>
      </c>
      <c r="E190">
        <v>0</v>
      </c>
      <c r="F190">
        <v>0</v>
      </c>
      <c r="H190">
        <v>0</v>
      </c>
      <c r="I190">
        <v>0</v>
      </c>
      <c r="J190">
        <v>0</v>
      </c>
      <c r="K190">
        <v>0</v>
      </c>
      <c r="P190" t="s">
        <v>702</v>
      </c>
      <c r="Q190" t="s">
        <v>702</v>
      </c>
      <c r="R190" t="s">
        <v>702</v>
      </c>
      <c r="S190" t="s">
        <v>702</v>
      </c>
    </row>
    <row r="191" spans="1:19" x14ac:dyDescent="0.25">
      <c r="A191">
        <v>2021</v>
      </c>
      <c r="B191">
        <v>1</v>
      </c>
      <c r="C191">
        <v>3.4665321440505875E-3</v>
      </c>
      <c r="D191">
        <v>0.17464615384615384</v>
      </c>
      <c r="E191">
        <v>0.26832641425389753</v>
      </c>
      <c r="F191">
        <v>0.49215847526014833</v>
      </c>
      <c r="H191">
        <v>3.4605306582816686E-3</v>
      </c>
      <c r="I191">
        <v>0.16024588803348538</v>
      </c>
      <c r="J191">
        <v>0.23534185495520477</v>
      </c>
      <c r="K191">
        <v>0.38869451863947324</v>
      </c>
      <c r="P191">
        <v>1.4704272042643456E-2</v>
      </c>
      <c r="Q191">
        <v>0.68090687933086436</v>
      </c>
      <c r="R191">
        <v>1</v>
      </c>
      <c r="S191">
        <v>1.6516166183591006</v>
      </c>
    </row>
    <row r="192" spans="1:19" x14ac:dyDescent="0.25">
      <c r="A192">
        <v>2021</v>
      </c>
      <c r="B192">
        <v>2</v>
      </c>
      <c r="C192">
        <v>2.8774180956251936E-3</v>
      </c>
      <c r="D192">
        <v>5.5704949221209381E-2</v>
      </c>
      <c r="E192">
        <v>0.1906160406327769</v>
      </c>
      <c r="F192">
        <v>0.68586547820802313</v>
      </c>
      <c r="H192">
        <v>2.873282295935975E-3</v>
      </c>
      <c r="I192">
        <v>5.4181840890197397E-2</v>
      </c>
      <c r="J192">
        <v>0.17355014959900861</v>
      </c>
      <c r="K192">
        <v>0.49634586079317256</v>
      </c>
      <c r="P192">
        <v>1.6555919442159839E-2</v>
      </c>
      <c r="Q192">
        <v>0.31219702786419784</v>
      </c>
      <c r="R192">
        <v>1</v>
      </c>
      <c r="S192">
        <v>2.859956398424262</v>
      </c>
    </row>
    <row r="193" spans="1:19" x14ac:dyDescent="0.25">
      <c r="A193">
        <v>2021</v>
      </c>
      <c r="B193">
        <v>3</v>
      </c>
      <c r="C193">
        <v>0</v>
      </c>
      <c r="D193">
        <v>0</v>
      </c>
      <c r="E193">
        <v>0</v>
      </c>
      <c r="F193">
        <v>0</v>
      </c>
      <c r="H193">
        <v>0</v>
      </c>
      <c r="I193">
        <v>0</v>
      </c>
      <c r="J193">
        <v>0</v>
      </c>
      <c r="K193">
        <v>0</v>
      </c>
      <c r="P193" t="s">
        <v>702</v>
      </c>
      <c r="Q193" t="s">
        <v>702</v>
      </c>
      <c r="R193" t="s">
        <v>702</v>
      </c>
      <c r="S193" t="s">
        <v>702</v>
      </c>
    </row>
    <row r="194" spans="1:19" x14ac:dyDescent="0.25">
      <c r="A194">
        <v>2021</v>
      </c>
      <c r="B194">
        <v>4</v>
      </c>
      <c r="C194">
        <v>0</v>
      </c>
      <c r="D194">
        <v>0</v>
      </c>
      <c r="E194">
        <v>0</v>
      </c>
      <c r="F194">
        <v>0</v>
      </c>
      <c r="H194">
        <v>0</v>
      </c>
      <c r="I194">
        <v>0</v>
      </c>
      <c r="J194">
        <v>0</v>
      </c>
      <c r="K194">
        <v>0</v>
      </c>
      <c r="P194" t="s">
        <v>702</v>
      </c>
      <c r="Q194" t="s">
        <v>702</v>
      </c>
      <c r="R194" t="s">
        <v>702</v>
      </c>
      <c r="S194" t="s">
        <v>702</v>
      </c>
    </row>
    <row r="195" spans="1:19" x14ac:dyDescent="0.25">
      <c r="A195">
        <v>2022</v>
      </c>
      <c r="B195">
        <v>1</v>
      </c>
      <c r="C195">
        <v>2.0240619037523852E-3</v>
      </c>
      <c r="D195">
        <v>0.19751402139427021</v>
      </c>
      <c r="E195">
        <v>0.20903450631344583</v>
      </c>
      <c r="F195">
        <v>0.30117185014136749</v>
      </c>
      <c r="H195">
        <v>2.0220148717966513E-3</v>
      </c>
      <c r="I195">
        <v>0.17923136777355408</v>
      </c>
      <c r="J195">
        <v>0.18863276213186531</v>
      </c>
      <c r="K195">
        <v>0.26004939879562505</v>
      </c>
      <c r="P195">
        <v>1.0719319639624133E-2</v>
      </c>
      <c r="Q195">
        <v>0.95016033136524236</v>
      </c>
      <c r="R195">
        <v>1</v>
      </c>
      <c r="S195">
        <v>1.3786014468358119</v>
      </c>
    </row>
    <row r="196" spans="1:19" x14ac:dyDescent="0.25">
      <c r="A196">
        <v>2022</v>
      </c>
      <c r="B196">
        <v>2</v>
      </c>
      <c r="C196">
        <v>7.3014822565175691E-3</v>
      </c>
      <c r="D196">
        <v>1.4328629538492442E-2</v>
      </c>
      <c r="E196">
        <v>0.17266004887138567</v>
      </c>
      <c r="F196">
        <v>0.57210803465262439</v>
      </c>
      <c r="H196">
        <v>7.2748911923664616E-3</v>
      </c>
      <c r="I196">
        <v>1.4226463275877732E-2</v>
      </c>
      <c r="J196">
        <v>0.15857639086460373</v>
      </c>
      <c r="K196">
        <v>0.4356654528608358</v>
      </c>
      <c r="P196">
        <v>4.5876256564433573E-2</v>
      </c>
      <c r="Q196">
        <v>8.9713627598099532E-2</v>
      </c>
      <c r="R196">
        <v>1</v>
      </c>
      <c r="S196">
        <v>2.7473538178379733</v>
      </c>
    </row>
    <row r="197" spans="1:19" x14ac:dyDescent="0.25">
      <c r="A197">
        <v>2022</v>
      </c>
      <c r="B197">
        <v>3</v>
      </c>
      <c r="C197">
        <v>0</v>
      </c>
      <c r="D197">
        <v>0</v>
      </c>
      <c r="E197">
        <v>0</v>
      </c>
      <c r="F197">
        <v>0</v>
      </c>
      <c r="H197">
        <v>0</v>
      </c>
      <c r="I197">
        <v>0</v>
      </c>
      <c r="J197">
        <v>0</v>
      </c>
      <c r="K197">
        <v>0</v>
      </c>
      <c r="P197" t="s">
        <v>702</v>
      </c>
      <c r="Q197" t="s">
        <v>702</v>
      </c>
      <c r="R197" t="s">
        <v>702</v>
      </c>
      <c r="S197" t="s">
        <v>702</v>
      </c>
    </row>
    <row r="198" spans="1:19" x14ac:dyDescent="0.25">
      <c r="A198">
        <v>2022</v>
      </c>
      <c r="B198">
        <v>4</v>
      </c>
      <c r="C198">
        <v>0</v>
      </c>
      <c r="D198">
        <v>0</v>
      </c>
      <c r="E198">
        <v>0</v>
      </c>
      <c r="F198">
        <v>0</v>
      </c>
      <c r="H198">
        <v>0</v>
      </c>
      <c r="I198">
        <v>0</v>
      </c>
      <c r="J198">
        <v>0</v>
      </c>
      <c r="K198">
        <v>0</v>
      </c>
      <c r="P198" t="s">
        <v>702</v>
      </c>
      <c r="Q198" t="s">
        <v>702</v>
      </c>
      <c r="R198" t="s">
        <v>702</v>
      </c>
      <c r="S198" t="s">
        <v>702</v>
      </c>
    </row>
    <row r="199" spans="1:19" x14ac:dyDescent="0.25">
      <c r="A199">
        <v>2023</v>
      </c>
      <c r="B199">
        <v>1</v>
      </c>
      <c r="C199">
        <v>6.0881263724348756E-3</v>
      </c>
      <c r="D199">
        <v>0.11806864009938838</v>
      </c>
      <c r="E199">
        <v>0.30055478712203043</v>
      </c>
      <c r="F199">
        <v>0.16107809986540167</v>
      </c>
      <c r="H199">
        <v>6.0696312835855082E-3</v>
      </c>
      <c r="I199">
        <v>0.11136494547727871</v>
      </c>
      <c r="J199">
        <v>0.2595926617402049</v>
      </c>
      <c r="K199">
        <v>0.14877441209282161</v>
      </c>
      <c r="P199">
        <v>2.3381366957359807E-2</v>
      </c>
      <c r="Q199">
        <v>0.42899881965357906</v>
      </c>
      <c r="R199">
        <v>1</v>
      </c>
      <c r="S199">
        <v>0.57310715601703732</v>
      </c>
    </row>
    <row r="200" spans="1:19" x14ac:dyDescent="0.25">
      <c r="A200">
        <v>2023</v>
      </c>
      <c r="B200">
        <v>2</v>
      </c>
      <c r="C200">
        <v>8.936392385194683E-3</v>
      </c>
      <c r="D200">
        <v>0.11625541847282428</v>
      </c>
      <c r="E200">
        <v>0.42233586664077888</v>
      </c>
      <c r="F200">
        <v>0.43729834372983439</v>
      </c>
      <c r="H200">
        <v>8.8965815075650045E-3</v>
      </c>
      <c r="I200">
        <v>0.10975219147994597</v>
      </c>
      <c r="J200">
        <v>0.34448616281425581</v>
      </c>
      <c r="K200">
        <v>0.35422126136981835</v>
      </c>
      <c r="P200">
        <v>2.5825657073959077E-2</v>
      </c>
      <c r="Q200">
        <v>0.31859680685962261</v>
      </c>
      <c r="R200">
        <v>1</v>
      </c>
      <c r="S200">
        <v>1.0282597665927489</v>
      </c>
    </row>
    <row r="201" spans="1:19" x14ac:dyDescent="0.25">
      <c r="A201">
        <v>2023</v>
      </c>
      <c r="B201">
        <v>3</v>
      </c>
      <c r="C201">
        <v>0</v>
      </c>
      <c r="D201">
        <v>0</v>
      </c>
      <c r="E201">
        <v>0</v>
      </c>
      <c r="F201">
        <v>0</v>
      </c>
      <c r="H201">
        <v>0</v>
      </c>
      <c r="I201">
        <v>0</v>
      </c>
      <c r="J201">
        <v>0</v>
      </c>
      <c r="K201">
        <v>0</v>
      </c>
      <c r="P201" t="s">
        <v>702</v>
      </c>
      <c r="Q201" t="s">
        <v>702</v>
      </c>
      <c r="R201" t="s">
        <v>702</v>
      </c>
      <c r="S201" t="s">
        <v>702</v>
      </c>
    </row>
    <row r="202" spans="1:19" x14ac:dyDescent="0.25">
      <c r="A202">
        <v>2023</v>
      </c>
      <c r="B202">
        <v>4</v>
      </c>
      <c r="C202">
        <v>0</v>
      </c>
      <c r="D202">
        <v>0</v>
      </c>
      <c r="E202">
        <v>0</v>
      </c>
      <c r="F202">
        <v>0</v>
      </c>
      <c r="H202">
        <v>0</v>
      </c>
      <c r="I202">
        <v>0</v>
      </c>
      <c r="J202">
        <v>0</v>
      </c>
      <c r="K202">
        <v>0</v>
      </c>
      <c r="P202" t="s">
        <v>702</v>
      </c>
      <c r="Q202" t="s">
        <v>702</v>
      </c>
      <c r="R202" t="s">
        <v>702</v>
      </c>
      <c r="S202" t="s">
        <v>702</v>
      </c>
    </row>
    <row r="203" spans="1:19" x14ac:dyDescent="0.25">
      <c r="A203">
        <v>2024</v>
      </c>
      <c r="B203">
        <v>1</v>
      </c>
      <c r="C203">
        <v>2.5202149677618517E-2</v>
      </c>
      <c r="D203">
        <v>0.135299379318638</v>
      </c>
      <c r="E203">
        <v>0.35446026354460264</v>
      </c>
      <c r="F203">
        <v>0.94362685612161601</v>
      </c>
      <c r="H203">
        <v>2.4887226629532577E-2</v>
      </c>
      <c r="I203">
        <v>0.12654562163550243</v>
      </c>
      <c r="J203">
        <v>0.29844800577286879</v>
      </c>
      <c r="K203">
        <v>0.61078634952468014</v>
      </c>
      <c r="P203">
        <v>8.338881864894343E-2</v>
      </c>
      <c r="Q203">
        <v>0.42401228752658798</v>
      </c>
      <c r="R203">
        <v>1</v>
      </c>
      <c r="S203">
        <v>2.0465419024763518</v>
      </c>
    </row>
    <row r="204" spans="1:19" x14ac:dyDescent="0.25">
      <c r="A204">
        <v>2024</v>
      </c>
      <c r="B204">
        <v>2</v>
      </c>
      <c r="C204">
        <v>1.4140640591247519E-2</v>
      </c>
      <c r="D204">
        <v>4.5092612002247172E-2</v>
      </c>
      <c r="E204">
        <v>3.6025512176265942E-2</v>
      </c>
      <c r="F204">
        <v>0.18377706412514244</v>
      </c>
      <c r="H204">
        <v>1.4041131326853917E-2</v>
      </c>
      <c r="I204">
        <v>4.4091050908175444E-2</v>
      </c>
      <c r="J204">
        <v>3.5384316276151906E-2</v>
      </c>
      <c r="K204">
        <v>0.16787870716176756</v>
      </c>
      <c r="P204">
        <v>0.39681793530421466</v>
      </c>
      <c r="Q204">
        <v>1.2460619717524866</v>
      </c>
      <c r="R204">
        <v>1</v>
      </c>
      <c r="S204">
        <v>4.7444383509231001</v>
      </c>
    </row>
    <row r="205" spans="1:19" x14ac:dyDescent="0.25">
      <c r="A205">
        <v>2024</v>
      </c>
      <c r="B205">
        <v>3</v>
      </c>
      <c r="C205">
        <v>0</v>
      </c>
      <c r="D205">
        <v>0</v>
      </c>
      <c r="E205">
        <v>0</v>
      </c>
      <c r="F205">
        <v>0</v>
      </c>
      <c r="H205">
        <v>0</v>
      </c>
      <c r="I205">
        <v>0</v>
      </c>
      <c r="J205">
        <v>0</v>
      </c>
      <c r="K205">
        <v>0</v>
      </c>
      <c r="P205" t="s">
        <v>702</v>
      </c>
      <c r="Q205" t="s">
        <v>702</v>
      </c>
      <c r="R205" t="s">
        <v>702</v>
      </c>
      <c r="S205" t="s">
        <v>702</v>
      </c>
    </row>
    <row r="206" spans="1:19" x14ac:dyDescent="0.25">
      <c r="A206">
        <v>2024</v>
      </c>
      <c r="B206">
        <v>4</v>
      </c>
      <c r="C206">
        <v>0</v>
      </c>
      <c r="D206">
        <v>0</v>
      </c>
      <c r="E206">
        <v>0</v>
      </c>
      <c r="F206">
        <v>0</v>
      </c>
      <c r="H206">
        <v>0</v>
      </c>
      <c r="I206">
        <v>0</v>
      </c>
      <c r="J206">
        <v>0</v>
      </c>
      <c r="K206">
        <v>0</v>
      </c>
      <c r="P206" t="s">
        <v>702</v>
      </c>
      <c r="Q206" t="s">
        <v>702</v>
      </c>
      <c r="R206" t="s">
        <v>702</v>
      </c>
      <c r="S206" t="s">
        <v>702</v>
      </c>
    </row>
    <row r="207" spans="1:19" x14ac:dyDescent="0.25">
      <c r="O207" t="s">
        <v>701</v>
      </c>
      <c r="P207">
        <v>0.17662988311235736</v>
      </c>
      <c r="Q207">
        <v>1.0093943045478788</v>
      </c>
      <c r="R207">
        <v>1</v>
      </c>
      <c r="S207">
        <v>2.0260545229059566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11.2.2-catch</vt:lpstr>
      <vt:lpstr>11.2.3-weight</vt:lpstr>
      <vt:lpstr>11.6.1-nat mort</vt:lpstr>
      <vt:lpstr>11.6.3Num</vt:lpstr>
      <vt:lpstr>11.9.1 -maturity</vt:lpstr>
      <vt:lpstr>FM Estimated</vt:lpstr>
      <vt:lpstr>11.6.3 Num quart long</vt:lpstr>
      <vt:lpstr>FM don't use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2026-03-02T19:29:31Z</dcterms:created>
  <dcterms:modified xsi:type="dcterms:W3CDTF">2026-03-10T14:00:25Z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2026-03-02T23:10:40Z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bfd5be16-b840-4ad4-8a81-79efcf9a22e3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