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8_{0F05BF87-0E6A-4C29-9455-F4B4ABD57153}" xr6:coauthVersionLast="47" xr6:coauthVersionMax="47" xr10:uidLastSave="{00000000-0000-0000-0000-000000000000}"/>
  <bookViews>
    <workbookView xWindow="-120" yWindow="-120" windowWidth="29040" windowHeight="15720" activeTab="1" xr2:uid="{E39FE445-15FF-4EEB-AEB3-75FB5B747230}"/>
  </bookViews>
  <sheets>
    <sheet name="Table 10.3.3 Num" sheetId="1" r:id="rId1"/>
    <sheet name="Table 10.3.4 FM" sheetId="2" r:id="rId2"/>
    <sheet name="Table 10.2.6 - maturity" sheetId="3" r:id="rId3"/>
    <sheet name="Table 10.2.6 WA" sheetId="4" r:id="rId4"/>
    <sheet name="Table 10.2.6 nat mor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D3" i="5"/>
  <c r="E3" i="5"/>
  <c r="C4" i="5"/>
  <c r="D4" i="5"/>
  <c r="E4" i="5"/>
  <c r="C5" i="5"/>
  <c r="D5" i="5"/>
  <c r="E5" i="5"/>
  <c r="C6" i="5"/>
  <c r="D6" i="5"/>
  <c r="E6" i="5"/>
  <c r="C7" i="5"/>
  <c r="D7" i="5"/>
  <c r="E7" i="5"/>
  <c r="C8" i="5"/>
  <c r="D8" i="5"/>
  <c r="E8" i="5"/>
  <c r="C9" i="5"/>
  <c r="D9" i="5"/>
  <c r="E9" i="5"/>
  <c r="C10" i="5"/>
  <c r="D10" i="5"/>
  <c r="E10" i="5"/>
  <c r="C11" i="5"/>
  <c r="D11" i="5"/>
  <c r="E11" i="5"/>
  <c r="C12" i="5"/>
  <c r="D12" i="5"/>
  <c r="E12" i="5"/>
  <c r="C13" i="5"/>
  <c r="D13" i="5"/>
  <c r="E13" i="5"/>
  <c r="C14" i="5"/>
  <c r="D14" i="5"/>
  <c r="E14" i="5"/>
  <c r="C15" i="5"/>
  <c r="D15" i="5"/>
  <c r="E15" i="5"/>
  <c r="C16" i="5"/>
  <c r="D16" i="5"/>
  <c r="E16" i="5"/>
  <c r="C17" i="5"/>
  <c r="D17" i="5"/>
  <c r="E17" i="5"/>
  <c r="C18" i="5"/>
  <c r="D18" i="5"/>
  <c r="E18" i="5"/>
  <c r="C19" i="5"/>
  <c r="D19" i="5"/>
  <c r="E19" i="5"/>
  <c r="C20" i="5"/>
  <c r="D20" i="5"/>
  <c r="E20" i="5"/>
  <c r="C21" i="5"/>
  <c r="D21" i="5"/>
  <c r="E21" i="5"/>
  <c r="C22" i="5"/>
  <c r="D22" i="5"/>
  <c r="E22" i="5"/>
  <c r="C23" i="5"/>
  <c r="D23" i="5"/>
  <c r="E23" i="5"/>
  <c r="C24" i="5"/>
  <c r="D24" i="5"/>
  <c r="E24" i="5"/>
  <c r="C25" i="5"/>
  <c r="D25" i="5"/>
  <c r="E25" i="5"/>
  <c r="C26" i="5"/>
  <c r="D26" i="5"/>
  <c r="E26" i="5"/>
  <c r="C27" i="5"/>
  <c r="D27" i="5"/>
  <c r="E27" i="5"/>
  <c r="C28" i="5"/>
  <c r="D28" i="5"/>
  <c r="E28" i="5"/>
  <c r="C29" i="5"/>
  <c r="D29" i="5"/>
  <c r="E29" i="5"/>
  <c r="C30" i="5"/>
  <c r="D30" i="5"/>
  <c r="E30" i="5"/>
  <c r="C31" i="5"/>
  <c r="D31" i="5"/>
  <c r="E31" i="5"/>
  <c r="C32" i="5"/>
  <c r="D32" i="5"/>
  <c r="E32" i="5"/>
  <c r="C33" i="5"/>
  <c r="D33" i="5"/>
  <c r="E33" i="5"/>
  <c r="C34" i="5"/>
  <c r="D34" i="5"/>
  <c r="E34" i="5"/>
  <c r="C35" i="5"/>
  <c r="D35" i="5"/>
  <c r="E35" i="5"/>
  <c r="C36" i="5"/>
  <c r="D36" i="5"/>
  <c r="E36" i="5"/>
  <c r="C37" i="5"/>
  <c r="D37" i="5"/>
  <c r="E37" i="5"/>
  <c r="C38" i="5"/>
  <c r="D38" i="5"/>
  <c r="E38" i="5"/>
  <c r="C39" i="5"/>
  <c r="D39" i="5"/>
  <c r="E39" i="5"/>
  <c r="C40" i="5"/>
  <c r="D40" i="5"/>
  <c r="E40" i="5"/>
  <c r="C41" i="5"/>
  <c r="D41" i="5"/>
  <c r="E41" i="5"/>
  <c r="C42" i="5"/>
  <c r="D42" i="5"/>
  <c r="E42" i="5"/>
  <c r="C43" i="5"/>
  <c r="D43" i="5"/>
  <c r="E43" i="5"/>
  <c r="E2" i="5"/>
  <c r="D2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2" i="5"/>
  <c r="B3" i="4"/>
  <c r="C3" i="4"/>
  <c r="D3" i="4"/>
  <c r="E3" i="4"/>
  <c r="B4" i="4"/>
  <c r="C4" i="4"/>
  <c r="D4" i="4"/>
  <c r="E4" i="4"/>
  <c r="B5" i="4"/>
  <c r="C5" i="4"/>
  <c r="D5" i="4"/>
  <c r="E5" i="4"/>
  <c r="B6" i="4"/>
  <c r="C6" i="4"/>
  <c r="D6" i="4"/>
  <c r="E6" i="4"/>
  <c r="B7" i="4"/>
  <c r="C7" i="4"/>
  <c r="D7" i="4"/>
  <c r="E7" i="4"/>
  <c r="B8" i="4"/>
  <c r="C8" i="4"/>
  <c r="D8" i="4"/>
  <c r="E8" i="4"/>
  <c r="B9" i="4"/>
  <c r="C9" i="4"/>
  <c r="D9" i="4"/>
  <c r="E9" i="4"/>
  <c r="B10" i="4"/>
  <c r="C10" i="4"/>
  <c r="D10" i="4"/>
  <c r="E10" i="4"/>
  <c r="B11" i="4"/>
  <c r="C11" i="4"/>
  <c r="D11" i="4"/>
  <c r="E11" i="4"/>
  <c r="B12" i="4"/>
  <c r="C12" i="4"/>
  <c r="D12" i="4"/>
  <c r="E12" i="4"/>
  <c r="B13" i="4"/>
  <c r="C13" i="4"/>
  <c r="D13" i="4"/>
  <c r="E13" i="4"/>
  <c r="B14" i="4"/>
  <c r="C14" i="4"/>
  <c r="D14" i="4"/>
  <c r="E14" i="4"/>
  <c r="B15" i="4"/>
  <c r="C15" i="4"/>
  <c r="D15" i="4"/>
  <c r="E15" i="4"/>
  <c r="B16" i="4"/>
  <c r="C16" i="4"/>
  <c r="D16" i="4"/>
  <c r="E16" i="4"/>
  <c r="B17" i="4"/>
  <c r="C17" i="4"/>
  <c r="D17" i="4"/>
  <c r="E17" i="4"/>
  <c r="B18" i="4"/>
  <c r="C18" i="4"/>
  <c r="D18" i="4"/>
  <c r="E18" i="4"/>
  <c r="B19" i="4"/>
  <c r="C19" i="4"/>
  <c r="D19" i="4"/>
  <c r="E19" i="4"/>
  <c r="B20" i="4"/>
  <c r="C20" i="4"/>
  <c r="D20" i="4"/>
  <c r="E20" i="4"/>
  <c r="B21" i="4"/>
  <c r="C21" i="4"/>
  <c r="D21" i="4"/>
  <c r="E21" i="4"/>
  <c r="B22" i="4"/>
  <c r="C22" i="4"/>
  <c r="D22" i="4"/>
  <c r="E22" i="4"/>
  <c r="B23" i="4"/>
  <c r="C23" i="4"/>
  <c r="D23" i="4"/>
  <c r="E23" i="4"/>
  <c r="B24" i="4"/>
  <c r="C24" i="4"/>
  <c r="D24" i="4"/>
  <c r="E24" i="4"/>
  <c r="B25" i="4"/>
  <c r="C25" i="4"/>
  <c r="D25" i="4"/>
  <c r="E25" i="4"/>
  <c r="B26" i="4"/>
  <c r="C26" i="4"/>
  <c r="D26" i="4"/>
  <c r="E26" i="4"/>
  <c r="B27" i="4"/>
  <c r="C27" i="4"/>
  <c r="D27" i="4"/>
  <c r="E27" i="4"/>
  <c r="B28" i="4"/>
  <c r="C28" i="4"/>
  <c r="D28" i="4"/>
  <c r="E28" i="4"/>
  <c r="B29" i="4"/>
  <c r="C29" i="4"/>
  <c r="D29" i="4"/>
  <c r="E29" i="4"/>
  <c r="B30" i="4"/>
  <c r="C30" i="4"/>
  <c r="D30" i="4"/>
  <c r="E30" i="4"/>
  <c r="B31" i="4"/>
  <c r="C31" i="4"/>
  <c r="D31" i="4"/>
  <c r="E31" i="4"/>
  <c r="B32" i="4"/>
  <c r="C32" i="4"/>
  <c r="D32" i="4"/>
  <c r="E32" i="4"/>
  <c r="B33" i="4"/>
  <c r="C33" i="4"/>
  <c r="D33" i="4"/>
  <c r="E33" i="4"/>
  <c r="B34" i="4"/>
  <c r="C34" i="4"/>
  <c r="D34" i="4"/>
  <c r="E34" i="4"/>
  <c r="B35" i="4"/>
  <c r="C35" i="4"/>
  <c r="D35" i="4"/>
  <c r="E35" i="4"/>
  <c r="B36" i="4"/>
  <c r="C36" i="4"/>
  <c r="D36" i="4"/>
  <c r="E36" i="4"/>
  <c r="B37" i="4"/>
  <c r="C37" i="4"/>
  <c r="D37" i="4"/>
  <c r="E37" i="4"/>
  <c r="B38" i="4"/>
  <c r="C38" i="4"/>
  <c r="D38" i="4"/>
  <c r="E38" i="4"/>
  <c r="B39" i="4"/>
  <c r="C39" i="4"/>
  <c r="D39" i="4"/>
  <c r="E39" i="4"/>
  <c r="B40" i="4"/>
  <c r="C40" i="4"/>
  <c r="D40" i="4"/>
  <c r="E40" i="4"/>
  <c r="B41" i="4"/>
  <c r="C41" i="4"/>
  <c r="D41" i="4"/>
  <c r="E41" i="4"/>
  <c r="B42" i="4"/>
  <c r="C42" i="4"/>
  <c r="D42" i="4"/>
  <c r="E42" i="4"/>
  <c r="B43" i="4"/>
  <c r="C43" i="4"/>
  <c r="D43" i="4"/>
  <c r="E43" i="4"/>
  <c r="E2" i="4"/>
  <c r="D2" i="4"/>
  <c r="C2" i="4"/>
  <c r="B2" i="4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0.000"/>
  </numFmts>
  <fonts count="3" x14ac:knownFonts="1">
    <font>
      <sz val="11"/>
      <color theme="1"/>
      <name val="Aptos Narrow"/>
      <family val="2"/>
      <scheme val="minor"/>
    </font>
    <font>
      <sz val="9"/>
      <color indexed="8"/>
      <name val="Arial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" fontId="1" fillId="0" borderId="1" xfId="0" applyNumberFormat="1" applyFont="1" applyBorder="1" applyAlignment="1">
      <alignment horizontal="left" vertical="top" shrinkToFit="1"/>
    </xf>
    <xf numFmtId="2" fontId="1" fillId="0" borderId="2" xfId="0" applyNumberFormat="1" applyFont="1" applyBorder="1" applyAlignment="1">
      <alignment horizontal="left" vertical="top" shrinkToFit="1"/>
    </xf>
    <xf numFmtId="168" fontId="1" fillId="0" borderId="2" xfId="0" applyNumberFormat="1" applyFont="1" applyBorder="1" applyAlignment="1">
      <alignment horizontal="left" vertical="top" shrinkToFit="1"/>
    </xf>
    <xf numFmtId="1" fontId="1" fillId="0" borderId="2" xfId="0" applyNumberFormat="1" applyFont="1" applyBorder="1" applyAlignment="1">
      <alignment horizontal="left" vertical="top" shrinkToFit="1"/>
    </xf>
    <xf numFmtId="2" fontId="1" fillId="0" borderId="3" xfId="0" applyNumberFormat="1" applyFont="1" applyBorder="1" applyAlignment="1">
      <alignment horizontal="left" vertical="top" shrinkToFit="1"/>
    </xf>
    <xf numFmtId="168" fontId="1" fillId="0" borderId="1" xfId="0" applyNumberFormat="1" applyFont="1" applyBorder="1" applyAlignment="1">
      <alignment horizontal="left" vertical="top" shrinkToFit="1"/>
    </xf>
    <xf numFmtId="168" fontId="1" fillId="0" borderId="3" xfId="0" applyNumberFormat="1" applyFont="1" applyBorder="1" applyAlignment="1">
      <alignment horizontal="left" vertical="top" shrinkToFit="1"/>
    </xf>
    <xf numFmtId="2" fontId="1" fillId="0" borderId="1" xfId="0" applyNumberFormat="1" applyFont="1" applyBorder="1" applyAlignment="1">
      <alignment horizontal="left" vertical="top" shrinkToFit="1"/>
    </xf>
    <xf numFmtId="1" fontId="1" fillId="0" borderId="3" xfId="0" applyNumberFormat="1" applyFont="1" applyBorder="1" applyAlignment="1">
      <alignment horizontal="left" vertical="top" shrinkToFit="1"/>
    </xf>
    <xf numFmtId="169" fontId="1" fillId="0" borderId="1" xfId="0" applyNumberFormat="1" applyFont="1" applyBorder="1" applyAlignment="1">
      <alignment horizontal="right" vertical="top" indent="3" shrinkToFit="1"/>
    </xf>
    <xf numFmtId="169" fontId="1" fillId="0" borderId="1" xfId="0" applyNumberFormat="1" applyFont="1" applyBorder="1" applyAlignment="1">
      <alignment horizontal="center" vertical="top" shrinkToFit="1"/>
    </xf>
    <xf numFmtId="169" fontId="1" fillId="0" borderId="1" xfId="0" applyNumberFormat="1" applyFont="1" applyBorder="1" applyAlignment="1">
      <alignment horizontal="right" vertical="top" indent="1" shrinkToFit="1"/>
    </xf>
    <xf numFmtId="169" fontId="1" fillId="0" borderId="2" xfId="0" applyNumberFormat="1" applyFont="1" applyBorder="1" applyAlignment="1">
      <alignment horizontal="right" vertical="top" indent="3" shrinkToFit="1"/>
    </xf>
    <xf numFmtId="169" fontId="1" fillId="0" borderId="2" xfId="0" applyNumberFormat="1" applyFont="1" applyBorder="1" applyAlignment="1">
      <alignment horizontal="center" vertical="top" shrinkToFit="1"/>
    </xf>
    <xf numFmtId="169" fontId="1" fillId="0" borderId="2" xfId="0" applyNumberFormat="1" applyFont="1" applyBorder="1" applyAlignment="1">
      <alignment horizontal="right" vertical="top" indent="1" shrinkToFit="1"/>
    </xf>
    <xf numFmtId="169" fontId="1" fillId="0" borderId="3" xfId="0" applyNumberFormat="1" applyFont="1" applyBorder="1" applyAlignment="1">
      <alignment horizontal="right" vertical="top" indent="3" shrinkToFit="1"/>
    </xf>
    <xf numFmtId="169" fontId="1" fillId="0" borderId="3" xfId="0" applyNumberFormat="1" applyFont="1" applyBorder="1" applyAlignment="1">
      <alignment horizontal="center" vertical="top" shrinkToFit="1"/>
    </xf>
    <xf numFmtId="169" fontId="1" fillId="0" borderId="3" xfId="0" applyNumberFormat="1" applyFont="1" applyBorder="1" applyAlignment="1">
      <alignment horizontal="right" vertical="top" indent="1" shrinkToFi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435B-E7EE-467F-8940-7B1AA4334FAE}">
  <dimension ref="A1:K169"/>
  <sheetViews>
    <sheetView workbookViewId="0">
      <selection activeCell="C46" sqref="C46"/>
    </sheetView>
  </sheetViews>
  <sheetFormatPr defaultRowHeight="15.75" x14ac:dyDescent="0.25"/>
  <cols>
    <col min="1" max="6" width="9.140625" style="19"/>
    <col min="12" max="16384" width="9.140625" style="19"/>
  </cols>
  <sheetData>
    <row r="1" spans="1:11" x14ac:dyDescent="0.25">
      <c r="B1" s="19">
        <v>0</v>
      </c>
      <c r="C1" s="19">
        <v>1</v>
      </c>
      <c r="D1" s="19">
        <v>2</v>
      </c>
      <c r="E1" s="19">
        <v>3</v>
      </c>
      <c r="G1" s="19"/>
      <c r="H1" s="19"/>
      <c r="I1" s="19"/>
      <c r="J1" s="19"/>
      <c r="K1" s="19"/>
    </row>
    <row r="2" spans="1:11" x14ac:dyDescent="0.25">
      <c r="A2" s="19">
        <v>1984</v>
      </c>
      <c r="B2" s="19">
        <v>0</v>
      </c>
      <c r="C2" s="19">
        <v>49189</v>
      </c>
      <c r="D2" s="19">
        <v>11117</v>
      </c>
      <c r="E2" s="19">
        <v>808</v>
      </c>
      <c r="G2" s="19"/>
      <c r="H2" s="19"/>
      <c r="I2" s="19"/>
      <c r="J2" s="19"/>
      <c r="K2" s="19"/>
    </row>
    <row r="3" spans="1:11" x14ac:dyDescent="0.25">
      <c r="A3" s="19">
        <v>1984.25</v>
      </c>
      <c r="B3" s="19">
        <v>0</v>
      </c>
      <c r="C3" s="19">
        <v>33848</v>
      </c>
      <c r="D3" s="19">
        <v>6337</v>
      </c>
      <c r="E3" s="19">
        <v>473</v>
      </c>
      <c r="G3" s="19"/>
      <c r="H3" s="19"/>
      <c r="I3" s="19"/>
      <c r="J3" s="19"/>
      <c r="K3" s="19"/>
    </row>
    <row r="4" spans="1:11" x14ac:dyDescent="0.25">
      <c r="A4" s="19">
        <v>1984.5</v>
      </c>
      <c r="B4" s="19">
        <v>43360</v>
      </c>
      <c r="C4" s="19">
        <v>23292</v>
      </c>
      <c r="D4" s="19">
        <v>3709</v>
      </c>
      <c r="E4" s="19">
        <v>275</v>
      </c>
      <c r="G4" s="19"/>
      <c r="H4" s="19"/>
      <c r="I4" s="19"/>
      <c r="J4" s="19"/>
      <c r="K4" s="19"/>
    </row>
    <row r="5" spans="1:11" x14ac:dyDescent="0.25">
      <c r="A5" s="19">
        <v>1984.75</v>
      </c>
      <c r="B5" s="19">
        <v>0</v>
      </c>
      <c r="C5" s="19">
        <v>13291</v>
      </c>
      <c r="D5" s="19">
        <v>1662</v>
      </c>
      <c r="E5" s="19">
        <v>160</v>
      </c>
      <c r="G5" s="19"/>
      <c r="H5" s="19"/>
      <c r="I5" s="19"/>
      <c r="J5" s="19"/>
      <c r="K5" s="19"/>
    </row>
    <row r="6" spans="1:11" x14ac:dyDescent="0.25">
      <c r="A6" s="19">
        <v>1985</v>
      </c>
      <c r="B6" s="19">
        <v>0</v>
      </c>
      <c r="C6" s="19">
        <v>23826</v>
      </c>
      <c r="D6" s="19">
        <v>6904</v>
      </c>
      <c r="E6" s="19">
        <v>812</v>
      </c>
      <c r="G6" s="19"/>
      <c r="H6" s="19"/>
      <c r="I6" s="19"/>
      <c r="J6" s="19"/>
      <c r="K6" s="19"/>
    </row>
    <row r="7" spans="1:11" x14ac:dyDescent="0.25">
      <c r="A7" s="19">
        <v>1985.25</v>
      </c>
      <c r="B7" s="19">
        <v>0</v>
      </c>
      <c r="C7" s="19">
        <v>16234</v>
      </c>
      <c r="D7" s="19">
        <v>3261</v>
      </c>
      <c r="E7" s="19">
        <v>454</v>
      </c>
      <c r="G7" s="19"/>
      <c r="H7" s="19"/>
      <c r="I7" s="19"/>
      <c r="J7" s="19"/>
      <c r="K7" s="19"/>
    </row>
    <row r="8" spans="1:11" x14ac:dyDescent="0.25">
      <c r="A8" s="19">
        <v>1985.5</v>
      </c>
      <c r="B8" s="19">
        <v>31869</v>
      </c>
      <c r="C8" s="19">
        <v>11536</v>
      </c>
      <c r="D8" s="19">
        <v>1874</v>
      </c>
      <c r="E8" s="19">
        <v>268</v>
      </c>
      <c r="G8" s="19"/>
      <c r="H8" s="19"/>
      <c r="I8" s="19"/>
      <c r="J8" s="19"/>
      <c r="K8" s="19"/>
    </row>
    <row r="9" spans="1:11" x14ac:dyDescent="0.25">
      <c r="A9" s="19">
        <v>1985.75</v>
      </c>
      <c r="B9" s="19">
        <v>0</v>
      </c>
      <c r="C9" s="19">
        <v>6883</v>
      </c>
      <c r="D9" s="19">
        <v>796</v>
      </c>
      <c r="E9" s="19">
        <v>154</v>
      </c>
      <c r="G9" s="19"/>
      <c r="H9" s="19"/>
      <c r="I9" s="19"/>
      <c r="J9" s="19"/>
      <c r="K9" s="19"/>
    </row>
    <row r="10" spans="1:11" x14ac:dyDescent="0.25">
      <c r="A10" s="19">
        <v>1986</v>
      </c>
      <c r="B10" s="19">
        <v>0</v>
      </c>
      <c r="C10" s="19">
        <v>17009</v>
      </c>
      <c r="D10" s="19">
        <v>3639</v>
      </c>
      <c r="E10" s="19">
        <v>412</v>
      </c>
      <c r="G10" s="19"/>
      <c r="H10" s="19"/>
      <c r="I10" s="19"/>
      <c r="J10" s="19"/>
      <c r="K10" s="19"/>
    </row>
    <row r="11" spans="1:11" x14ac:dyDescent="0.25">
      <c r="A11" s="19">
        <v>1986.25</v>
      </c>
      <c r="B11" s="19">
        <v>0</v>
      </c>
      <c r="C11" s="19">
        <v>11782</v>
      </c>
      <c r="D11" s="19">
        <v>1918</v>
      </c>
      <c r="E11" s="19">
        <v>240</v>
      </c>
      <c r="G11" s="19"/>
      <c r="H11" s="19"/>
      <c r="I11" s="19"/>
      <c r="J11" s="19"/>
      <c r="K11" s="19"/>
    </row>
    <row r="12" spans="1:11" x14ac:dyDescent="0.25">
      <c r="A12" s="19">
        <v>1986.5</v>
      </c>
      <c r="B12" s="19">
        <v>54438</v>
      </c>
      <c r="C12" s="19">
        <v>8624</v>
      </c>
      <c r="D12" s="19">
        <v>1184</v>
      </c>
      <c r="E12" s="19">
        <v>148</v>
      </c>
      <c r="G12" s="19"/>
      <c r="H12" s="19"/>
      <c r="I12" s="19"/>
      <c r="J12" s="19"/>
      <c r="K12" s="19"/>
    </row>
    <row r="13" spans="1:11" x14ac:dyDescent="0.25">
      <c r="A13" s="19">
        <v>1986.75</v>
      </c>
      <c r="B13" s="19">
        <v>0</v>
      </c>
      <c r="C13" s="19">
        <v>5611</v>
      </c>
      <c r="D13" s="19">
        <v>618</v>
      </c>
      <c r="E13" s="19">
        <v>90</v>
      </c>
      <c r="G13" s="19"/>
      <c r="H13" s="19"/>
      <c r="I13" s="19"/>
      <c r="J13" s="19"/>
      <c r="K13" s="19"/>
    </row>
    <row r="14" spans="1:11" x14ac:dyDescent="0.25">
      <c r="A14" s="19">
        <v>1987</v>
      </c>
      <c r="B14" s="19">
        <v>0</v>
      </c>
      <c r="C14" s="19">
        <v>32059</v>
      </c>
      <c r="D14" s="19">
        <v>3273</v>
      </c>
      <c r="E14" s="19">
        <v>378</v>
      </c>
      <c r="G14" s="19"/>
      <c r="H14" s="19"/>
      <c r="I14" s="19"/>
      <c r="J14" s="19"/>
      <c r="K14" s="19"/>
    </row>
    <row r="15" spans="1:11" x14ac:dyDescent="0.25">
      <c r="A15" s="19">
        <v>1987.25</v>
      </c>
      <c r="B15" s="19">
        <v>0</v>
      </c>
      <c r="C15" s="19">
        <v>23586</v>
      </c>
      <c r="D15" s="19">
        <v>1747</v>
      </c>
      <c r="E15" s="19">
        <v>218</v>
      </c>
      <c r="G15" s="19"/>
      <c r="H15" s="19"/>
      <c r="I15" s="19"/>
      <c r="J15" s="19"/>
      <c r="K15" s="19"/>
    </row>
    <row r="16" spans="1:11" x14ac:dyDescent="0.25">
      <c r="A16" s="19">
        <v>1987.5</v>
      </c>
      <c r="B16" s="19">
        <v>11511</v>
      </c>
      <c r="C16" s="19">
        <v>17561</v>
      </c>
      <c r="D16" s="19">
        <v>1079</v>
      </c>
      <c r="E16" s="19">
        <v>135</v>
      </c>
      <c r="G16" s="19"/>
      <c r="H16" s="19"/>
      <c r="I16" s="19"/>
      <c r="J16" s="19"/>
      <c r="K16" s="19"/>
    </row>
    <row r="17" spans="1:11" x14ac:dyDescent="0.25">
      <c r="A17" s="19">
        <v>1987.75</v>
      </c>
      <c r="B17" s="19">
        <v>0</v>
      </c>
      <c r="C17" s="19">
        <v>12002</v>
      </c>
      <c r="D17" s="19">
        <v>586</v>
      </c>
      <c r="E17" s="19">
        <v>84</v>
      </c>
      <c r="G17" s="19"/>
      <c r="H17" s="19"/>
      <c r="I17" s="19"/>
      <c r="J17" s="19"/>
      <c r="K17" s="19"/>
    </row>
    <row r="18" spans="1:11" x14ac:dyDescent="0.25">
      <c r="A18" s="19">
        <v>1988</v>
      </c>
      <c r="B18" s="19">
        <v>0</v>
      </c>
      <c r="C18" s="19">
        <v>5837</v>
      </c>
      <c r="D18" s="19">
        <v>6888</v>
      </c>
      <c r="E18" s="19">
        <v>303</v>
      </c>
      <c r="G18" s="19"/>
      <c r="H18" s="19"/>
      <c r="I18" s="19"/>
      <c r="J18" s="19"/>
      <c r="K18" s="19"/>
    </row>
    <row r="19" spans="1:11" x14ac:dyDescent="0.25">
      <c r="A19" s="19">
        <v>1988.25</v>
      </c>
      <c r="B19" s="19">
        <v>0</v>
      </c>
      <c r="C19" s="19">
        <v>4555</v>
      </c>
      <c r="D19" s="19">
        <v>4225</v>
      </c>
      <c r="E19" s="19">
        <v>174</v>
      </c>
      <c r="G19" s="19"/>
      <c r="H19" s="19"/>
      <c r="I19" s="19"/>
      <c r="J19" s="19"/>
      <c r="K19" s="19"/>
    </row>
    <row r="20" spans="1:11" x14ac:dyDescent="0.25">
      <c r="A20" s="19">
        <v>1988.5</v>
      </c>
      <c r="B20" s="19">
        <v>52192</v>
      </c>
      <c r="C20" s="19">
        <v>3624</v>
      </c>
      <c r="D20" s="19">
        <v>2925</v>
      </c>
      <c r="E20" s="19">
        <v>105</v>
      </c>
      <c r="G20" s="19"/>
      <c r="H20" s="19"/>
      <c r="I20" s="19"/>
      <c r="J20" s="19"/>
      <c r="K20" s="19"/>
    </row>
    <row r="21" spans="1:11" x14ac:dyDescent="0.25">
      <c r="A21" s="19">
        <v>1988.75</v>
      </c>
      <c r="B21" s="19">
        <v>0</v>
      </c>
      <c r="C21" s="19">
        <v>2751</v>
      </c>
      <c r="D21" s="19">
        <v>1880</v>
      </c>
      <c r="E21" s="19">
        <v>65</v>
      </c>
      <c r="G21" s="19"/>
      <c r="H21" s="19"/>
      <c r="I21" s="19"/>
      <c r="J21" s="19"/>
      <c r="K21" s="19"/>
    </row>
    <row r="22" spans="1:11" x14ac:dyDescent="0.25">
      <c r="A22" s="19">
        <v>1989</v>
      </c>
      <c r="B22" s="19">
        <v>0</v>
      </c>
      <c r="C22" s="19">
        <v>28955</v>
      </c>
      <c r="D22" s="19">
        <v>1827</v>
      </c>
      <c r="E22" s="19">
        <v>1107</v>
      </c>
      <c r="G22" s="19"/>
      <c r="H22" s="19"/>
      <c r="I22" s="19"/>
      <c r="J22" s="19"/>
      <c r="K22" s="19"/>
    </row>
    <row r="23" spans="1:11" x14ac:dyDescent="0.25">
      <c r="A23" s="19">
        <v>1989.25</v>
      </c>
      <c r="B23" s="19">
        <v>0</v>
      </c>
      <c r="C23" s="19">
        <v>21225</v>
      </c>
      <c r="D23" s="19">
        <v>1235</v>
      </c>
      <c r="E23" s="19">
        <v>707</v>
      </c>
      <c r="G23" s="19"/>
      <c r="H23" s="19"/>
      <c r="I23" s="19"/>
      <c r="J23" s="19"/>
      <c r="K23" s="19"/>
    </row>
    <row r="24" spans="1:11" x14ac:dyDescent="0.25">
      <c r="A24" s="19">
        <v>1989.5</v>
      </c>
      <c r="B24" s="19">
        <v>53853</v>
      </c>
      <c r="C24" s="19">
        <v>15524</v>
      </c>
      <c r="D24" s="19">
        <v>832</v>
      </c>
      <c r="E24" s="19">
        <v>453</v>
      </c>
      <c r="G24" s="19"/>
      <c r="H24" s="19"/>
      <c r="I24" s="19"/>
      <c r="J24" s="19"/>
      <c r="K24" s="19"/>
    </row>
    <row r="25" spans="1:11" x14ac:dyDescent="0.25">
      <c r="A25" s="19">
        <v>1989.75</v>
      </c>
      <c r="B25" s="19">
        <v>0</v>
      </c>
      <c r="C25" s="19">
        <v>10477</v>
      </c>
      <c r="D25" s="19">
        <v>492</v>
      </c>
      <c r="E25" s="19">
        <v>293</v>
      </c>
      <c r="G25" s="19"/>
      <c r="H25" s="19"/>
      <c r="I25" s="19"/>
      <c r="J25" s="19"/>
      <c r="K25" s="19"/>
    </row>
    <row r="26" spans="1:11" x14ac:dyDescent="0.25">
      <c r="A26" s="19">
        <v>1990</v>
      </c>
      <c r="B26" s="19">
        <v>0</v>
      </c>
      <c r="C26" s="19">
        <v>29013</v>
      </c>
      <c r="D26" s="19">
        <v>6510</v>
      </c>
      <c r="E26" s="19">
        <v>479</v>
      </c>
      <c r="G26" s="19"/>
      <c r="H26" s="19"/>
      <c r="I26" s="19"/>
      <c r="J26" s="19"/>
      <c r="K26" s="19"/>
    </row>
    <row r="27" spans="1:11" x14ac:dyDescent="0.25">
      <c r="A27" s="19">
        <v>1990.25</v>
      </c>
      <c r="B27" s="19">
        <v>0</v>
      </c>
      <c r="C27" s="19">
        <v>21582</v>
      </c>
      <c r="D27" s="19">
        <v>3896</v>
      </c>
      <c r="E27" s="19">
        <v>299</v>
      </c>
      <c r="G27" s="19"/>
      <c r="H27" s="19"/>
      <c r="I27" s="19"/>
      <c r="J27" s="19"/>
      <c r="K27" s="19"/>
    </row>
    <row r="28" spans="1:11" x14ac:dyDescent="0.25">
      <c r="A28" s="19">
        <v>1990.5</v>
      </c>
      <c r="B28" s="19">
        <v>65695</v>
      </c>
      <c r="C28" s="19">
        <v>15593</v>
      </c>
      <c r="D28" s="19">
        <v>2313</v>
      </c>
      <c r="E28" s="19">
        <v>184</v>
      </c>
      <c r="G28" s="19"/>
      <c r="H28" s="19"/>
      <c r="I28" s="19"/>
      <c r="J28" s="19"/>
      <c r="K28" s="19"/>
    </row>
    <row r="29" spans="1:11" x14ac:dyDescent="0.25">
      <c r="A29" s="19">
        <v>1990.75</v>
      </c>
      <c r="B29" s="19">
        <v>0</v>
      </c>
      <c r="C29" s="19">
        <v>11010</v>
      </c>
      <c r="D29" s="19">
        <v>1379</v>
      </c>
      <c r="E29" s="19">
        <v>117</v>
      </c>
      <c r="G29" s="19"/>
      <c r="H29" s="19"/>
      <c r="I29" s="19"/>
      <c r="J29" s="19"/>
      <c r="K29" s="19"/>
    </row>
    <row r="30" spans="1:11" x14ac:dyDescent="0.25">
      <c r="A30" s="19">
        <v>1991</v>
      </c>
      <c r="B30" s="19">
        <v>0</v>
      </c>
      <c r="C30" s="19">
        <v>35950</v>
      </c>
      <c r="D30" s="19">
        <v>7382</v>
      </c>
      <c r="E30" s="19">
        <v>884</v>
      </c>
      <c r="G30" s="19"/>
      <c r="H30" s="19"/>
      <c r="I30" s="19"/>
      <c r="J30" s="19"/>
      <c r="K30" s="19"/>
    </row>
    <row r="31" spans="1:11" x14ac:dyDescent="0.25">
      <c r="A31" s="19">
        <v>1991.25</v>
      </c>
      <c r="B31" s="19">
        <v>0</v>
      </c>
      <c r="C31" s="19">
        <v>26215</v>
      </c>
      <c r="D31" s="19">
        <v>4405</v>
      </c>
      <c r="E31" s="19">
        <v>520</v>
      </c>
      <c r="G31" s="19"/>
      <c r="H31" s="19"/>
      <c r="I31" s="19"/>
      <c r="J31" s="19"/>
      <c r="K31" s="19"/>
    </row>
    <row r="32" spans="1:11" x14ac:dyDescent="0.25">
      <c r="A32" s="19">
        <v>1991.5</v>
      </c>
      <c r="B32" s="19">
        <v>118615</v>
      </c>
      <c r="C32" s="19">
        <v>19692</v>
      </c>
      <c r="D32" s="19">
        <v>2770</v>
      </c>
      <c r="E32" s="19">
        <v>310</v>
      </c>
      <c r="G32" s="19"/>
      <c r="H32" s="19"/>
      <c r="I32" s="19"/>
      <c r="J32" s="19"/>
      <c r="K32" s="19"/>
    </row>
    <row r="33" spans="1:11" x14ac:dyDescent="0.25">
      <c r="A33" s="19">
        <v>1991.75</v>
      </c>
      <c r="B33" s="19">
        <v>0</v>
      </c>
      <c r="C33" s="19">
        <v>14091</v>
      </c>
      <c r="D33" s="19">
        <v>1634</v>
      </c>
      <c r="E33" s="19">
        <v>197</v>
      </c>
      <c r="G33" s="19"/>
      <c r="H33" s="19"/>
      <c r="I33" s="19"/>
      <c r="J33" s="19"/>
      <c r="K33" s="19"/>
    </row>
    <row r="34" spans="1:11" x14ac:dyDescent="0.25">
      <c r="A34" s="19">
        <v>1992</v>
      </c>
      <c r="B34" s="19">
        <v>0</v>
      </c>
      <c r="C34" s="19">
        <v>66257</v>
      </c>
      <c r="D34" s="19">
        <v>9816</v>
      </c>
      <c r="E34" s="19">
        <v>1074</v>
      </c>
      <c r="G34" s="19"/>
      <c r="H34" s="19"/>
      <c r="I34" s="19"/>
      <c r="J34" s="19"/>
      <c r="K34" s="19"/>
    </row>
    <row r="35" spans="1:11" x14ac:dyDescent="0.25">
      <c r="A35" s="19">
        <v>1992.25</v>
      </c>
      <c r="B35" s="19">
        <v>0</v>
      </c>
      <c r="C35" s="19">
        <v>48213</v>
      </c>
      <c r="D35" s="19">
        <v>6278</v>
      </c>
      <c r="E35" s="19">
        <v>731</v>
      </c>
      <c r="G35" s="19"/>
      <c r="H35" s="19"/>
      <c r="I35" s="19"/>
      <c r="J35" s="19"/>
      <c r="K35" s="19"/>
    </row>
    <row r="36" spans="1:11" x14ac:dyDescent="0.25">
      <c r="A36" s="19">
        <v>1992.5</v>
      </c>
      <c r="B36" s="19">
        <v>63393</v>
      </c>
      <c r="C36" s="19">
        <v>35503</v>
      </c>
      <c r="D36" s="19">
        <v>4319</v>
      </c>
      <c r="E36" s="19">
        <v>506</v>
      </c>
      <c r="G36" s="19"/>
      <c r="H36" s="19"/>
      <c r="I36" s="19"/>
      <c r="J36" s="19"/>
      <c r="K36" s="19"/>
    </row>
    <row r="37" spans="1:11" x14ac:dyDescent="0.25">
      <c r="A37" s="19">
        <v>1992.75</v>
      </c>
      <c r="B37" s="19">
        <v>0</v>
      </c>
      <c r="C37" s="19">
        <v>23890</v>
      </c>
      <c r="D37" s="19">
        <v>2715</v>
      </c>
      <c r="E37" s="19">
        <v>322</v>
      </c>
      <c r="G37" s="19"/>
      <c r="H37" s="19"/>
      <c r="I37" s="19"/>
      <c r="J37" s="19"/>
      <c r="K37" s="19"/>
    </row>
    <row r="38" spans="1:11" x14ac:dyDescent="0.25">
      <c r="A38" s="19">
        <v>1993</v>
      </c>
      <c r="B38" s="19">
        <v>0</v>
      </c>
      <c r="C38" s="19">
        <v>34059</v>
      </c>
      <c r="D38" s="19">
        <v>15422</v>
      </c>
      <c r="E38" s="19">
        <v>1939</v>
      </c>
      <c r="G38" s="19"/>
      <c r="H38" s="19"/>
      <c r="I38" s="19"/>
      <c r="J38" s="19"/>
      <c r="K38" s="19"/>
    </row>
    <row r="39" spans="1:11" x14ac:dyDescent="0.25">
      <c r="A39" s="19">
        <v>1993.25</v>
      </c>
      <c r="B39" s="19">
        <v>0</v>
      </c>
      <c r="C39" s="19">
        <v>23837</v>
      </c>
      <c r="D39" s="19">
        <v>8958</v>
      </c>
      <c r="E39" s="19">
        <v>1240</v>
      </c>
      <c r="G39" s="19"/>
      <c r="H39" s="19"/>
      <c r="I39" s="19"/>
      <c r="J39" s="19"/>
      <c r="K39" s="19"/>
    </row>
    <row r="40" spans="1:11" x14ac:dyDescent="0.25">
      <c r="A40" s="19">
        <v>1993.5</v>
      </c>
      <c r="B40" s="19">
        <v>55142</v>
      </c>
      <c r="C40" s="19">
        <v>16696</v>
      </c>
      <c r="D40" s="19">
        <v>5438</v>
      </c>
      <c r="E40" s="19">
        <v>798</v>
      </c>
      <c r="G40" s="19"/>
      <c r="H40" s="19"/>
      <c r="I40" s="19"/>
      <c r="J40" s="19"/>
      <c r="K40" s="19"/>
    </row>
    <row r="41" spans="1:11" x14ac:dyDescent="0.25">
      <c r="A41" s="19">
        <v>1993.75</v>
      </c>
      <c r="B41" s="19">
        <v>0</v>
      </c>
      <c r="C41" s="19">
        <v>10593</v>
      </c>
      <c r="D41" s="19">
        <v>2882</v>
      </c>
      <c r="E41" s="19">
        <v>491</v>
      </c>
      <c r="G41" s="19"/>
      <c r="H41" s="19"/>
      <c r="I41" s="19"/>
      <c r="J41" s="19"/>
      <c r="K41" s="19"/>
    </row>
    <row r="42" spans="1:11" x14ac:dyDescent="0.25">
      <c r="A42" s="19">
        <v>1994</v>
      </c>
      <c r="B42" s="19">
        <v>0</v>
      </c>
      <c r="C42" s="19">
        <v>28755</v>
      </c>
      <c r="D42" s="19">
        <v>6539</v>
      </c>
      <c r="E42" s="19">
        <v>1776</v>
      </c>
      <c r="G42" s="19"/>
      <c r="H42" s="19"/>
      <c r="I42" s="19"/>
      <c r="J42" s="19"/>
      <c r="K42" s="19"/>
    </row>
    <row r="43" spans="1:11" x14ac:dyDescent="0.25">
      <c r="A43" s="19">
        <v>1994.25</v>
      </c>
      <c r="B43" s="19">
        <v>0</v>
      </c>
      <c r="C43" s="19">
        <v>20157</v>
      </c>
      <c r="D43" s="19">
        <v>4009</v>
      </c>
      <c r="E43" s="19">
        <v>1063</v>
      </c>
      <c r="G43" s="19"/>
      <c r="H43" s="19"/>
      <c r="I43" s="19"/>
      <c r="J43" s="19"/>
      <c r="K43" s="19"/>
    </row>
    <row r="44" spans="1:11" x14ac:dyDescent="0.25">
      <c r="A44" s="19">
        <v>1994.5</v>
      </c>
      <c r="B44" s="19">
        <v>158931</v>
      </c>
      <c r="C44" s="19">
        <v>14523</v>
      </c>
      <c r="D44" s="19">
        <v>2567</v>
      </c>
      <c r="E44" s="19">
        <v>646</v>
      </c>
      <c r="G44" s="19"/>
      <c r="H44" s="19"/>
      <c r="I44" s="19"/>
      <c r="J44" s="19"/>
      <c r="K44" s="19"/>
    </row>
    <row r="45" spans="1:11" x14ac:dyDescent="0.25">
      <c r="A45" s="19">
        <v>1994.75</v>
      </c>
      <c r="B45" s="19">
        <v>0</v>
      </c>
      <c r="C45" s="19">
        <v>10078</v>
      </c>
      <c r="D45" s="19">
        <v>1565</v>
      </c>
      <c r="E45" s="19">
        <v>401</v>
      </c>
      <c r="G45" s="19"/>
      <c r="H45" s="19"/>
      <c r="I45" s="19"/>
      <c r="J45" s="19"/>
      <c r="K45" s="19"/>
    </row>
    <row r="46" spans="1:11" x14ac:dyDescent="0.25">
      <c r="A46" s="19">
        <v>1995</v>
      </c>
      <c r="B46" s="19">
        <v>0</v>
      </c>
      <c r="C46" s="19">
        <v>89309</v>
      </c>
      <c r="D46" s="19">
        <v>6887</v>
      </c>
      <c r="E46" s="19">
        <v>1277</v>
      </c>
      <c r="G46" s="19"/>
      <c r="H46" s="19"/>
      <c r="I46" s="19"/>
      <c r="J46" s="19"/>
      <c r="K46" s="19"/>
    </row>
    <row r="47" spans="1:11" x14ac:dyDescent="0.25">
      <c r="A47" s="19">
        <v>1995.25</v>
      </c>
      <c r="B47" s="19">
        <v>0</v>
      </c>
      <c r="C47" s="19">
        <v>66570</v>
      </c>
      <c r="D47" s="19">
        <v>4460</v>
      </c>
      <c r="E47" s="19">
        <v>885</v>
      </c>
      <c r="G47" s="19"/>
      <c r="H47" s="19"/>
      <c r="I47" s="19"/>
      <c r="J47" s="19"/>
      <c r="K47" s="19"/>
    </row>
    <row r="48" spans="1:11" x14ac:dyDescent="0.25">
      <c r="A48" s="19">
        <v>1995.5</v>
      </c>
      <c r="B48" s="19">
        <v>63422</v>
      </c>
      <c r="C48" s="19">
        <v>49143</v>
      </c>
      <c r="D48" s="19">
        <v>2912</v>
      </c>
      <c r="E48" s="19">
        <v>612</v>
      </c>
      <c r="G48" s="19"/>
      <c r="H48" s="19"/>
      <c r="I48" s="19"/>
      <c r="J48" s="19"/>
      <c r="K48" s="19"/>
    </row>
    <row r="49" spans="1:11" x14ac:dyDescent="0.25">
      <c r="A49" s="19">
        <v>1995.75</v>
      </c>
      <c r="B49" s="19">
        <v>0</v>
      </c>
      <c r="C49" s="19">
        <v>34357</v>
      </c>
      <c r="D49" s="19">
        <v>1853</v>
      </c>
      <c r="E49" s="19">
        <v>396</v>
      </c>
      <c r="G49" s="19"/>
      <c r="H49" s="19"/>
      <c r="I49" s="19"/>
      <c r="J49" s="19"/>
      <c r="K49" s="19"/>
    </row>
    <row r="50" spans="1:11" x14ac:dyDescent="0.25">
      <c r="A50" s="19">
        <v>1996</v>
      </c>
      <c r="B50" s="19">
        <v>0</v>
      </c>
      <c r="C50" s="19">
        <v>32052</v>
      </c>
      <c r="D50" s="19">
        <v>23068</v>
      </c>
      <c r="E50" s="19">
        <v>1496</v>
      </c>
      <c r="G50" s="19"/>
      <c r="H50" s="19"/>
      <c r="I50" s="19"/>
      <c r="J50" s="19"/>
      <c r="K50" s="19"/>
    </row>
    <row r="51" spans="1:11" x14ac:dyDescent="0.25">
      <c r="A51" s="19">
        <v>1996.25</v>
      </c>
      <c r="B51" s="19">
        <v>0</v>
      </c>
      <c r="C51" s="19">
        <v>24291</v>
      </c>
      <c r="D51" s="19">
        <v>14530</v>
      </c>
      <c r="E51" s="19">
        <v>969</v>
      </c>
      <c r="G51" s="19"/>
      <c r="H51" s="19"/>
      <c r="I51" s="19"/>
      <c r="J51" s="19"/>
      <c r="K51" s="19"/>
    </row>
    <row r="52" spans="1:11" x14ac:dyDescent="0.25">
      <c r="A52" s="19">
        <v>1996.5</v>
      </c>
      <c r="B52" s="19">
        <v>132726</v>
      </c>
      <c r="C52" s="19">
        <v>18044</v>
      </c>
      <c r="D52" s="19">
        <v>9576</v>
      </c>
      <c r="E52" s="19">
        <v>627</v>
      </c>
      <c r="G52" s="19"/>
      <c r="H52" s="19"/>
      <c r="I52" s="19"/>
      <c r="J52" s="19"/>
      <c r="K52" s="19"/>
    </row>
    <row r="53" spans="1:11" x14ac:dyDescent="0.25">
      <c r="A53" s="19">
        <v>1996.75</v>
      </c>
      <c r="B53" s="19">
        <v>0</v>
      </c>
      <c r="C53" s="19">
        <v>13046</v>
      </c>
      <c r="D53" s="19">
        <v>6090</v>
      </c>
      <c r="E53" s="19">
        <v>396</v>
      </c>
      <c r="G53" s="19"/>
      <c r="H53" s="19"/>
      <c r="I53" s="19"/>
      <c r="J53" s="19"/>
      <c r="K53" s="19"/>
    </row>
    <row r="54" spans="1:11" x14ac:dyDescent="0.25">
      <c r="A54" s="19">
        <v>1997</v>
      </c>
      <c r="B54" s="19">
        <v>0</v>
      </c>
      <c r="C54" s="19">
        <v>75039</v>
      </c>
      <c r="D54" s="19">
        <v>9529</v>
      </c>
      <c r="E54" s="19">
        <v>4324</v>
      </c>
      <c r="G54" s="19"/>
      <c r="H54" s="19"/>
      <c r="I54" s="19"/>
      <c r="J54" s="19"/>
      <c r="K54" s="19"/>
    </row>
    <row r="55" spans="1:11" x14ac:dyDescent="0.25">
      <c r="A55" s="19">
        <v>1997.25</v>
      </c>
      <c r="B55" s="19">
        <v>0</v>
      </c>
      <c r="C55" s="19">
        <v>55164</v>
      </c>
      <c r="D55" s="19">
        <v>6230</v>
      </c>
      <c r="E55" s="19">
        <v>2790</v>
      </c>
      <c r="G55" s="19"/>
      <c r="H55" s="19"/>
      <c r="I55" s="19"/>
      <c r="J55" s="19"/>
      <c r="K55" s="19"/>
    </row>
    <row r="56" spans="1:11" x14ac:dyDescent="0.25">
      <c r="A56" s="19">
        <v>1997.5</v>
      </c>
      <c r="B56" s="19">
        <v>27199</v>
      </c>
      <c r="C56" s="19">
        <v>43331</v>
      </c>
      <c r="D56" s="19">
        <v>4120</v>
      </c>
      <c r="E56" s="19">
        <v>1797</v>
      </c>
      <c r="G56" s="19"/>
      <c r="H56" s="19"/>
      <c r="I56" s="19"/>
      <c r="J56" s="19"/>
      <c r="K56" s="19"/>
    </row>
    <row r="57" spans="1:11" x14ac:dyDescent="0.25">
      <c r="A57" s="19">
        <v>1997.75</v>
      </c>
      <c r="B57" s="19">
        <v>0</v>
      </c>
      <c r="C57" s="19">
        <v>31371</v>
      </c>
      <c r="D57" s="19">
        <v>2512</v>
      </c>
      <c r="E57" s="19">
        <v>1151</v>
      </c>
      <c r="G57" s="19"/>
      <c r="H57" s="19"/>
      <c r="I57" s="19"/>
      <c r="J57" s="19"/>
      <c r="K57" s="19"/>
    </row>
    <row r="58" spans="1:11" x14ac:dyDescent="0.25">
      <c r="A58" s="19">
        <v>1998</v>
      </c>
      <c r="B58" s="19">
        <v>0</v>
      </c>
      <c r="C58" s="19">
        <v>15117</v>
      </c>
      <c r="D58" s="19">
        <v>22649</v>
      </c>
      <c r="E58" s="19">
        <v>2314</v>
      </c>
      <c r="G58" s="19"/>
      <c r="H58" s="19"/>
      <c r="I58" s="19"/>
      <c r="J58" s="19"/>
      <c r="K58" s="19"/>
    </row>
    <row r="59" spans="1:11" x14ac:dyDescent="0.25">
      <c r="A59" s="19">
        <v>1998.25</v>
      </c>
      <c r="B59" s="19">
        <v>0</v>
      </c>
      <c r="C59" s="19">
        <v>11427</v>
      </c>
      <c r="D59" s="19">
        <v>14310</v>
      </c>
      <c r="E59" s="19">
        <v>1428</v>
      </c>
      <c r="G59" s="19"/>
      <c r="H59" s="19"/>
      <c r="I59" s="19"/>
      <c r="J59" s="19"/>
      <c r="K59" s="19"/>
    </row>
    <row r="60" spans="1:11" x14ac:dyDescent="0.25">
      <c r="A60" s="19">
        <v>1998.5</v>
      </c>
      <c r="B60" s="19">
        <v>48968</v>
      </c>
      <c r="C60" s="19">
        <v>8502</v>
      </c>
      <c r="D60" s="19">
        <v>9188</v>
      </c>
      <c r="E60" s="19">
        <v>878</v>
      </c>
      <c r="G60" s="19"/>
      <c r="H60" s="19"/>
      <c r="I60" s="19"/>
      <c r="J60" s="19"/>
      <c r="K60" s="19"/>
    </row>
    <row r="61" spans="1:11" x14ac:dyDescent="0.25">
      <c r="A61" s="19">
        <v>1998.75</v>
      </c>
      <c r="B61" s="19">
        <v>0</v>
      </c>
      <c r="C61" s="19">
        <v>6466</v>
      </c>
      <c r="D61" s="19">
        <v>5840</v>
      </c>
      <c r="E61" s="19">
        <v>565</v>
      </c>
      <c r="G61" s="19"/>
      <c r="H61" s="19"/>
      <c r="I61" s="19"/>
      <c r="J61" s="19"/>
      <c r="K61" s="19"/>
    </row>
    <row r="62" spans="1:11" x14ac:dyDescent="0.25">
      <c r="A62" s="19">
        <v>1999</v>
      </c>
      <c r="B62" s="19">
        <v>0</v>
      </c>
      <c r="C62" s="19">
        <v>28710</v>
      </c>
      <c r="D62" s="19">
        <v>4765</v>
      </c>
      <c r="E62" s="19">
        <v>4199</v>
      </c>
      <c r="G62" s="19"/>
      <c r="H62" s="19"/>
      <c r="I62" s="19"/>
      <c r="J62" s="19"/>
      <c r="K62" s="19"/>
    </row>
    <row r="63" spans="1:11" x14ac:dyDescent="0.25">
      <c r="A63" s="19">
        <v>1999.25</v>
      </c>
      <c r="B63" s="19">
        <v>0</v>
      </c>
      <c r="C63" s="19">
        <v>22074</v>
      </c>
      <c r="D63" s="19">
        <v>3286</v>
      </c>
      <c r="E63" s="19">
        <v>2701</v>
      </c>
      <c r="G63" s="19"/>
      <c r="H63" s="19"/>
      <c r="I63" s="19"/>
      <c r="J63" s="19"/>
      <c r="K63" s="19"/>
    </row>
    <row r="64" spans="1:11" x14ac:dyDescent="0.25">
      <c r="A64" s="19">
        <v>1999.5</v>
      </c>
      <c r="B64" s="19">
        <v>114193</v>
      </c>
      <c r="C64" s="19">
        <v>16904</v>
      </c>
      <c r="D64" s="19">
        <v>2181</v>
      </c>
      <c r="E64" s="19">
        <v>1719</v>
      </c>
      <c r="G64" s="19"/>
      <c r="H64" s="19"/>
      <c r="I64" s="19"/>
      <c r="J64" s="19"/>
      <c r="K64" s="19"/>
    </row>
    <row r="65" spans="1:11" x14ac:dyDescent="0.25">
      <c r="A65" s="19">
        <v>1999.75</v>
      </c>
      <c r="B65" s="19">
        <v>0</v>
      </c>
      <c r="C65" s="19">
        <v>12652</v>
      </c>
      <c r="D65" s="19">
        <v>1324</v>
      </c>
      <c r="E65" s="19">
        <v>1081</v>
      </c>
      <c r="G65" s="19"/>
      <c r="H65" s="19"/>
      <c r="I65" s="19"/>
      <c r="J65" s="19"/>
      <c r="K65" s="19"/>
    </row>
    <row r="66" spans="1:11" x14ac:dyDescent="0.25">
      <c r="A66" s="19">
        <v>2000</v>
      </c>
      <c r="B66" s="19">
        <v>0</v>
      </c>
      <c r="C66" s="19">
        <v>67375</v>
      </c>
      <c r="D66" s="19">
        <v>9448</v>
      </c>
      <c r="E66" s="19">
        <v>1451</v>
      </c>
      <c r="G66" s="19"/>
      <c r="H66" s="19"/>
      <c r="I66" s="19"/>
      <c r="J66" s="19"/>
      <c r="K66" s="19"/>
    </row>
    <row r="67" spans="1:11" x14ac:dyDescent="0.25">
      <c r="A67" s="19">
        <v>2000.25</v>
      </c>
      <c r="B67" s="19">
        <v>0</v>
      </c>
      <c r="C67" s="19">
        <v>51636</v>
      </c>
      <c r="D67" s="19">
        <v>6587</v>
      </c>
      <c r="E67" s="19">
        <v>909</v>
      </c>
      <c r="G67" s="19"/>
      <c r="H67" s="19"/>
      <c r="I67" s="19"/>
      <c r="J67" s="19"/>
      <c r="K67" s="19"/>
    </row>
    <row r="68" spans="1:11" x14ac:dyDescent="0.25">
      <c r="A68" s="19">
        <v>2000.5</v>
      </c>
      <c r="B68" s="19">
        <v>31461</v>
      </c>
      <c r="C68" s="19">
        <v>40660</v>
      </c>
      <c r="D68" s="19">
        <v>4544</v>
      </c>
      <c r="E68" s="19">
        <v>564</v>
      </c>
      <c r="G68" s="19"/>
      <c r="H68" s="19"/>
      <c r="I68" s="19"/>
      <c r="J68" s="19"/>
      <c r="K68" s="19"/>
    </row>
    <row r="69" spans="1:11" x14ac:dyDescent="0.25">
      <c r="A69" s="19">
        <v>2000.75</v>
      </c>
      <c r="B69" s="19">
        <v>0</v>
      </c>
      <c r="C69" s="19">
        <v>29677</v>
      </c>
      <c r="D69" s="19">
        <v>2982</v>
      </c>
      <c r="E69" s="19">
        <v>364</v>
      </c>
      <c r="G69" s="19"/>
      <c r="H69" s="19"/>
      <c r="I69" s="19"/>
      <c r="J69" s="19"/>
      <c r="K69" s="19"/>
    </row>
    <row r="70" spans="1:11" x14ac:dyDescent="0.25">
      <c r="A70" s="19">
        <v>2001</v>
      </c>
      <c r="B70" s="19">
        <v>0</v>
      </c>
      <c r="C70" s="19">
        <v>16843</v>
      </c>
      <c r="D70" s="19">
        <v>19869</v>
      </c>
      <c r="E70" s="19">
        <v>2106</v>
      </c>
      <c r="G70" s="19"/>
      <c r="H70" s="19"/>
      <c r="I70" s="19"/>
      <c r="J70" s="19"/>
      <c r="K70" s="19"/>
    </row>
    <row r="71" spans="1:11" x14ac:dyDescent="0.25">
      <c r="A71" s="19">
        <v>2001.25</v>
      </c>
      <c r="B71" s="19">
        <v>0</v>
      </c>
      <c r="C71" s="19">
        <v>12235</v>
      </c>
      <c r="D71" s="19">
        <v>12451</v>
      </c>
      <c r="E71" s="19">
        <v>1363</v>
      </c>
      <c r="G71" s="19"/>
      <c r="H71" s="19"/>
      <c r="I71" s="19"/>
      <c r="J71" s="19"/>
      <c r="K71" s="19"/>
    </row>
    <row r="72" spans="1:11" x14ac:dyDescent="0.25">
      <c r="A72" s="19">
        <v>2001.5</v>
      </c>
      <c r="B72" s="19">
        <v>32532</v>
      </c>
      <c r="C72" s="19">
        <v>8892</v>
      </c>
      <c r="D72" s="19">
        <v>7941</v>
      </c>
      <c r="E72" s="19">
        <v>877</v>
      </c>
      <c r="G72" s="19"/>
      <c r="H72" s="19"/>
      <c r="I72" s="19"/>
      <c r="J72" s="19"/>
      <c r="K72" s="19"/>
    </row>
    <row r="73" spans="1:11" x14ac:dyDescent="0.25">
      <c r="A73" s="19">
        <v>2001.75</v>
      </c>
      <c r="B73" s="19">
        <v>0</v>
      </c>
      <c r="C73" s="19">
        <v>6475</v>
      </c>
      <c r="D73" s="19">
        <v>5461</v>
      </c>
      <c r="E73" s="19">
        <v>564</v>
      </c>
      <c r="G73" s="19"/>
      <c r="H73" s="19"/>
      <c r="I73" s="19"/>
      <c r="J73" s="19"/>
      <c r="K73" s="19"/>
    </row>
    <row r="74" spans="1:11" x14ac:dyDescent="0.25">
      <c r="A74" s="19">
        <v>2002</v>
      </c>
      <c r="B74" s="19">
        <v>0</v>
      </c>
      <c r="C74" s="19">
        <v>18847</v>
      </c>
      <c r="D74" s="19">
        <v>4523</v>
      </c>
      <c r="E74" s="19">
        <v>3895</v>
      </c>
      <c r="G74" s="19"/>
      <c r="H74" s="19"/>
      <c r="I74" s="19"/>
      <c r="J74" s="19"/>
      <c r="K74" s="19"/>
    </row>
    <row r="75" spans="1:11" x14ac:dyDescent="0.25">
      <c r="A75" s="19">
        <v>2002.25</v>
      </c>
      <c r="B75" s="19">
        <v>0</v>
      </c>
      <c r="C75" s="19">
        <v>14063</v>
      </c>
      <c r="D75" s="19">
        <v>2855</v>
      </c>
      <c r="E75" s="19">
        <v>2405</v>
      </c>
      <c r="G75" s="19"/>
      <c r="H75" s="19"/>
      <c r="I75" s="19"/>
      <c r="J75" s="19"/>
      <c r="K75" s="19"/>
    </row>
    <row r="76" spans="1:11" x14ac:dyDescent="0.25">
      <c r="A76" s="19">
        <v>2002.5</v>
      </c>
      <c r="B76" s="19">
        <v>24775</v>
      </c>
      <c r="C76" s="19">
        <v>10089</v>
      </c>
      <c r="D76" s="19">
        <v>1892</v>
      </c>
      <c r="E76" s="19">
        <v>1500</v>
      </c>
      <c r="G76" s="19"/>
      <c r="H76" s="19"/>
      <c r="I76" s="19"/>
      <c r="J76" s="19"/>
      <c r="K76" s="19"/>
    </row>
    <row r="77" spans="1:11" x14ac:dyDescent="0.25">
      <c r="A77" s="19">
        <v>2002.75</v>
      </c>
      <c r="B77" s="19">
        <v>0</v>
      </c>
      <c r="C77" s="19">
        <v>6885</v>
      </c>
      <c r="D77" s="19">
        <v>1205</v>
      </c>
      <c r="E77" s="19">
        <v>951</v>
      </c>
      <c r="G77" s="19"/>
      <c r="H77" s="19"/>
      <c r="I77" s="19"/>
      <c r="J77" s="19"/>
      <c r="K77" s="19"/>
    </row>
    <row r="78" spans="1:11" x14ac:dyDescent="0.25">
      <c r="A78" s="19">
        <v>2003</v>
      </c>
      <c r="B78" s="19">
        <v>0</v>
      </c>
      <c r="C78" s="19">
        <v>12740</v>
      </c>
      <c r="D78" s="19">
        <v>4488</v>
      </c>
      <c r="E78" s="19">
        <v>1291</v>
      </c>
      <c r="G78" s="19"/>
      <c r="H78" s="19"/>
      <c r="I78" s="19"/>
      <c r="J78" s="19"/>
      <c r="K78" s="19"/>
    </row>
    <row r="79" spans="1:11" x14ac:dyDescent="0.25">
      <c r="A79" s="19">
        <v>2003.25</v>
      </c>
      <c r="B79" s="19">
        <v>0</v>
      </c>
      <c r="C79" s="19">
        <v>8908</v>
      </c>
      <c r="D79" s="19">
        <v>2890</v>
      </c>
      <c r="E79" s="19">
        <v>782</v>
      </c>
      <c r="G79" s="19"/>
      <c r="H79" s="19"/>
      <c r="I79" s="19"/>
      <c r="J79" s="19"/>
      <c r="K79" s="19"/>
    </row>
    <row r="80" spans="1:11" x14ac:dyDescent="0.25">
      <c r="A80" s="19">
        <v>2003.5</v>
      </c>
      <c r="B80" s="19">
        <v>9561</v>
      </c>
      <c r="C80" s="19">
        <v>6199</v>
      </c>
      <c r="D80" s="19">
        <v>1856</v>
      </c>
      <c r="E80" s="19">
        <v>470</v>
      </c>
      <c r="G80" s="19"/>
      <c r="H80" s="19"/>
      <c r="I80" s="19"/>
      <c r="J80" s="19"/>
      <c r="K80" s="19"/>
    </row>
    <row r="81" spans="1:11" x14ac:dyDescent="0.25">
      <c r="A81" s="19">
        <v>2003.75</v>
      </c>
      <c r="B81" s="19">
        <v>0</v>
      </c>
      <c r="C81" s="19">
        <v>4259</v>
      </c>
      <c r="D81" s="19">
        <v>1124</v>
      </c>
      <c r="E81" s="19">
        <v>299</v>
      </c>
      <c r="G81" s="19"/>
      <c r="H81" s="19"/>
      <c r="I81" s="19"/>
      <c r="J81" s="19"/>
      <c r="K81" s="19"/>
    </row>
    <row r="82" spans="1:11" x14ac:dyDescent="0.25">
      <c r="A82" s="19">
        <v>2004</v>
      </c>
      <c r="B82" s="19">
        <v>0</v>
      </c>
      <c r="C82" s="19">
        <v>5331</v>
      </c>
      <c r="D82" s="19">
        <v>3042</v>
      </c>
      <c r="E82" s="19">
        <v>817</v>
      </c>
      <c r="G82" s="19"/>
      <c r="H82" s="19"/>
      <c r="I82" s="19"/>
      <c r="J82" s="19"/>
      <c r="K82" s="19"/>
    </row>
    <row r="83" spans="1:11" x14ac:dyDescent="0.25">
      <c r="A83" s="19">
        <v>2004.25</v>
      </c>
      <c r="B83" s="19">
        <v>0</v>
      </c>
      <c r="C83" s="19">
        <v>3849</v>
      </c>
      <c r="D83" s="19">
        <v>2052</v>
      </c>
      <c r="E83" s="19">
        <v>523</v>
      </c>
      <c r="G83" s="19"/>
      <c r="H83" s="19"/>
      <c r="I83" s="19"/>
      <c r="J83" s="19"/>
      <c r="K83" s="19"/>
    </row>
    <row r="84" spans="1:11" x14ac:dyDescent="0.25">
      <c r="A84" s="19">
        <v>2004.5</v>
      </c>
      <c r="B84" s="19">
        <v>9506</v>
      </c>
      <c r="C84" s="19">
        <v>2924</v>
      </c>
      <c r="D84" s="19">
        <v>1387</v>
      </c>
      <c r="E84" s="19">
        <v>334</v>
      </c>
      <c r="G84" s="19"/>
      <c r="H84" s="19"/>
      <c r="I84" s="19"/>
      <c r="J84" s="19"/>
      <c r="K84" s="19"/>
    </row>
    <row r="85" spans="1:11" x14ac:dyDescent="0.25">
      <c r="A85" s="19">
        <v>2004.75</v>
      </c>
      <c r="B85" s="19">
        <v>0</v>
      </c>
      <c r="C85" s="19">
        <v>2092</v>
      </c>
      <c r="D85" s="19">
        <v>886</v>
      </c>
      <c r="E85" s="19">
        <v>214</v>
      </c>
      <c r="G85" s="19"/>
      <c r="H85" s="19"/>
      <c r="I85" s="19"/>
      <c r="J85" s="19"/>
      <c r="K85" s="19"/>
    </row>
    <row r="86" spans="1:11" x14ac:dyDescent="0.25">
      <c r="A86" s="19">
        <v>2005</v>
      </c>
      <c r="B86" s="19">
        <v>0</v>
      </c>
      <c r="C86" s="19">
        <v>5358</v>
      </c>
      <c r="D86" s="19">
        <v>1453</v>
      </c>
      <c r="E86" s="19">
        <v>674</v>
      </c>
      <c r="G86" s="19"/>
      <c r="H86" s="19"/>
      <c r="I86" s="19"/>
      <c r="J86" s="19"/>
      <c r="K86" s="19"/>
    </row>
    <row r="87" spans="1:11" x14ac:dyDescent="0.25">
      <c r="A87" s="19">
        <v>2005.25</v>
      </c>
      <c r="B87" s="19">
        <v>0</v>
      </c>
      <c r="C87" s="19">
        <v>3957</v>
      </c>
      <c r="D87" s="19">
        <v>1023</v>
      </c>
      <c r="E87" s="19">
        <v>454</v>
      </c>
      <c r="G87" s="19"/>
      <c r="H87" s="19"/>
      <c r="I87" s="19"/>
      <c r="J87" s="19"/>
      <c r="K87" s="19"/>
    </row>
    <row r="88" spans="1:11" x14ac:dyDescent="0.25">
      <c r="A88" s="19">
        <v>2005.5</v>
      </c>
      <c r="B88" s="19">
        <v>36824</v>
      </c>
      <c r="C88" s="19">
        <v>2962</v>
      </c>
      <c r="D88" s="19">
        <v>717</v>
      </c>
      <c r="E88" s="19">
        <v>304</v>
      </c>
      <c r="G88" s="19"/>
      <c r="H88" s="19"/>
      <c r="I88" s="19"/>
      <c r="J88" s="19"/>
      <c r="K88" s="19"/>
    </row>
    <row r="89" spans="1:11" x14ac:dyDescent="0.25">
      <c r="A89" s="19">
        <v>2005.75</v>
      </c>
      <c r="B89" s="19">
        <v>0</v>
      </c>
      <c r="C89" s="19">
        <v>2271</v>
      </c>
      <c r="D89" s="19">
        <v>492</v>
      </c>
      <c r="E89" s="19">
        <v>199</v>
      </c>
      <c r="G89" s="19"/>
      <c r="H89" s="19"/>
      <c r="I89" s="19"/>
      <c r="J89" s="19"/>
      <c r="K89" s="19"/>
    </row>
    <row r="90" spans="1:11" x14ac:dyDescent="0.25">
      <c r="A90" s="19">
        <v>2006</v>
      </c>
      <c r="B90" s="19">
        <v>0</v>
      </c>
      <c r="C90" s="19">
        <v>20931</v>
      </c>
      <c r="D90" s="19">
        <v>1801</v>
      </c>
      <c r="E90" s="19">
        <v>459</v>
      </c>
      <c r="G90" s="19"/>
      <c r="H90" s="19"/>
      <c r="I90" s="19"/>
      <c r="J90" s="19"/>
      <c r="K90" s="19"/>
    </row>
    <row r="91" spans="1:11" x14ac:dyDescent="0.25">
      <c r="A91" s="19">
        <v>2006.25</v>
      </c>
      <c r="B91" s="19">
        <v>0</v>
      </c>
      <c r="C91" s="19">
        <v>15488</v>
      </c>
      <c r="D91" s="19">
        <v>1323</v>
      </c>
      <c r="E91" s="19">
        <v>306</v>
      </c>
      <c r="G91" s="19"/>
      <c r="H91" s="19"/>
      <c r="I91" s="19"/>
      <c r="J91" s="19"/>
      <c r="K91" s="19"/>
    </row>
    <row r="92" spans="1:11" x14ac:dyDescent="0.25">
      <c r="A92" s="19">
        <v>2006.5</v>
      </c>
      <c r="B92" s="19">
        <v>27626</v>
      </c>
      <c r="C92" s="19">
        <v>11757</v>
      </c>
      <c r="D92" s="19">
        <v>942</v>
      </c>
      <c r="E92" s="19">
        <v>202</v>
      </c>
      <c r="G92" s="19"/>
      <c r="H92" s="19"/>
      <c r="I92" s="19"/>
      <c r="J92" s="19"/>
      <c r="K92" s="19"/>
    </row>
    <row r="93" spans="1:11" x14ac:dyDescent="0.25">
      <c r="A93" s="19">
        <v>2006.75</v>
      </c>
      <c r="B93" s="19">
        <v>0</v>
      </c>
      <c r="C93" s="19">
        <v>8909</v>
      </c>
      <c r="D93" s="19">
        <v>616</v>
      </c>
      <c r="E93" s="19">
        <v>130</v>
      </c>
      <c r="G93" s="19"/>
      <c r="H93" s="19"/>
      <c r="I93" s="19"/>
      <c r="J93" s="19"/>
      <c r="K93" s="19"/>
    </row>
    <row r="94" spans="1:11" x14ac:dyDescent="0.25">
      <c r="A94" s="19">
        <v>2007</v>
      </c>
      <c r="B94" s="19">
        <v>0</v>
      </c>
      <c r="C94" s="19">
        <v>15454</v>
      </c>
      <c r="D94" s="19">
        <v>6146</v>
      </c>
      <c r="E94" s="19">
        <v>461</v>
      </c>
      <c r="G94" s="19"/>
      <c r="H94" s="19"/>
      <c r="I94" s="19"/>
      <c r="J94" s="19"/>
      <c r="K94" s="19"/>
    </row>
    <row r="95" spans="1:11" x14ac:dyDescent="0.25">
      <c r="A95" s="19">
        <v>2007.25</v>
      </c>
      <c r="B95" s="19">
        <v>0</v>
      </c>
      <c r="C95" s="19">
        <v>11583</v>
      </c>
      <c r="D95" s="19">
        <v>4106</v>
      </c>
      <c r="E95" s="19">
        <v>322</v>
      </c>
      <c r="G95" s="19"/>
      <c r="H95" s="19"/>
      <c r="I95" s="19"/>
      <c r="J95" s="19"/>
      <c r="K95" s="19"/>
    </row>
    <row r="96" spans="1:11" x14ac:dyDescent="0.25">
      <c r="A96" s="19">
        <v>2007.5</v>
      </c>
      <c r="B96" s="19">
        <v>38699</v>
      </c>
      <c r="C96" s="19">
        <v>8582</v>
      </c>
      <c r="D96" s="19">
        <v>2742</v>
      </c>
      <c r="E96" s="19">
        <v>226</v>
      </c>
      <c r="G96" s="19"/>
      <c r="H96" s="19"/>
      <c r="I96" s="19"/>
      <c r="J96" s="19"/>
      <c r="K96" s="19"/>
    </row>
    <row r="97" spans="1:11" x14ac:dyDescent="0.25">
      <c r="A97" s="19">
        <v>2007.75</v>
      </c>
      <c r="B97" s="19">
        <v>0</v>
      </c>
      <c r="C97" s="19">
        <v>6397</v>
      </c>
      <c r="D97" s="19">
        <v>1832</v>
      </c>
      <c r="E97" s="19">
        <v>148</v>
      </c>
      <c r="G97" s="19"/>
      <c r="H97" s="19"/>
      <c r="I97" s="19"/>
      <c r="J97" s="19"/>
      <c r="K97" s="19"/>
    </row>
    <row r="98" spans="1:11" x14ac:dyDescent="0.25">
      <c r="A98" s="19">
        <v>2008</v>
      </c>
      <c r="B98" s="19">
        <v>0</v>
      </c>
      <c r="C98" s="19">
        <v>22496</v>
      </c>
      <c r="D98" s="19">
        <v>4945</v>
      </c>
      <c r="E98" s="19">
        <v>1351</v>
      </c>
      <c r="G98" s="19"/>
      <c r="H98" s="19"/>
      <c r="I98" s="19"/>
      <c r="J98" s="19"/>
      <c r="K98" s="19"/>
    </row>
    <row r="99" spans="1:11" x14ac:dyDescent="0.25">
      <c r="A99" s="19">
        <v>2008.25</v>
      </c>
      <c r="B99" s="19">
        <v>0</v>
      </c>
      <c r="C99" s="19">
        <v>17519</v>
      </c>
      <c r="D99" s="19">
        <v>3514</v>
      </c>
      <c r="E99" s="19">
        <v>884</v>
      </c>
      <c r="G99" s="19"/>
      <c r="H99" s="19"/>
      <c r="I99" s="19"/>
      <c r="J99" s="19"/>
      <c r="K99" s="19"/>
    </row>
    <row r="100" spans="1:11" x14ac:dyDescent="0.25">
      <c r="A100" s="19">
        <v>2008.5</v>
      </c>
      <c r="B100" s="19">
        <v>60884</v>
      </c>
      <c r="C100" s="19">
        <v>13618</v>
      </c>
      <c r="D100" s="19">
        <v>2437</v>
      </c>
      <c r="E100" s="19">
        <v>581</v>
      </c>
      <c r="G100" s="19"/>
      <c r="H100" s="19"/>
      <c r="I100" s="19"/>
      <c r="J100" s="19"/>
      <c r="K100" s="19"/>
    </row>
    <row r="101" spans="1:11" x14ac:dyDescent="0.25">
      <c r="A101" s="19">
        <v>2008.75</v>
      </c>
      <c r="B101" s="19">
        <v>0</v>
      </c>
      <c r="C101" s="19">
        <v>10698</v>
      </c>
      <c r="D101" s="19">
        <v>1610</v>
      </c>
      <c r="E101" s="19">
        <v>366</v>
      </c>
      <c r="G101" s="19"/>
      <c r="H101" s="19"/>
      <c r="I101" s="19"/>
      <c r="J101" s="19"/>
      <c r="K101" s="19"/>
    </row>
    <row r="102" spans="1:11" x14ac:dyDescent="0.25">
      <c r="A102" s="19">
        <v>2009</v>
      </c>
      <c r="B102" s="19">
        <v>0</v>
      </c>
      <c r="C102" s="19">
        <v>39174</v>
      </c>
      <c r="D102" s="19">
        <v>7971</v>
      </c>
      <c r="E102" s="19">
        <v>1291</v>
      </c>
      <c r="G102" s="19"/>
      <c r="H102" s="19"/>
      <c r="I102" s="19"/>
      <c r="J102" s="19"/>
      <c r="K102" s="19"/>
    </row>
    <row r="103" spans="1:11" x14ac:dyDescent="0.25">
      <c r="A103" s="19">
        <v>2009.25</v>
      </c>
      <c r="B103" s="19">
        <v>0</v>
      </c>
      <c r="C103" s="19">
        <v>29717</v>
      </c>
      <c r="D103" s="19">
        <v>5471</v>
      </c>
      <c r="E103" s="19">
        <v>808</v>
      </c>
      <c r="G103" s="19"/>
      <c r="H103" s="19"/>
      <c r="I103" s="19"/>
      <c r="J103" s="19"/>
      <c r="K103" s="19"/>
    </row>
    <row r="104" spans="1:11" x14ac:dyDescent="0.25">
      <c r="A104" s="19">
        <v>2009.5</v>
      </c>
      <c r="B104" s="19">
        <v>87467</v>
      </c>
      <c r="C104" s="19">
        <v>23357</v>
      </c>
      <c r="D104" s="19">
        <v>3707</v>
      </c>
      <c r="E104" s="19">
        <v>503</v>
      </c>
      <c r="G104" s="19"/>
      <c r="H104" s="19"/>
      <c r="I104" s="19"/>
      <c r="J104" s="19"/>
      <c r="K104" s="19"/>
    </row>
    <row r="105" spans="1:11" x14ac:dyDescent="0.25">
      <c r="A105" s="19">
        <v>2009.75</v>
      </c>
      <c r="B105" s="19">
        <v>0</v>
      </c>
      <c r="C105" s="19">
        <v>18004</v>
      </c>
      <c r="D105" s="19">
        <v>2287</v>
      </c>
      <c r="E105" s="19">
        <v>321</v>
      </c>
      <c r="G105" s="19"/>
      <c r="H105" s="19"/>
      <c r="I105" s="19"/>
      <c r="J105" s="19"/>
      <c r="K105" s="19"/>
    </row>
    <row r="106" spans="1:11" x14ac:dyDescent="0.25">
      <c r="A106" s="19">
        <v>2010</v>
      </c>
      <c r="B106" s="19">
        <v>0</v>
      </c>
      <c r="C106" s="19">
        <v>53035</v>
      </c>
      <c r="D106" s="19">
        <v>14242</v>
      </c>
      <c r="E106" s="19">
        <v>1689</v>
      </c>
      <c r="G106" s="19"/>
      <c r="H106" s="19"/>
      <c r="I106" s="19"/>
      <c r="J106" s="19"/>
      <c r="K106" s="19"/>
    </row>
    <row r="107" spans="1:11" x14ac:dyDescent="0.25">
      <c r="A107" s="19">
        <v>2010.25</v>
      </c>
      <c r="B107" s="19">
        <v>0</v>
      </c>
      <c r="C107" s="19">
        <v>42379</v>
      </c>
      <c r="D107" s="19">
        <v>10994</v>
      </c>
      <c r="E107" s="19">
        <v>1095</v>
      </c>
      <c r="G107" s="19"/>
      <c r="H107" s="19"/>
      <c r="I107" s="19"/>
      <c r="J107" s="19"/>
      <c r="K107" s="19"/>
    </row>
    <row r="108" spans="1:11" x14ac:dyDescent="0.25">
      <c r="A108" s="19">
        <v>2010.5</v>
      </c>
      <c r="B108" s="19">
        <v>7810</v>
      </c>
      <c r="C108" s="19">
        <v>32044</v>
      </c>
      <c r="D108" s="19">
        <v>7764</v>
      </c>
      <c r="E108" s="19">
        <v>702</v>
      </c>
      <c r="G108" s="19"/>
      <c r="H108" s="19"/>
      <c r="I108" s="19"/>
      <c r="J108" s="19"/>
      <c r="K108" s="19"/>
    </row>
    <row r="109" spans="1:11" x14ac:dyDescent="0.25">
      <c r="A109" s="19">
        <v>2010.75</v>
      </c>
      <c r="B109" s="19">
        <v>0</v>
      </c>
      <c r="C109" s="19">
        <v>23021</v>
      </c>
      <c r="D109" s="19">
        <v>5142</v>
      </c>
      <c r="E109" s="19">
        <v>447</v>
      </c>
      <c r="G109" s="19"/>
      <c r="H109" s="19"/>
      <c r="I109" s="19"/>
      <c r="J109" s="19"/>
      <c r="K109" s="19"/>
    </row>
    <row r="110" spans="1:11" x14ac:dyDescent="0.25">
      <c r="A110" s="19">
        <v>2011</v>
      </c>
      <c r="B110" s="19">
        <v>0</v>
      </c>
      <c r="C110" s="19">
        <v>4614</v>
      </c>
      <c r="D110" s="19">
        <v>16248</v>
      </c>
      <c r="E110" s="19">
        <v>3624</v>
      </c>
      <c r="G110" s="19"/>
      <c r="H110" s="19"/>
      <c r="I110" s="19"/>
      <c r="J110" s="19"/>
      <c r="K110" s="19"/>
    </row>
    <row r="111" spans="1:11" x14ac:dyDescent="0.25">
      <c r="A111" s="19">
        <v>2011.25</v>
      </c>
      <c r="B111" s="19">
        <v>0</v>
      </c>
      <c r="C111" s="19">
        <v>3559</v>
      </c>
      <c r="D111" s="19">
        <v>10535</v>
      </c>
      <c r="E111" s="19">
        <v>2274</v>
      </c>
      <c r="G111" s="19"/>
      <c r="H111" s="19"/>
      <c r="I111" s="19"/>
      <c r="J111" s="19"/>
      <c r="K111" s="19"/>
    </row>
    <row r="112" spans="1:11" x14ac:dyDescent="0.25">
      <c r="A112" s="19">
        <v>2011.5</v>
      </c>
      <c r="B112" s="19">
        <v>13185</v>
      </c>
      <c r="C112" s="19">
        <v>2853</v>
      </c>
      <c r="D112" s="19">
        <v>7258</v>
      </c>
      <c r="E112" s="19">
        <v>1441</v>
      </c>
      <c r="G112" s="19"/>
      <c r="H112" s="19"/>
      <c r="I112" s="19"/>
      <c r="J112" s="19"/>
      <c r="K112" s="19"/>
    </row>
    <row r="113" spans="1:11" x14ac:dyDescent="0.25">
      <c r="A113" s="19">
        <v>2011.75</v>
      </c>
      <c r="B113" s="19">
        <v>0</v>
      </c>
      <c r="C113" s="19">
        <v>2197</v>
      </c>
      <c r="D113" s="19">
        <v>4943</v>
      </c>
      <c r="E113" s="19">
        <v>921</v>
      </c>
      <c r="G113" s="19"/>
      <c r="H113" s="19"/>
      <c r="I113" s="19"/>
      <c r="J113" s="19"/>
      <c r="K113" s="19"/>
    </row>
    <row r="114" spans="1:11" x14ac:dyDescent="0.25">
      <c r="A114" s="19">
        <v>2012</v>
      </c>
      <c r="B114" s="19">
        <v>0</v>
      </c>
      <c r="C114" s="19">
        <v>7776</v>
      </c>
      <c r="D114" s="19">
        <v>1712</v>
      </c>
      <c r="E114" s="19">
        <v>4091</v>
      </c>
      <c r="G114" s="19"/>
      <c r="H114" s="19"/>
      <c r="I114" s="19"/>
      <c r="J114" s="19"/>
      <c r="K114" s="19"/>
    </row>
    <row r="115" spans="1:11" x14ac:dyDescent="0.25">
      <c r="A115" s="19">
        <v>2012.25</v>
      </c>
      <c r="B115" s="19">
        <v>0</v>
      </c>
      <c r="C115" s="19">
        <v>5937</v>
      </c>
      <c r="D115" s="19">
        <v>1207</v>
      </c>
      <c r="E115" s="19">
        <v>2738</v>
      </c>
      <c r="G115" s="19"/>
      <c r="H115" s="19"/>
      <c r="I115" s="19"/>
      <c r="J115" s="19"/>
      <c r="K115" s="19"/>
    </row>
    <row r="116" spans="1:11" x14ac:dyDescent="0.25">
      <c r="A116" s="19">
        <v>2012.5</v>
      </c>
      <c r="B116" s="19">
        <v>64940</v>
      </c>
      <c r="C116" s="19">
        <v>4618</v>
      </c>
      <c r="D116" s="19">
        <v>869</v>
      </c>
      <c r="E116" s="19">
        <v>1836</v>
      </c>
      <c r="G116" s="19"/>
      <c r="H116" s="19"/>
      <c r="I116" s="19"/>
      <c r="J116" s="19"/>
      <c r="K116" s="19"/>
    </row>
    <row r="117" spans="1:11" x14ac:dyDescent="0.25">
      <c r="A117" s="19">
        <v>2012.75</v>
      </c>
      <c r="B117" s="19">
        <v>0</v>
      </c>
      <c r="C117" s="19">
        <v>3697</v>
      </c>
      <c r="D117" s="19">
        <v>614</v>
      </c>
      <c r="E117" s="19">
        <v>1209</v>
      </c>
      <c r="G117" s="19"/>
      <c r="H117" s="19"/>
      <c r="I117" s="19"/>
      <c r="J117" s="19"/>
      <c r="K117" s="19"/>
    </row>
    <row r="118" spans="1:11" x14ac:dyDescent="0.25">
      <c r="A118" s="19">
        <v>2013</v>
      </c>
      <c r="B118" s="19">
        <v>0</v>
      </c>
      <c r="C118" s="19">
        <v>38100</v>
      </c>
      <c r="D118" s="19">
        <v>2686</v>
      </c>
      <c r="E118" s="19">
        <v>1178</v>
      </c>
      <c r="G118" s="19"/>
      <c r="H118" s="19"/>
      <c r="I118" s="19"/>
      <c r="J118" s="19"/>
      <c r="K118" s="19"/>
    </row>
    <row r="119" spans="1:11" x14ac:dyDescent="0.25">
      <c r="A119" s="19">
        <v>2013.25</v>
      </c>
      <c r="B119" s="19">
        <v>0</v>
      </c>
      <c r="C119" s="19">
        <v>29179</v>
      </c>
      <c r="D119" s="19">
        <v>1936</v>
      </c>
      <c r="E119" s="19">
        <v>753</v>
      </c>
      <c r="G119" s="19"/>
      <c r="H119" s="19"/>
      <c r="I119" s="19"/>
      <c r="J119" s="19"/>
      <c r="K119" s="19"/>
    </row>
    <row r="120" spans="1:11" x14ac:dyDescent="0.25">
      <c r="A120" s="19">
        <v>2013.5</v>
      </c>
      <c r="B120" s="19">
        <v>19483</v>
      </c>
      <c r="C120" s="19">
        <v>20991</v>
      </c>
      <c r="D120" s="19">
        <v>1351</v>
      </c>
      <c r="E120" s="19">
        <v>478</v>
      </c>
      <c r="G120" s="19"/>
      <c r="H120" s="19"/>
      <c r="I120" s="19"/>
      <c r="J120" s="19"/>
      <c r="K120" s="19"/>
    </row>
    <row r="121" spans="1:11" x14ac:dyDescent="0.25">
      <c r="A121" s="19">
        <v>2013.75</v>
      </c>
      <c r="B121" s="19">
        <v>0</v>
      </c>
      <c r="C121" s="19">
        <v>14453</v>
      </c>
      <c r="D121" s="19">
        <v>866</v>
      </c>
      <c r="E121" s="19">
        <v>307</v>
      </c>
      <c r="G121" s="19"/>
      <c r="H121" s="19"/>
      <c r="I121" s="19"/>
      <c r="J121" s="19"/>
      <c r="K121" s="19"/>
    </row>
    <row r="122" spans="1:11" x14ac:dyDescent="0.25">
      <c r="A122" s="19">
        <v>2014</v>
      </c>
      <c r="B122" s="19">
        <v>0</v>
      </c>
      <c r="C122" s="19">
        <v>10689</v>
      </c>
      <c r="D122" s="19">
        <v>9105</v>
      </c>
      <c r="E122" s="19">
        <v>673</v>
      </c>
      <c r="G122" s="19"/>
      <c r="H122" s="19"/>
      <c r="I122" s="19"/>
      <c r="J122" s="19"/>
      <c r="K122" s="19"/>
    </row>
    <row r="123" spans="1:11" x14ac:dyDescent="0.25">
      <c r="A123" s="19">
        <v>2014.25</v>
      </c>
      <c r="B123" s="19">
        <v>0</v>
      </c>
      <c r="C123" s="19">
        <v>7898</v>
      </c>
      <c r="D123" s="19">
        <v>5724</v>
      </c>
      <c r="E123" s="19">
        <v>423</v>
      </c>
      <c r="G123" s="19"/>
      <c r="H123" s="19"/>
      <c r="I123" s="19"/>
      <c r="J123" s="19"/>
      <c r="K123" s="19"/>
    </row>
    <row r="124" spans="1:11" x14ac:dyDescent="0.25">
      <c r="A124" s="19">
        <v>2014.5</v>
      </c>
      <c r="B124" s="19">
        <v>103496</v>
      </c>
      <c r="C124" s="19">
        <v>5857</v>
      </c>
      <c r="D124" s="19">
        <v>3580</v>
      </c>
      <c r="E124" s="19">
        <v>264</v>
      </c>
      <c r="G124" s="19"/>
      <c r="H124" s="19"/>
      <c r="I124" s="19"/>
      <c r="J124" s="19"/>
      <c r="K124" s="19"/>
    </row>
    <row r="125" spans="1:11" x14ac:dyDescent="0.25">
      <c r="A125" s="19">
        <v>2014.75</v>
      </c>
      <c r="B125" s="19">
        <v>0</v>
      </c>
      <c r="C125" s="19">
        <v>4350</v>
      </c>
      <c r="D125" s="19">
        <v>2181</v>
      </c>
      <c r="E125" s="19">
        <v>164</v>
      </c>
      <c r="G125" s="19"/>
      <c r="H125" s="19"/>
      <c r="I125" s="19"/>
      <c r="J125" s="19"/>
      <c r="K125" s="19"/>
    </row>
    <row r="126" spans="1:11" x14ac:dyDescent="0.25">
      <c r="A126" s="19">
        <v>2015</v>
      </c>
      <c r="B126" s="19">
        <v>0</v>
      </c>
      <c r="C126" s="19">
        <v>56694</v>
      </c>
      <c r="D126" s="19">
        <v>3025</v>
      </c>
      <c r="E126" s="19">
        <v>1415</v>
      </c>
      <c r="G126" s="19"/>
      <c r="H126" s="19"/>
      <c r="I126" s="19"/>
      <c r="J126" s="19"/>
      <c r="K126" s="19"/>
    </row>
    <row r="127" spans="1:11" x14ac:dyDescent="0.25">
      <c r="A127" s="19">
        <v>2015.25</v>
      </c>
      <c r="B127" s="19">
        <v>0</v>
      </c>
      <c r="C127" s="19">
        <v>40284</v>
      </c>
      <c r="D127" s="19">
        <v>1974</v>
      </c>
      <c r="E127" s="19">
        <v>914</v>
      </c>
      <c r="G127" s="19"/>
      <c r="H127" s="19"/>
      <c r="I127" s="19"/>
      <c r="J127" s="19"/>
      <c r="K127" s="19"/>
    </row>
    <row r="128" spans="1:11" x14ac:dyDescent="0.25">
      <c r="A128" s="19">
        <v>2015.5</v>
      </c>
      <c r="B128" s="19">
        <v>39759</v>
      </c>
      <c r="C128" s="19">
        <v>28070</v>
      </c>
      <c r="D128" s="19">
        <v>1285</v>
      </c>
      <c r="E128" s="19">
        <v>588</v>
      </c>
      <c r="G128" s="19"/>
      <c r="H128" s="19"/>
      <c r="I128" s="19"/>
      <c r="J128" s="19"/>
      <c r="K128" s="19"/>
    </row>
    <row r="129" spans="1:11" x14ac:dyDescent="0.25">
      <c r="A129" s="19">
        <v>2015.75</v>
      </c>
      <c r="B129" s="19">
        <v>0</v>
      </c>
      <c r="C129" s="19">
        <v>18141</v>
      </c>
      <c r="D129" s="19">
        <v>741</v>
      </c>
      <c r="E129" s="19">
        <v>368</v>
      </c>
      <c r="G129" s="19"/>
      <c r="H129" s="19"/>
      <c r="I129" s="19"/>
      <c r="J129" s="19"/>
      <c r="K129" s="19"/>
    </row>
    <row r="130" spans="1:11" x14ac:dyDescent="0.25">
      <c r="A130" s="19">
        <v>2016</v>
      </c>
      <c r="B130" s="19">
        <v>0</v>
      </c>
      <c r="C130" s="19">
        <v>21414</v>
      </c>
      <c r="D130" s="19">
        <v>11562</v>
      </c>
      <c r="E130" s="19">
        <v>656</v>
      </c>
      <c r="G130" s="19"/>
      <c r="H130" s="19"/>
      <c r="I130" s="19"/>
      <c r="J130" s="19"/>
      <c r="K130" s="19"/>
    </row>
    <row r="131" spans="1:11" x14ac:dyDescent="0.25">
      <c r="A131" s="19">
        <v>2016.25</v>
      </c>
      <c r="B131" s="19">
        <v>0</v>
      </c>
      <c r="C131" s="19">
        <v>14987</v>
      </c>
      <c r="D131" s="19">
        <v>7370</v>
      </c>
      <c r="E131" s="19">
        <v>417</v>
      </c>
      <c r="G131" s="19"/>
      <c r="H131" s="19"/>
      <c r="I131" s="19"/>
      <c r="J131" s="19"/>
      <c r="K131" s="19"/>
    </row>
    <row r="132" spans="1:11" x14ac:dyDescent="0.25">
      <c r="A132" s="19">
        <v>2016.5</v>
      </c>
      <c r="B132" s="19">
        <v>70563</v>
      </c>
      <c r="C132" s="19">
        <v>10125</v>
      </c>
      <c r="D132" s="19">
        <v>4592</v>
      </c>
      <c r="E132" s="19">
        <v>261</v>
      </c>
      <c r="G132" s="19"/>
      <c r="H132" s="19"/>
      <c r="I132" s="19"/>
      <c r="J132" s="19"/>
      <c r="K132" s="19"/>
    </row>
    <row r="133" spans="1:11" x14ac:dyDescent="0.25">
      <c r="A133" s="19">
        <v>2016.75</v>
      </c>
      <c r="B133" s="19">
        <v>0</v>
      </c>
      <c r="C133" s="19">
        <v>6348</v>
      </c>
      <c r="D133" s="19">
        <v>2776</v>
      </c>
      <c r="E133" s="19">
        <v>161</v>
      </c>
      <c r="G133" s="19"/>
      <c r="H133" s="19"/>
      <c r="I133" s="19"/>
      <c r="J133" s="19"/>
      <c r="K133" s="19"/>
    </row>
    <row r="134" spans="1:11" x14ac:dyDescent="0.25">
      <c r="A134" s="19">
        <v>2017</v>
      </c>
      <c r="B134" s="19">
        <v>0</v>
      </c>
      <c r="C134" s="19">
        <v>38392</v>
      </c>
      <c r="D134" s="19">
        <v>3867</v>
      </c>
      <c r="E134" s="19">
        <v>1735</v>
      </c>
      <c r="G134" s="19"/>
      <c r="H134" s="19"/>
      <c r="I134" s="19"/>
      <c r="J134" s="19"/>
      <c r="K134" s="19"/>
    </row>
    <row r="135" spans="1:11" x14ac:dyDescent="0.25">
      <c r="A135" s="19">
        <v>2017.25</v>
      </c>
      <c r="B135" s="19">
        <v>0</v>
      </c>
      <c r="C135" s="19">
        <v>26286</v>
      </c>
      <c r="D135" s="19">
        <v>2523</v>
      </c>
      <c r="E135" s="19">
        <v>1101</v>
      </c>
      <c r="G135" s="19"/>
      <c r="H135" s="19"/>
      <c r="I135" s="19"/>
      <c r="J135" s="19"/>
      <c r="K135" s="19"/>
    </row>
    <row r="136" spans="1:11" x14ac:dyDescent="0.25">
      <c r="A136" s="19">
        <v>2017.5</v>
      </c>
      <c r="B136" s="19">
        <v>22784</v>
      </c>
      <c r="C136" s="19">
        <v>17995</v>
      </c>
      <c r="D136" s="19">
        <v>1653</v>
      </c>
      <c r="E136" s="19">
        <v>694</v>
      </c>
      <c r="G136" s="19"/>
      <c r="H136" s="19"/>
      <c r="I136" s="19"/>
      <c r="J136" s="19"/>
      <c r="K136" s="19"/>
    </row>
    <row r="137" spans="1:11" x14ac:dyDescent="0.25">
      <c r="A137" s="19">
        <v>2017.75</v>
      </c>
      <c r="B137" s="19">
        <v>0</v>
      </c>
      <c r="C137" s="19">
        <v>11751</v>
      </c>
      <c r="D137" s="19">
        <v>1020</v>
      </c>
      <c r="E137" s="19">
        <v>442</v>
      </c>
      <c r="G137" s="19"/>
      <c r="H137" s="19"/>
      <c r="I137" s="19"/>
      <c r="J137" s="19"/>
      <c r="K137" s="19"/>
    </row>
    <row r="138" spans="1:11" x14ac:dyDescent="0.25">
      <c r="A138" s="19">
        <v>2018</v>
      </c>
      <c r="B138" s="19">
        <v>0</v>
      </c>
      <c r="C138" s="19">
        <v>11639</v>
      </c>
      <c r="D138" s="19">
        <v>7510</v>
      </c>
      <c r="E138" s="19">
        <v>889</v>
      </c>
      <c r="G138" s="19"/>
      <c r="H138" s="19"/>
      <c r="I138" s="19"/>
      <c r="J138" s="19"/>
      <c r="K138" s="19"/>
    </row>
    <row r="139" spans="1:11" x14ac:dyDescent="0.25">
      <c r="A139" s="19">
        <v>2018.25</v>
      </c>
      <c r="B139" s="19">
        <v>0</v>
      </c>
      <c r="C139" s="19">
        <v>8456</v>
      </c>
      <c r="D139" s="19">
        <v>4621</v>
      </c>
      <c r="E139" s="19">
        <v>533</v>
      </c>
      <c r="G139" s="19"/>
      <c r="H139" s="19"/>
      <c r="I139" s="19"/>
      <c r="J139" s="19"/>
      <c r="K139" s="19"/>
    </row>
    <row r="140" spans="1:11" x14ac:dyDescent="0.25">
      <c r="A140" s="19">
        <v>2018.5</v>
      </c>
      <c r="B140" s="19">
        <v>81343</v>
      </c>
      <c r="C140" s="19">
        <v>6022</v>
      </c>
      <c r="D140" s="19">
        <v>2801</v>
      </c>
      <c r="E140" s="19">
        <v>315</v>
      </c>
      <c r="G140" s="19"/>
      <c r="H140" s="19"/>
      <c r="I140" s="19"/>
      <c r="J140" s="19"/>
      <c r="K140" s="19"/>
    </row>
    <row r="141" spans="1:11" x14ac:dyDescent="0.25">
      <c r="A141" s="19">
        <v>2018.75</v>
      </c>
      <c r="B141" s="19">
        <v>0</v>
      </c>
      <c r="C141" s="19">
        <v>4357</v>
      </c>
      <c r="D141" s="19">
        <v>1679</v>
      </c>
      <c r="E141" s="19">
        <v>194</v>
      </c>
      <c r="G141" s="19"/>
      <c r="H141" s="19"/>
      <c r="I141" s="19"/>
      <c r="J141" s="19"/>
      <c r="K141" s="19"/>
    </row>
    <row r="142" spans="1:11" x14ac:dyDescent="0.25">
      <c r="A142" s="19">
        <v>2019</v>
      </c>
      <c r="B142" s="19">
        <v>0</v>
      </c>
      <c r="C142" s="19">
        <v>44350</v>
      </c>
      <c r="D142" s="19">
        <v>3018</v>
      </c>
      <c r="E142" s="19">
        <v>1030</v>
      </c>
      <c r="G142" s="19"/>
      <c r="H142" s="19"/>
      <c r="I142" s="19"/>
      <c r="J142" s="19"/>
      <c r="K142" s="19"/>
    </row>
    <row r="143" spans="1:11" x14ac:dyDescent="0.25">
      <c r="A143" s="19">
        <v>2019.25</v>
      </c>
      <c r="B143" s="19">
        <v>0</v>
      </c>
      <c r="C143" s="19">
        <v>32666</v>
      </c>
      <c r="D143" s="19">
        <v>2122</v>
      </c>
      <c r="E143" s="19">
        <v>649</v>
      </c>
      <c r="G143" s="19"/>
      <c r="H143" s="19"/>
      <c r="I143" s="19"/>
      <c r="J143" s="19"/>
      <c r="K143" s="19"/>
    </row>
    <row r="144" spans="1:11" x14ac:dyDescent="0.25">
      <c r="A144" s="19">
        <v>2019.5</v>
      </c>
      <c r="B144" s="19">
        <v>107180</v>
      </c>
      <c r="C144" s="19">
        <v>23717</v>
      </c>
      <c r="D144" s="19">
        <v>1356</v>
      </c>
      <c r="E144" s="19">
        <v>399</v>
      </c>
      <c r="G144" s="19"/>
      <c r="H144" s="19"/>
      <c r="I144" s="19"/>
      <c r="J144" s="19"/>
      <c r="K144" s="19"/>
    </row>
    <row r="145" spans="1:11" x14ac:dyDescent="0.25">
      <c r="A145" s="19">
        <v>2019.75</v>
      </c>
      <c r="B145" s="19">
        <v>0</v>
      </c>
      <c r="C145" s="19">
        <v>17009</v>
      </c>
      <c r="D145" s="19">
        <v>835</v>
      </c>
      <c r="E145" s="19">
        <v>248</v>
      </c>
      <c r="G145" s="19"/>
      <c r="H145" s="19"/>
      <c r="I145" s="19"/>
      <c r="J145" s="19"/>
      <c r="K145" s="19"/>
    </row>
    <row r="146" spans="1:11" x14ac:dyDescent="0.25">
      <c r="A146" s="19">
        <v>2020</v>
      </c>
      <c r="B146" s="19">
        <v>0</v>
      </c>
      <c r="C146" s="19">
        <v>60426</v>
      </c>
      <c r="D146" s="19">
        <v>11611</v>
      </c>
      <c r="E146" s="19">
        <v>675</v>
      </c>
      <c r="G146" s="19"/>
      <c r="H146" s="19"/>
      <c r="I146" s="19"/>
      <c r="J146" s="19"/>
      <c r="K146" s="19"/>
    </row>
    <row r="147" spans="1:11" x14ac:dyDescent="0.25">
      <c r="A147" s="19">
        <v>2020.25</v>
      </c>
      <c r="B147" s="19">
        <v>0</v>
      </c>
      <c r="C147" s="19">
        <v>44078</v>
      </c>
      <c r="D147" s="19">
        <v>7615</v>
      </c>
      <c r="E147" s="19">
        <v>432</v>
      </c>
      <c r="G147" s="19"/>
      <c r="H147" s="19"/>
      <c r="I147" s="19"/>
      <c r="J147" s="19"/>
      <c r="K147" s="19"/>
    </row>
    <row r="148" spans="1:11" x14ac:dyDescent="0.25">
      <c r="A148" s="19">
        <v>2020.5</v>
      </c>
      <c r="B148" s="19">
        <v>63647</v>
      </c>
      <c r="C148" s="19">
        <v>32394</v>
      </c>
      <c r="D148" s="19">
        <v>4839</v>
      </c>
      <c r="E148" s="19">
        <v>272</v>
      </c>
      <c r="G148" s="19"/>
      <c r="H148" s="19"/>
      <c r="I148" s="19"/>
      <c r="J148" s="19"/>
      <c r="K148" s="19"/>
    </row>
    <row r="149" spans="1:11" x14ac:dyDescent="0.25">
      <c r="A149" s="19">
        <v>2020.75</v>
      </c>
      <c r="B149" s="19">
        <v>0</v>
      </c>
      <c r="C149" s="19">
        <v>22514</v>
      </c>
      <c r="D149" s="19">
        <v>2928</v>
      </c>
      <c r="E149" s="19">
        <v>173</v>
      </c>
      <c r="G149" s="19"/>
      <c r="H149" s="19"/>
      <c r="I149" s="19"/>
      <c r="J149" s="19"/>
      <c r="K149" s="19"/>
    </row>
    <row r="150" spans="1:11" x14ac:dyDescent="0.25">
      <c r="A150" s="19">
        <v>2021</v>
      </c>
      <c r="B150" s="19">
        <v>0</v>
      </c>
      <c r="C150" s="19">
        <v>33850</v>
      </c>
      <c r="D150" s="19">
        <v>14733</v>
      </c>
      <c r="E150" s="19">
        <v>1856</v>
      </c>
      <c r="G150" s="19"/>
      <c r="H150" s="19"/>
      <c r="I150" s="19"/>
      <c r="J150" s="19"/>
      <c r="K150" s="19"/>
    </row>
    <row r="151" spans="1:11" x14ac:dyDescent="0.25">
      <c r="A151" s="19">
        <v>2021.25</v>
      </c>
      <c r="B151" s="19">
        <v>0</v>
      </c>
      <c r="C151" s="19">
        <v>24187</v>
      </c>
      <c r="D151" s="19">
        <v>9171</v>
      </c>
      <c r="E151" s="19">
        <v>1207</v>
      </c>
      <c r="G151" s="19"/>
      <c r="H151" s="19"/>
      <c r="I151" s="19"/>
      <c r="J151" s="19"/>
      <c r="K151" s="19"/>
    </row>
    <row r="152" spans="1:11" x14ac:dyDescent="0.25">
      <c r="A152" s="19">
        <v>2021.5</v>
      </c>
      <c r="B152" s="19">
        <v>25638</v>
      </c>
      <c r="C152" s="19">
        <v>16952</v>
      </c>
      <c r="D152" s="19">
        <v>5511</v>
      </c>
      <c r="E152" s="19">
        <v>775</v>
      </c>
      <c r="G152" s="19"/>
      <c r="H152" s="19"/>
      <c r="I152" s="19"/>
      <c r="J152" s="19"/>
      <c r="K152" s="19"/>
    </row>
    <row r="153" spans="1:11" x14ac:dyDescent="0.25">
      <c r="A153" s="19">
        <v>2021.75</v>
      </c>
      <c r="B153" s="19">
        <v>0</v>
      </c>
      <c r="C153" s="19">
        <v>11264</v>
      </c>
      <c r="D153" s="19">
        <v>3346</v>
      </c>
      <c r="E153" s="19">
        <v>493</v>
      </c>
      <c r="G153" s="19"/>
      <c r="H153" s="19"/>
      <c r="I153" s="19"/>
      <c r="J153" s="19"/>
      <c r="K153" s="19"/>
    </row>
    <row r="154" spans="1:11" x14ac:dyDescent="0.25">
      <c r="A154" s="19">
        <v>2022</v>
      </c>
      <c r="B154" s="19">
        <v>0</v>
      </c>
      <c r="C154" s="19">
        <v>13978</v>
      </c>
      <c r="D154" s="19">
        <v>7134</v>
      </c>
      <c r="E154" s="19">
        <v>2206</v>
      </c>
      <c r="G154" s="19"/>
      <c r="H154" s="19"/>
      <c r="I154" s="19"/>
      <c r="J154" s="19"/>
      <c r="K154" s="19"/>
    </row>
    <row r="155" spans="1:11" x14ac:dyDescent="0.25">
      <c r="A155" s="19">
        <v>2022.25</v>
      </c>
      <c r="B155" s="19">
        <v>0</v>
      </c>
      <c r="C155" s="19">
        <v>10802</v>
      </c>
      <c r="D155" s="19">
        <v>4384</v>
      </c>
      <c r="E155" s="19">
        <v>1392</v>
      </c>
      <c r="G155" s="19"/>
      <c r="H155" s="19"/>
      <c r="I155" s="19"/>
      <c r="J155" s="19"/>
      <c r="K155" s="19"/>
    </row>
    <row r="156" spans="1:11" x14ac:dyDescent="0.25">
      <c r="A156" s="19">
        <v>2022.5</v>
      </c>
      <c r="B156" s="19">
        <v>48250</v>
      </c>
      <c r="C156" s="19">
        <v>8107</v>
      </c>
      <c r="D156" s="19">
        <v>2731</v>
      </c>
      <c r="E156" s="19">
        <v>872</v>
      </c>
      <c r="G156" s="19"/>
      <c r="H156" s="19"/>
      <c r="I156" s="19"/>
      <c r="J156" s="19"/>
      <c r="K156" s="19"/>
    </row>
    <row r="157" spans="1:11" x14ac:dyDescent="0.25">
      <c r="A157" s="19">
        <v>2022.75</v>
      </c>
      <c r="B157" s="19">
        <v>0</v>
      </c>
      <c r="C157" s="19">
        <v>5764</v>
      </c>
      <c r="D157" s="19">
        <v>1653</v>
      </c>
      <c r="E157" s="19">
        <v>548</v>
      </c>
      <c r="G157" s="19"/>
      <c r="H157" s="19"/>
      <c r="I157" s="19"/>
      <c r="J157" s="19"/>
      <c r="K157" s="19"/>
    </row>
    <row r="158" spans="1:11" x14ac:dyDescent="0.25">
      <c r="A158" s="19">
        <v>2023</v>
      </c>
      <c r="B158" s="19">
        <v>0</v>
      </c>
      <c r="C158" s="19">
        <v>25720</v>
      </c>
      <c r="D158" s="19">
        <v>3900</v>
      </c>
      <c r="E158" s="19">
        <v>1244</v>
      </c>
      <c r="G158" s="19"/>
      <c r="H158" s="19"/>
      <c r="I158" s="19"/>
      <c r="J158" s="19"/>
      <c r="K158" s="19"/>
    </row>
    <row r="159" spans="1:11" x14ac:dyDescent="0.25">
      <c r="A159" s="19">
        <v>2023.25</v>
      </c>
      <c r="B159" s="19">
        <v>0</v>
      </c>
      <c r="C159" s="19">
        <v>19193</v>
      </c>
      <c r="D159" s="19">
        <v>2508</v>
      </c>
      <c r="E159" s="19">
        <v>780</v>
      </c>
      <c r="G159" s="19"/>
      <c r="H159" s="19"/>
      <c r="I159" s="19"/>
      <c r="J159" s="19"/>
      <c r="K159" s="19"/>
    </row>
    <row r="160" spans="1:11" x14ac:dyDescent="0.25">
      <c r="A160" s="19">
        <v>2023.5</v>
      </c>
      <c r="B160" s="19">
        <v>9453</v>
      </c>
      <c r="C160" s="19">
        <v>13367</v>
      </c>
      <c r="D160" s="19">
        <v>1603</v>
      </c>
      <c r="E160" s="19">
        <v>489</v>
      </c>
      <c r="G160" s="19"/>
      <c r="H160" s="19"/>
      <c r="I160" s="19"/>
      <c r="J160" s="19"/>
      <c r="K160" s="19"/>
    </row>
    <row r="161" spans="1:11" x14ac:dyDescent="0.25">
      <c r="A161" s="19">
        <v>2023.75</v>
      </c>
      <c r="B161" s="19">
        <v>0</v>
      </c>
      <c r="C161" s="19">
        <v>8979</v>
      </c>
      <c r="D161" s="19">
        <v>989</v>
      </c>
      <c r="E161" s="19">
        <v>315</v>
      </c>
      <c r="G161" s="19"/>
      <c r="H161" s="19"/>
      <c r="I161" s="19"/>
      <c r="J161" s="19"/>
      <c r="K161" s="19"/>
    </row>
    <row r="162" spans="1:11" x14ac:dyDescent="0.25">
      <c r="A162" s="19">
        <v>2024</v>
      </c>
      <c r="B162" s="19">
        <v>0</v>
      </c>
      <c r="C162" s="19">
        <v>4625</v>
      </c>
      <c r="D162" s="19">
        <v>6032</v>
      </c>
      <c r="E162" s="19">
        <v>855</v>
      </c>
      <c r="G162" s="19"/>
      <c r="H162" s="19"/>
      <c r="I162" s="19"/>
      <c r="J162" s="19"/>
      <c r="K162" s="19"/>
    </row>
    <row r="163" spans="1:11" x14ac:dyDescent="0.25">
      <c r="A163" s="19">
        <v>2024.25</v>
      </c>
      <c r="B163" s="19">
        <v>0</v>
      </c>
      <c r="C163" s="19">
        <v>2940</v>
      </c>
      <c r="D163" s="19">
        <v>3723</v>
      </c>
      <c r="E163" s="19">
        <v>542</v>
      </c>
      <c r="G163" s="19"/>
      <c r="H163" s="19"/>
      <c r="I163" s="19"/>
      <c r="J163" s="19"/>
      <c r="K163" s="19"/>
    </row>
    <row r="164" spans="1:11" x14ac:dyDescent="0.25">
      <c r="A164" s="19">
        <v>2024.5</v>
      </c>
      <c r="B164" s="19">
        <v>8851</v>
      </c>
      <c r="C164" s="19">
        <v>2043</v>
      </c>
      <c r="D164" s="19">
        <v>2331</v>
      </c>
      <c r="E164" s="19">
        <v>343</v>
      </c>
      <c r="G164" s="19"/>
      <c r="H164" s="19"/>
      <c r="I164" s="19"/>
      <c r="J164" s="19"/>
      <c r="K164" s="19"/>
    </row>
    <row r="165" spans="1:11" x14ac:dyDescent="0.25">
      <c r="A165" s="19">
        <v>2024.75</v>
      </c>
      <c r="B165" s="19">
        <v>0</v>
      </c>
      <c r="C165" s="19">
        <v>1481</v>
      </c>
      <c r="D165" s="19">
        <v>1474</v>
      </c>
      <c r="E165" s="19">
        <v>221</v>
      </c>
      <c r="G165" s="19"/>
      <c r="H165" s="19"/>
      <c r="I165" s="19"/>
      <c r="J165" s="19"/>
      <c r="K165" s="19"/>
    </row>
    <row r="166" spans="1:11" x14ac:dyDescent="0.25">
      <c r="A166" s="19">
        <v>2025</v>
      </c>
      <c r="B166" s="19">
        <v>0</v>
      </c>
      <c r="C166" s="19">
        <v>4962</v>
      </c>
      <c r="D166" s="19">
        <v>1091</v>
      </c>
      <c r="E166" s="19">
        <v>1070</v>
      </c>
      <c r="G166" s="19"/>
      <c r="H166" s="19"/>
      <c r="I166" s="19"/>
      <c r="J166" s="19"/>
      <c r="K166" s="19"/>
    </row>
    <row r="167" spans="1:11" x14ac:dyDescent="0.25">
      <c r="A167" s="19">
        <v>2025.25</v>
      </c>
      <c r="B167" s="19">
        <v>0</v>
      </c>
      <c r="C167" s="19">
        <v>3554</v>
      </c>
      <c r="D167" s="19">
        <v>741</v>
      </c>
      <c r="E167" s="19">
        <v>693</v>
      </c>
      <c r="G167" s="19"/>
      <c r="H167" s="19"/>
      <c r="I167" s="19"/>
      <c r="J167" s="19"/>
      <c r="K167" s="19"/>
    </row>
    <row r="168" spans="1:11" x14ac:dyDescent="0.25">
      <c r="A168" s="19">
        <v>2025.5</v>
      </c>
      <c r="B168" s="19">
        <v>10312</v>
      </c>
      <c r="C168" s="19">
        <v>2576</v>
      </c>
      <c r="D168" s="19">
        <v>486</v>
      </c>
      <c r="E168" s="19">
        <v>445</v>
      </c>
      <c r="G168" s="19"/>
      <c r="H168" s="19"/>
      <c r="I168" s="19"/>
      <c r="J168" s="19"/>
      <c r="K168" s="19"/>
    </row>
    <row r="169" spans="1:11" x14ac:dyDescent="0.25">
      <c r="A169" s="19">
        <v>2025.75</v>
      </c>
      <c r="B169" s="19">
        <v>0</v>
      </c>
      <c r="C169" s="19">
        <v>1917</v>
      </c>
      <c r="D169" s="19">
        <v>325</v>
      </c>
      <c r="E169" s="19">
        <v>286</v>
      </c>
      <c r="G169" s="19"/>
      <c r="H169" s="19"/>
      <c r="I169" s="19"/>
      <c r="J169" s="19"/>
      <c r="K169" s="19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7336-41B9-40C1-B4CB-680D82C88DDE}">
  <dimension ref="A1:E169"/>
  <sheetViews>
    <sheetView tabSelected="1" workbookViewId="0">
      <selection sqref="A1:A1048576"/>
    </sheetView>
  </sheetViews>
  <sheetFormatPr defaultRowHeight="15" x14ac:dyDescent="0.25"/>
  <sheetData>
    <row r="1" spans="1:5" x14ac:dyDescent="0.25">
      <c r="B1">
        <v>0</v>
      </c>
      <c r="C1">
        <v>1</v>
      </c>
      <c r="D1">
        <v>2</v>
      </c>
      <c r="E1">
        <v>3</v>
      </c>
    </row>
    <row r="2" spans="1:5" x14ac:dyDescent="0.25">
      <c r="A2" s="1">
        <v>1984</v>
      </c>
      <c r="B2" s="10">
        <v>1E-3</v>
      </c>
      <c r="C2" s="11">
        <v>0.30599999999999999</v>
      </c>
      <c r="D2" s="11">
        <v>0.83799999999999997</v>
      </c>
      <c r="E2" s="12">
        <v>0.30199999999999999</v>
      </c>
    </row>
    <row r="3" spans="1:5" x14ac:dyDescent="0.25">
      <c r="A3" s="2">
        <v>1984.25</v>
      </c>
      <c r="B3" s="13">
        <v>1E-3</v>
      </c>
      <c r="C3" s="14">
        <v>0.29199999999999998</v>
      </c>
      <c r="D3" s="14">
        <v>0.67500000000000004</v>
      </c>
      <c r="E3" s="15">
        <v>0.29699999999999999</v>
      </c>
    </row>
    <row r="4" spans="1:5" x14ac:dyDescent="0.25">
      <c r="A4" s="3">
        <v>1984.5</v>
      </c>
      <c r="B4" s="13">
        <v>8.9999999999999993E-3</v>
      </c>
      <c r="C4" s="14">
        <v>1.0169999999999999</v>
      </c>
      <c r="D4" s="14">
        <v>1.6659999999999999</v>
      </c>
      <c r="E4" s="15">
        <v>0.28999999999999998</v>
      </c>
    </row>
    <row r="5" spans="1:5" x14ac:dyDescent="0.25">
      <c r="A5" s="2">
        <v>1984.75</v>
      </c>
      <c r="B5" s="13">
        <v>0.155</v>
      </c>
      <c r="C5" s="14">
        <v>1.3879999999999999</v>
      </c>
      <c r="D5" s="14">
        <v>1.7849999999999999</v>
      </c>
      <c r="E5" s="15">
        <v>5.1999999999999998E-2</v>
      </c>
    </row>
    <row r="6" spans="1:5" x14ac:dyDescent="0.25">
      <c r="A6" s="4">
        <v>1985</v>
      </c>
      <c r="B6" s="13">
        <v>1E-3</v>
      </c>
      <c r="C6" s="14">
        <v>0.4</v>
      </c>
      <c r="D6" s="14">
        <v>1.0980000000000001</v>
      </c>
      <c r="E6" s="15">
        <v>0.39600000000000002</v>
      </c>
    </row>
    <row r="7" spans="1:5" x14ac:dyDescent="0.25">
      <c r="A7" s="2">
        <v>1985.25</v>
      </c>
      <c r="B7" s="13">
        <v>0</v>
      </c>
      <c r="C7" s="14">
        <v>0.17799999999999999</v>
      </c>
      <c r="D7" s="14">
        <v>0.41199999999999998</v>
      </c>
      <c r="E7" s="15">
        <v>0.18099999999999999</v>
      </c>
    </row>
    <row r="8" spans="1:5" x14ac:dyDescent="0.25">
      <c r="A8" s="3">
        <v>1985.5</v>
      </c>
      <c r="B8" s="13">
        <v>8.9999999999999993E-3</v>
      </c>
      <c r="C8" s="14">
        <v>0.94399999999999995</v>
      </c>
      <c r="D8" s="14">
        <v>1.5469999999999999</v>
      </c>
      <c r="E8" s="15">
        <v>0.26900000000000002</v>
      </c>
    </row>
    <row r="9" spans="1:5" x14ac:dyDescent="0.25">
      <c r="A9" s="2">
        <v>1985.75</v>
      </c>
      <c r="B9" s="13">
        <v>0.15</v>
      </c>
      <c r="C9" s="14">
        <v>1.337</v>
      </c>
      <c r="D9" s="14">
        <v>1.7190000000000001</v>
      </c>
      <c r="E9" s="15">
        <v>0.05</v>
      </c>
    </row>
    <row r="10" spans="1:5" x14ac:dyDescent="0.25">
      <c r="A10" s="4">
        <v>1986</v>
      </c>
      <c r="B10" s="13">
        <v>1E-3</v>
      </c>
      <c r="C10" s="14">
        <v>0.318</v>
      </c>
      <c r="D10" s="14">
        <v>0.872</v>
      </c>
      <c r="E10" s="15">
        <v>0.314</v>
      </c>
    </row>
    <row r="11" spans="1:5" x14ac:dyDescent="0.25">
      <c r="A11" s="2">
        <v>1986.25</v>
      </c>
      <c r="B11" s="13">
        <v>0</v>
      </c>
      <c r="C11" s="14">
        <v>0.114</v>
      </c>
      <c r="D11" s="14">
        <v>0.26400000000000001</v>
      </c>
      <c r="E11" s="15">
        <v>0.11600000000000001</v>
      </c>
    </row>
    <row r="12" spans="1:5" x14ac:dyDescent="0.25">
      <c r="A12" s="3">
        <v>1986.5</v>
      </c>
      <c r="B12" s="13">
        <v>5.0000000000000001E-3</v>
      </c>
      <c r="C12" s="14">
        <v>0.55100000000000005</v>
      </c>
      <c r="D12" s="14">
        <v>0.90400000000000003</v>
      </c>
      <c r="E12" s="15">
        <v>0.157</v>
      </c>
    </row>
    <row r="13" spans="1:5" x14ac:dyDescent="0.25">
      <c r="A13" s="2">
        <v>1986.75</v>
      </c>
      <c r="B13" s="13">
        <v>0.1</v>
      </c>
      <c r="C13" s="14">
        <v>0.89</v>
      </c>
      <c r="D13" s="14">
        <v>1.1439999999999999</v>
      </c>
      <c r="E13" s="15">
        <v>3.3000000000000002E-2</v>
      </c>
    </row>
    <row r="14" spans="1:5" x14ac:dyDescent="0.25">
      <c r="A14" s="9">
        <v>1987</v>
      </c>
      <c r="B14" s="16">
        <v>1E-3</v>
      </c>
      <c r="C14" s="17">
        <v>0.27700000000000002</v>
      </c>
      <c r="D14" s="17">
        <v>0.75900000000000001</v>
      </c>
      <c r="E14" s="18">
        <v>0.27400000000000002</v>
      </c>
    </row>
    <row r="15" spans="1:5" x14ac:dyDescent="0.25">
      <c r="A15" s="8">
        <v>1987.25</v>
      </c>
      <c r="B15" s="10">
        <v>0</v>
      </c>
      <c r="C15" s="11">
        <v>9.0999999999999998E-2</v>
      </c>
      <c r="D15" s="11">
        <v>0.21</v>
      </c>
      <c r="E15" s="12">
        <v>9.1999999999999998E-2</v>
      </c>
    </row>
    <row r="16" spans="1:5" x14ac:dyDescent="0.25">
      <c r="A16" s="3">
        <v>1987.5</v>
      </c>
      <c r="B16" s="13">
        <v>4.0000000000000001E-3</v>
      </c>
      <c r="C16" s="14">
        <v>0.42299999999999999</v>
      </c>
      <c r="D16" s="14">
        <v>0.69399999999999995</v>
      </c>
      <c r="E16" s="15">
        <v>0.121</v>
      </c>
    </row>
    <row r="17" spans="1:5" x14ac:dyDescent="0.25">
      <c r="A17" s="2">
        <v>1987.75</v>
      </c>
      <c r="B17" s="13">
        <v>0.129</v>
      </c>
      <c r="C17" s="14">
        <v>1.155</v>
      </c>
      <c r="D17" s="14">
        <v>1.4850000000000001</v>
      </c>
      <c r="E17" s="15">
        <v>4.2999999999999997E-2</v>
      </c>
    </row>
    <row r="18" spans="1:5" x14ac:dyDescent="0.25">
      <c r="A18" s="4">
        <v>1988</v>
      </c>
      <c r="B18" s="13">
        <v>1E-3</v>
      </c>
      <c r="C18" s="14">
        <v>0.19800000000000001</v>
      </c>
      <c r="D18" s="14">
        <v>0.54300000000000004</v>
      </c>
      <c r="E18" s="15">
        <v>0.19600000000000001</v>
      </c>
    </row>
    <row r="19" spans="1:5" x14ac:dyDescent="0.25">
      <c r="A19" s="2">
        <v>1988.25</v>
      </c>
      <c r="B19" s="13">
        <v>0</v>
      </c>
      <c r="C19" s="14">
        <v>7.1999999999999995E-2</v>
      </c>
      <c r="D19" s="14">
        <v>0.16700000000000001</v>
      </c>
      <c r="E19" s="15">
        <v>7.3999999999999996E-2</v>
      </c>
    </row>
    <row r="20" spans="1:5" x14ac:dyDescent="0.25">
      <c r="A20" s="3">
        <v>1988.5</v>
      </c>
      <c r="B20" s="13">
        <v>3.0000000000000001E-3</v>
      </c>
      <c r="C20" s="14">
        <v>0.29399999999999998</v>
      </c>
      <c r="D20" s="14">
        <v>0.48099999999999998</v>
      </c>
      <c r="E20" s="15">
        <v>8.4000000000000005E-2</v>
      </c>
    </row>
    <row r="21" spans="1:5" x14ac:dyDescent="0.25">
      <c r="A21" s="2">
        <v>1988.75</v>
      </c>
      <c r="B21" s="13">
        <v>8.5000000000000006E-2</v>
      </c>
      <c r="C21" s="14">
        <v>0.76</v>
      </c>
      <c r="D21" s="14">
        <v>0.97699999999999998</v>
      </c>
      <c r="E21" s="15">
        <v>2.8000000000000001E-2</v>
      </c>
    </row>
    <row r="22" spans="1:5" x14ac:dyDescent="0.25">
      <c r="A22" s="4">
        <v>1989</v>
      </c>
      <c r="B22" s="13">
        <v>0</v>
      </c>
      <c r="C22" s="14">
        <v>0.14199999999999999</v>
      </c>
      <c r="D22" s="14">
        <v>0.38900000000000001</v>
      </c>
      <c r="E22" s="15">
        <v>0.14000000000000001</v>
      </c>
    </row>
    <row r="23" spans="1:5" x14ac:dyDescent="0.25">
      <c r="A23" s="2">
        <v>1989.25</v>
      </c>
      <c r="B23" s="13">
        <v>0</v>
      </c>
      <c r="C23" s="14">
        <v>0.13900000000000001</v>
      </c>
      <c r="D23" s="14">
        <v>0.32300000000000001</v>
      </c>
      <c r="E23" s="15">
        <v>0.14199999999999999</v>
      </c>
    </row>
    <row r="24" spans="1:5" x14ac:dyDescent="0.25">
      <c r="A24" s="3">
        <v>1989.5</v>
      </c>
      <c r="B24" s="13">
        <v>4.0000000000000001E-3</v>
      </c>
      <c r="C24" s="14">
        <v>0.42899999999999999</v>
      </c>
      <c r="D24" s="14">
        <v>0.70299999999999996</v>
      </c>
      <c r="E24" s="15">
        <v>0.122</v>
      </c>
    </row>
    <row r="25" spans="1:5" x14ac:dyDescent="0.25">
      <c r="A25" s="2">
        <v>1989.75</v>
      </c>
      <c r="B25" s="13">
        <v>8.3000000000000004E-2</v>
      </c>
      <c r="C25" s="14">
        <v>0.73899999999999999</v>
      </c>
      <c r="D25" s="14">
        <v>0.95099999999999996</v>
      </c>
      <c r="E25" s="15">
        <v>2.8000000000000001E-2</v>
      </c>
    </row>
    <row r="26" spans="1:5" x14ac:dyDescent="0.25">
      <c r="A26" s="4">
        <v>1990</v>
      </c>
      <c r="B26" s="13">
        <v>1E-3</v>
      </c>
      <c r="C26" s="14">
        <v>0.19600000000000001</v>
      </c>
      <c r="D26" s="14">
        <v>0.53800000000000003</v>
      </c>
      <c r="E26" s="15">
        <v>0.19400000000000001</v>
      </c>
    </row>
    <row r="27" spans="1:5" x14ac:dyDescent="0.25">
      <c r="A27" s="2">
        <v>1990.25</v>
      </c>
      <c r="B27" s="13">
        <v>0</v>
      </c>
      <c r="C27" s="14">
        <v>0.218</v>
      </c>
      <c r="D27" s="14">
        <v>0.505</v>
      </c>
      <c r="E27" s="15">
        <v>0.222</v>
      </c>
    </row>
    <row r="28" spans="1:5" x14ac:dyDescent="0.25">
      <c r="A28" s="3">
        <v>1990.5</v>
      </c>
      <c r="B28" s="13">
        <v>3.0000000000000001E-3</v>
      </c>
      <c r="C28" s="14">
        <v>0.32300000000000001</v>
      </c>
      <c r="D28" s="14">
        <v>0.52900000000000003</v>
      </c>
      <c r="E28" s="15">
        <v>9.1999999999999998E-2</v>
      </c>
    </row>
    <row r="29" spans="1:5" x14ac:dyDescent="0.25">
      <c r="A29" s="2">
        <v>1990.75</v>
      </c>
      <c r="B29" s="13">
        <v>5.8999999999999997E-2</v>
      </c>
      <c r="C29" s="14">
        <v>0.53100000000000003</v>
      </c>
      <c r="D29" s="14">
        <v>0.68300000000000005</v>
      </c>
      <c r="E29" s="15">
        <v>0.02</v>
      </c>
    </row>
    <row r="30" spans="1:5" x14ac:dyDescent="0.25">
      <c r="A30" s="4">
        <v>1991</v>
      </c>
      <c r="B30" s="13">
        <v>1E-3</v>
      </c>
      <c r="C30" s="14">
        <v>0.223</v>
      </c>
      <c r="D30" s="14">
        <v>0.61199999999999999</v>
      </c>
      <c r="E30" s="15">
        <v>0.221</v>
      </c>
    </row>
    <row r="31" spans="1:5" x14ac:dyDescent="0.25">
      <c r="A31" s="2">
        <v>1991.25</v>
      </c>
      <c r="B31" s="13">
        <v>0</v>
      </c>
      <c r="C31" s="14">
        <v>0.158</v>
      </c>
      <c r="D31" s="14">
        <v>0.36499999999999999</v>
      </c>
      <c r="E31" s="15">
        <v>0.16</v>
      </c>
    </row>
    <row r="32" spans="1:5" x14ac:dyDescent="0.25">
      <c r="A32" s="3">
        <v>1991.5</v>
      </c>
      <c r="B32" s="13">
        <v>3.0000000000000001E-3</v>
      </c>
      <c r="C32" s="14">
        <v>0.33700000000000002</v>
      </c>
      <c r="D32" s="14">
        <v>0.55200000000000005</v>
      </c>
      <c r="E32" s="15">
        <v>9.6000000000000002E-2</v>
      </c>
    </row>
    <row r="33" spans="1:5" x14ac:dyDescent="0.25">
      <c r="A33" s="2">
        <v>1991.75</v>
      </c>
      <c r="B33" s="13">
        <v>5.5E-2</v>
      </c>
      <c r="C33" s="14">
        <v>0.49399999999999999</v>
      </c>
      <c r="D33" s="14">
        <v>0.63600000000000001</v>
      </c>
      <c r="E33" s="15">
        <v>1.7999999999999999E-2</v>
      </c>
    </row>
    <row r="34" spans="1:5" x14ac:dyDescent="0.25">
      <c r="A34" s="4">
        <v>1992</v>
      </c>
      <c r="B34" s="13">
        <v>1E-3</v>
      </c>
      <c r="C34" s="14">
        <v>0.19900000000000001</v>
      </c>
      <c r="D34" s="14">
        <v>0.54700000000000004</v>
      </c>
      <c r="E34" s="15">
        <v>0.19700000000000001</v>
      </c>
    </row>
    <row r="35" spans="1:5" x14ac:dyDescent="0.25">
      <c r="A35" s="2">
        <v>1992.25</v>
      </c>
      <c r="B35" s="13">
        <v>0</v>
      </c>
      <c r="C35" s="14">
        <v>0.126</v>
      </c>
      <c r="D35" s="14">
        <v>0.29199999999999998</v>
      </c>
      <c r="E35" s="15">
        <v>0.129</v>
      </c>
    </row>
    <row r="36" spans="1:5" x14ac:dyDescent="0.25">
      <c r="A36" s="3">
        <v>1992.5</v>
      </c>
      <c r="B36" s="13">
        <v>3.0000000000000001E-3</v>
      </c>
      <c r="C36" s="14">
        <v>0.34799999999999998</v>
      </c>
      <c r="D36" s="14">
        <v>0.56999999999999995</v>
      </c>
      <c r="E36" s="15">
        <v>9.9000000000000005E-2</v>
      </c>
    </row>
    <row r="37" spans="1:5" x14ac:dyDescent="0.25">
      <c r="A37" s="2">
        <v>1992.75</v>
      </c>
      <c r="B37" s="13">
        <v>5.5E-2</v>
      </c>
      <c r="C37" s="14">
        <v>0.48899999999999999</v>
      </c>
      <c r="D37" s="14">
        <v>0.628</v>
      </c>
      <c r="E37" s="15">
        <v>1.7999999999999999E-2</v>
      </c>
    </row>
    <row r="38" spans="1:5" x14ac:dyDescent="0.25">
      <c r="A38" s="4">
        <v>1993</v>
      </c>
      <c r="B38" s="13">
        <v>0</v>
      </c>
      <c r="C38" s="14">
        <v>0.16700000000000001</v>
      </c>
      <c r="D38" s="14">
        <v>0.45700000000000002</v>
      </c>
      <c r="E38" s="15">
        <v>0.16500000000000001</v>
      </c>
    </row>
    <row r="39" spans="1:5" x14ac:dyDescent="0.25">
      <c r="A39" s="2">
        <v>1993.25</v>
      </c>
      <c r="B39" s="13">
        <v>0</v>
      </c>
      <c r="C39" s="14">
        <v>0.13</v>
      </c>
      <c r="D39" s="14">
        <v>0.30199999999999999</v>
      </c>
      <c r="E39" s="15">
        <v>0.13300000000000001</v>
      </c>
    </row>
    <row r="40" spans="1:5" x14ac:dyDescent="0.25">
      <c r="A40" s="3">
        <v>1993.5</v>
      </c>
      <c r="B40" s="13">
        <v>4.0000000000000001E-3</v>
      </c>
      <c r="C40" s="14">
        <v>0.41799999999999998</v>
      </c>
      <c r="D40" s="14">
        <v>0.68500000000000005</v>
      </c>
      <c r="E40" s="15">
        <v>0.11899999999999999</v>
      </c>
    </row>
    <row r="41" spans="1:5" x14ac:dyDescent="0.25">
      <c r="A41" s="2">
        <v>1993.75</v>
      </c>
      <c r="B41" s="13">
        <v>6.0999999999999999E-2</v>
      </c>
      <c r="C41" s="14">
        <v>0.54700000000000004</v>
      </c>
      <c r="D41" s="14">
        <v>0.70299999999999996</v>
      </c>
      <c r="E41" s="15">
        <v>0.02</v>
      </c>
    </row>
    <row r="42" spans="1:5" x14ac:dyDescent="0.25">
      <c r="A42" s="4">
        <v>1994</v>
      </c>
      <c r="B42" s="13">
        <v>1E-3</v>
      </c>
      <c r="C42" s="14">
        <v>0.17799999999999999</v>
      </c>
      <c r="D42" s="14">
        <v>0.48699999999999999</v>
      </c>
      <c r="E42" s="15">
        <v>0.17599999999999999</v>
      </c>
    </row>
    <row r="43" spans="1:5" x14ac:dyDescent="0.25">
      <c r="A43" s="5">
        <v>1994.25</v>
      </c>
      <c r="B43" s="16">
        <v>0</v>
      </c>
      <c r="C43" s="17">
        <v>0.115</v>
      </c>
      <c r="D43" s="17">
        <v>0.26600000000000001</v>
      </c>
      <c r="E43" s="18">
        <v>0.11700000000000001</v>
      </c>
    </row>
    <row r="44" spans="1:5" x14ac:dyDescent="0.25">
      <c r="A44" s="6">
        <v>1994.5</v>
      </c>
      <c r="B44" s="10">
        <v>3.0000000000000001E-3</v>
      </c>
      <c r="C44" s="11">
        <v>0.36799999999999999</v>
      </c>
      <c r="D44" s="11">
        <v>0.60399999999999998</v>
      </c>
      <c r="E44" s="12">
        <v>0.105</v>
      </c>
    </row>
    <row r="45" spans="1:5" x14ac:dyDescent="0.25">
      <c r="A45" s="2">
        <v>1994.75</v>
      </c>
      <c r="B45" s="13">
        <v>4.1000000000000002E-2</v>
      </c>
      <c r="C45" s="14">
        <v>0.36199999999999999</v>
      </c>
      <c r="D45" s="14">
        <v>0.46600000000000003</v>
      </c>
      <c r="E45" s="15">
        <v>1.2999999999999999E-2</v>
      </c>
    </row>
    <row r="46" spans="1:5" x14ac:dyDescent="0.25">
      <c r="A46" s="4">
        <v>1995</v>
      </c>
      <c r="B46" s="13">
        <v>0</v>
      </c>
      <c r="C46" s="14">
        <v>0.108</v>
      </c>
      <c r="D46" s="14">
        <v>0.29699999999999999</v>
      </c>
      <c r="E46" s="15">
        <v>0.107</v>
      </c>
    </row>
    <row r="47" spans="1:5" x14ac:dyDescent="0.25">
      <c r="A47" s="2">
        <v>1995.25</v>
      </c>
      <c r="B47" s="13">
        <v>0</v>
      </c>
      <c r="C47" s="14">
        <v>0.1</v>
      </c>
      <c r="D47" s="14">
        <v>0.23100000000000001</v>
      </c>
      <c r="E47" s="15">
        <v>0.10199999999999999</v>
      </c>
    </row>
    <row r="48" spans="1:5" x14ac:dyDescent="0.25">
      <c r="A48" s="3">
        <v>1995.5</v>
      </c>
      <c r="B48" s="13">
        <v>2E-3</v>
      </c>
      <c r="C48" s="14">
        <v>0.20599999999999999</v>
      </c>
      <c r="D48" s="14">
        <v>0.33700000000000002</v>
      </c>
      <c r="E48" s="15">
        <v>5.8999999999999997E-2</v>
      </c>
    </row>
    <row r="49" spans="1:5" x14ac:dyDescent="0.25">
      <c r="A49" s="2">
        <v>1995.75</v>
      </c>
      <c r="B49" s="13">
        <v>3.3000000000000002E-2</v>
      </c>
      <c r="C49" s="14">
        <v>0.29099999999999998</v>
      </c>
      <c r="D49" s="14">
        <v>0.374</v>
      </c>
      <c r="E49" s="15">
        <v>1.0999999999999999E-2</v>
      </c>
    </row>
    <row r="50" spans="1:5" x14ac:dyDescent="0.25">
      <c r="A50" s="4">
        <v>1996</v>
      </c>
      <c r="B50" s="13">
        <v>0</v>
      </c>
      <c r="C50" s="14">
        <v>7.3999999999999996E-2</v>
      </c>
      <c r="D50" s="14">
        <v>0.20300000000000001</v>
      </c>
      <c r="E50" s="15">
        <v>7.2999999999999995E-2</v>
      </c>
    </row>
    <row r="51" spans="1:5" x14ac:dyDescent="0.25">
      <c r="A51" s="2">
        <v>1996.25</v>
      </c>
      <c r="B51" s="13">
        <v>0</v>
      </c>
      <c r="C51" s="14">
        <v>0.06</v>
      </c>
      <c r="D51" s="14">
        <v>0.13900000000000001</v>
      </c>
      <c r="E51" s="15">
        <v>6.0999999999999999E-2</v>
      </c>
    </row>
    <row r="52" spans="1:5" x14ac:dyDescent="0.25">
      <c r="A52" s="3">
        <v>1996.5</v>
      </c>
      <c r="B52" s="13">
        <v>3.0000000000000001E-3</v>
      </c>
      <c r="C52" s="14">
        <v>0.28299999999999997</v>
      </c>
      <c r="D52" s="14">
        <v>0.46400000000000002</v>
      </c>
      <c r="E52" s="15">
        <v>8.1000000000000003E-2</v>
      </c>
    </row>
    <row r="53" spans="1:5" x14ac:dyDescent="0.25">
      <c r="A53" s="2">
        <v>1996.75</v>
      </c>
      <c r="B53" s="13">
        <v>2.8000000000000001E-2</v>
      </c>
      <c r="C53" s="14">
        <v>0.255</v>
      </c>
      <c r="D53" s="14">
        <v>0.32800000000000001</v>
      </c>
      <c r="E53" s="15">
        <v>8.9999999999999993E-3</v>
      </c>
    </row>
    <row r="54" spans="1:5" x14ac:dyDescent="0.25">
      <c r="A54" s="4">
        <v>1997</v>
      </c>
      <c r="B54" s="13">
        <v>0</v>
      </c>
      <c r="C54" s="14">
        <v>5.8999999999999997E-2</v>
      </c>
      <c r="D54" s="14">
        <v>0.161</v>
      </c>
      <c r="E54" s="15">
        <v>5.8000000000000003E-2</v>
      </c>
    </row>
    <row r="55" spans="1:5" x14ac:dyDescent="0.25">
      <c r="A55" s="2">
        <v>1997.25</v>
      </c>
      <c r="B55" s="13">
        <v>0</v>
      </c>
      <c r="C55" s="14">
        <v>3.6999999999999998E-2</v>
      </c>
      <c r="D55" s="14">
        <v>8.5999999999999993E-2</v>
      </c>
      <c r="E55" s="15">
        <v>3.7999999999999999E-2</v>
      </c>
    </row>
    <row r="56" spans="1:5" x14ac:dyDescent="0.25">
      <c r="A56" s="3">
        <v>1997.5</v>
      </c>
      <c r="B56" s="13">
        <v>3.0000000000000001E-3</v>
      </c>
      <c r="C56" s="14">
        <v>0.28599999999999998</v>
      </c>
      <c r="D56" s="14">
        <v>0.46899999999999997</v>
      </c>
      <c r="E56" s="15">
        <v>8.1000000000000003E-2</v>
      </c>
    </row>
    <row r="57" spans="1:5" x14ac:dyDescent="0.25">
      <c r="A57" s="2">
        <v>1997.75</v>
      </c>
      <c r="B57" s="13">
        <v>3.4000000000000002E-2</v>
      </c>
      <c r="C57" s="14">
        <v>0.30299999999999999</v>
      </c>
      <c r="D57" s="14">
        <v>0.38900000000000001</v>
      </c>
      <c r="E57" s="15">
        <v>1.0999999999999999E-2</v>
      </c>
    </row>
    <row r="58" spans="1:5" x14ac:dyDescent="0.25">
      <c r="A58" s="4">
        <v>1998</v>
      </c>
      <c r="B58" s="13">
        <v>0</v>
      </c>
      <c r="C58" s="14">
        <v>5.8999999999999997E-2</v>
      </c>
      <c r="D58" s="14">
        <v>0.16</v>
      </c>
      <c r="E58" s="15">
        <v>5.8000000000000003E-2</v>
      </c>
    </row>
    <row r="59" spans="1:5" x14ac:dyDescent="0.25">
      <c r="A59" s="2">
        <v>1998.25</v>
      </c>
      <c r="B59" s="13">
        <v>0</v>
      </c>
      <c r="C59" s="14">
        <v>5.8000000000000003E-2</v>
      </c>
      <c r="D59" s="14">
        <v>0.13300000000000001</v>
      </c>
      <c r="E59" s="15">
        <v>5.8999999999999997E-2</v>
      </c>
    </row>
    <row r="60" spans="1:5" x14ac:dyDescent="0.25">
      <c r="A60" s="3">
        <v>1998.5</v>
      </c>
      <c r="B60" s="13">
        <v>2E-3</v>
      </c>
      <c r="C60" s="14">
        <v>0.21099999999999999</v>
      </c>
      <c r="D60" s="14">
        <v>0.34599999999999997</v>
      </c>
      <c r="E60" s="15">
        <v>0.06</v>
      </c>
    </row>
    <row r="61" spans="1:5" x14ac:dyDescent="0.25">
      <c r="A61" s="2">
        <v>1998.75</v>
      </c>
      <c r="B61" s="13">
        <v>3.2000000000000001E-2</v>
      </c>
      <c r="C61" s="14">
        <v>0.28499999999999998</v>
      </c>
      <c r="D61" s="14">
        <v>0.36699999999999999</v>
      </c>
      <c r="E61" s="15">
        <v>1.0999999999999999E-2</v>
      </c>
    </row>
    <row r="62" spans="1:5" x14ac:dyDescent="0.25">
      <c r="A62" s="4">
        <v>1999</v>
      </c>
      <c r="B62" s="13">
        <v>0</v>
      </c>
      <c r="C62" s="14">
        <v>4.4999999999999998E-2</v>
      </c>
      <c r="D62" s="14">
        <v>0.124</v>
      </c>
      <c r="E62" s="15">
        <v>4.4999999999999998E-2</v>
      </c>
    </row>
    <row r="63" spans="1:5" x14ac:dyDescent="0.25">
      <c r="A63" s="2">
        <v>1999.25</v>
      </c>
      <c r="B63" s="13">
        <v>0</v>
      </c>
      <c r="C63" s="14">
        <v>7.0999999999999994E-2</v>
      </c>
      <c r="D63" s="14">
        <v>0.16500000000000001</v>
      </c>
      <c r="E63" s="15">
        <v>7.1999999999999995E-2</v>
      </c>
    </row>
    <row r="64" spans="1:5" x14ac:dyDescent="0.25">
      <c r="A64" s="3">
        <v>1999.5</v>
      </c>
      <c r="B64" s="13">
        <v>2E-3</v>
      </c>
      <c r="C64" s="14">
        <v>0.26</v>
      </c>
      <c r="D64" s="14">
        <v>0.42599999999999999</v>
      </c>
      <c r="E64" s="15">
        <v>7.3999999999999996E-2</v>
      </c>
    </row>
    <row r="65" spans="1:5" x14ac:dyDescent="0.25">
      <c r="A65" s="2">
        <v>1999.75</v>
      </c>
      <c r="B65" s="13">
        <v>3.7999999999999999E-2</v>
      </c>
      <c r="C65" s="14">
        <v>0.34200000000000003</v>
      </c>
      <c r="D65" s="14">
        <v>0.44</v>
      </c>
      <c r="E65" s="15">
        <v>1.2999999999999999E-2</v>
      </c>
    </row>
    <row r="66" spans="1:5" x14ac:dyDescent="0.25">
      <c r="A66" s="4">
        <v>2000</v>
      </c>
      <c r="B66" s="13">
        <v>0</v>
      </c>
      <c r="C66" s="14">
        <v>4.3999999999999997E-2</v>
      </c>
      <c r="D66" s="14">
        <v>0.11899999999999999</v>
      </c>
      <c r="E66" s="15">
        <v>4.2999999999999997E-2</v>
      </c>
    </row>
    <row r="67" spans="1:5" x14ac:dyDescent="0.25">
      <c r="A67" s="2">
        <v>2000.25</v>
      </c>
      <c r="B67" s="13">
        <v>0</v>
      </c>
      <c r="C67" s="14">
        <v>5.0999999999999997E-2</v>
      </c>
      <c r="D67" s="14">
        <v>0.11799999999999999</v>
      </c>
      <c r="E67" s="15">
        <v>5.1999999999999998E-2</v>
      </c>
    </row>
    <row r="68" spans="1:5" x14ac:dyDescent="0.25">
      <c r="A68" s="3">
        <v>2000.5</v>
      </c>
      <c r="B68" s="13">
        <v>1E-3</v>
      </c>
      <c r="C68" s="14">
        <v>0.161</v>
      </c>
      <c r="D68" s="14">
        <v>0.26400000000000001</v>
      </c>
      <c r="E68" s="15">
        <v>4.5999999999999999E-2</v>
      </c>
    </row>
    <row r="69" spans="1:5" x14ac:dyDescent="0.25">
      <c r="A69" s="2">
        <v>2000.75</v>
      </c>
      <c r="B69" s="13">
        <v>4.4999999999999998E-2</v>
      </c>
      <c r="C69" s="14">
        <v>0.40600000000000003</v>
      </c>
      <c r="D69" s="14">
        <v>0.52200000000000002</v>
      </c>
      <c r="E69" s="15">
        <v>1.4999999999999999E-2</v>
      </c>
    </row>
    <row r="70" spans="1:5" x14ac:dyDescent="0.25">
      <c r="A70" s="4">
        <v>2001</v>
      </c>
      <c r="B70" s="13">
        <v>0</v>
      </c>
      <c r="C70" s="14">
        <v>5.8000000000000003E-2</v>
      </c>
      <c r="D70" s="14">
        <v>0.159</v>
      </c>
      <c r="E70" s="15">
        <v>5.7000000000000002E-2</v>
      </c>
    </row>
    <row r="71" spans="1:5" x14ac:dyDescent="0.25">
      <c r="A71" s="2">
        <v>2001.25</v>
      </c>
      <c r="B71" s="13">
        <v>0</v>
      </c>
      <c r="C71" s="14">
        <v>4.8000000000000001E-2</v>
      </c>
      <c r="D71" s="14">
        <v>0.111</v>
      </c>
      <c r="E71" s="15">
        <v>4.9000000000000002E-2</v>
      </c>
    </row>
    <row r="72" spans="1:5" x14ac:dyDescent="0.25">
      <c r="A72" s="7">
        <v>2001.5</v>
      </c>
      <c r="B72" s="16">
        <v>1E-3</v>
      </c>
      <c r="C72" s="17">
        <v>7.8E-2</v>
      </c>
      <c r="D72" s="17">
        <v>0.128</v>
      </c>
      <c r="E72" s="18">
        <v>2.1999999999999999E-2</v>
      </c>
    </row>
    <row r="73" spans="1:5" x14ac:dyDescent="0.25">
      <c r="A73" s="8">
        <v>2001.75</v>
      </c>
      <c r="B73" s="10">
        <v>3.6999999999999998E-2</v>
      </c>
      <c r="C73" s="11">
        <v>0.32700000000000001</v>
      </c>
      <c r="D73" s="11">
        <v>0.42099999999999999</v>
      </c>
      <c r="E73" s="12">
        <v>1.2E-2</v>
      </c>
    </row>
    <row r="74" spans="1:5" x14ac:dyDescent="0.25">
      <c r="A74" s="4">
        <v>2002</v>
      </c>
      <c r="B74" s="13">
        <v>0</v>
      </c>
      <c r="C74" s="14">
        <v>5.7000000000000002E-2</v>
      </c>
      <c r="D74" s="14">
        <v>0.156</v>
      </c>
      <c r="E74" s="15">
        <v>5.6000000000000001E-2</v>
      </c>
    </row>
    <row r="75" spans="1:5" x14ac:dyDescent="0.25">
      <c r="A75" s="2">
        <v>2002.25</v>
      </c>
      <c r="B75" s="13">
        <v>0</v>
      </c>
      <c r="C75" s="14">
        <v>0.04</v>
      </c>
      <c r="D75" s="14">
        <v>9.1999999999999998E-2</v>
      </c>
      <c r="E75" s="15">
        <v>0.04</v>
      </c>
    </row>
    <row r="76" spans="1:5" x14ac:dyDescent="0.25">
      <c r="A76" s="3">
        <v>2002.5</v>
      </c>
      <c r="B76" s="13">
        <v>2E-3</v>
      </c>
      <c r="C76" s="14">
        <v>0.217</v>
      </c>
      <c r="D76" s="14">
        <v>0.35599999999999998</v>
      </c>
      <c r="E76" s="15">
        <v>6.2E-2</v>
      </c>
    </row>
    <row r="77" spans="1:5" x14ac:dyDescent="0.25">
      <c r="A77" s="2">
        <v>2002.75</v>
      </c>
      <c r="B77" s="13">
        <v>0.05</v>
      </c>
      <c r="C77" s="14">
        <v>0.44800000000000001</v>
      </c>
      <c r="D77" s="14">
        <v>0.57699999999999996</v>
      </c>
      <c r="E77" s="15">
        <v>1.7000000000000001E-2</v>
      </c>
    </row>
    <row r="78" spans="1:5" x14ac:dyDescent="0.25">
      <c r="A78" s="4">
        <v>2003</v>
      </c>
      <c r="B78" s="13">
        <v>0</v>
      </c>
      <c r="C78" s="14">
        <v>3.2000000000000001E-2</v>
      </c>
      <c r="D78" s="14">
        <v>8.7999999999999995E-2</v>
      </c>
      <c r="E78" s="15">
        <v>3.2000000000000001E-2</v>
      </c>
    </row>
    <row r="79" spans="1:5" x14ac:dyDescent="0.25">
      <c r="A79" s="2">
        <v>2003.25</v>
      </c>
      <c r="B79" s="13">
        <v>0</v>
      </c>
      <c r="C79" s="14">
        <v>2.9000000000000001E-2</v>
      </c>
      <c r="D79" s="14">
        <v>6.8000000000000005E-2</v>
      </c>
      <c r="E79" s="15">
        <v>0.03</v>
      </c>
    </row>
    <row r="80" spans="1:5" x14ac:dyDescent="0.25">
      <c r="A80" s="3">
        <v>2003.5</v>
      </c>
      <c r="B80" s="13">
        <v>2E-3</v>
      </c>
      <c r="C80" s="14">
        <v>0.183</v>
      </c>
      <c r="D80" s="14">
        <v>0.3</v>
      </c>
      <c r="E80" s="15">
        <v>5.1999999999999998E-2</v>
      </c>
    </row>
    <row r="81" spans="1:5" x14ac:dyDescent="0.25">
      <c r="A81" s="2">
        <v>2003.75</v>
      </c>
      <c r="B81" s="13">
        <v>3.1E-2</v>
      </c>
      <c r="C81" s="14">
        <v>0.27600000000000002</v>
      </c>
      <c r="D81" s="14">
        <v>0.35499999999999998</v>
      </c>
      <c r="E81" s="15">
        <v>0.01</v>
      </c>
    </row>
    <row r="82" spans="1:5" x14ac:dyDescent="0.25">
      <c r="A82" s="4">
        <v>2004</v>
      </c>
      <c r="B82" s="13">
        <v>0</v>
      </c>
      <c r="C82" s="14">
        <v>2.4E-2</v>
      </c>
      <c r="D82" s="14">
        <v>6.6000000000000003E-2</v>
      </c>
      <c r="E82" s="15">
        <v>2.4E-2</v>
      </c>
    </row>
    <row r="83" spans="1:5" x14ac:dyDescent="0.25">
      <c r="A83" s="2">
        <v>2004.25</v>
      </c>
      <c r="B83" s="13">
        <v>0</v>
      </c>
      <c r="C83" s="14">
        <v>1.4E-2</v>
      </c>
      <c r="D83" s="14">
        <v>3.2000000000000001E-2</v>
      </c>
      <c r="E83" s="15">
        <v>1.4E-2</v>
      </c>
    </row>
    <row r="84" spans="1:5" x14ac:dyDescent="0.25">
      <c r="A84" s="3">
        <v>2004.5</v>
      </c>
      <c r="B84" s="13">
        <v>1E-3</v>
      </c>
      <c r="C84" s="14">
        <v>0.13200000000000001</v>
      </c>
      <c r="D84" s="14">
        <v>0.217</v>
      </c>
      <c r="E84" s="15">
        <v>3.7999999999999999E-2</v>
      </c>
    </row>
    <row r="85" spans="1:5" x14ac:dyDescent="0.25">
      <c r="A85" s="2">
        <v>2004.75</v>
      </c>
      <c r="B85" s="13">
        <v>3.3000000000000002E-2</v>
      </c>
      <c r="C85" s="14">
        <v>0.29399999999999998</v>
      </c>
      <c r="D85" s="14">
        <v>0.378</v>
      </c>
      <c r="E85" s="15">
        <v>1.0999999999999999E-2</v>
      </c>
    </row>
    <row r="86" spans="1:5" x14ac:dyDescent="0.25">
      <c r="A86" s="4">
        <v>2005</v>
      </c>
      <c r="B86" s="13">
        <v>0</v>
      </c>
      <c r="C86" s="14">
        <v>0</v>
      </c>
      <c r="D86" s="14">
        <v>0</v>
      </c>
      <c r="E86" s="15">
        <v>0</v>
      </c>
    </row>
    <row r="87" spans="1:5" x14ac:dyDescent="0.25">
      <c r="A87" s="2">
        <v>2005.25</v>
      </c>
      <c r="B87" s="13">
        <v>0</v>
      </c>
      <c r="C87" s="14">
        <v>0</v>
      </c>
      <c r="D87" s="14">
        <v>0</v>
      </c>
      <c r="E87" s="15">
        <v>0</v>
      </c>
    </row>
    <row r="88" spans="1:5" x14ac:dyDescent="0.25">
      <c r="A88" s="3">
        <v>2005.5</v>
      </c>
      <c r="B88" s="13">
        <v>0</v>
      </c>
      <c r="C88" s="14">
        <v>0</v>
      </c>
      <c r="D88" s="14">
        <v>1E-3</v>
      </c>
      <c r="E88" s="15">
        <v>0</v>
      </c>
    </row>
    <row r="89" spans="1:5" x14ac:dyDescent="0.25">
      <c r="A89" s="2">
        <v>2005.75</v>
      </c>
      <c r="B89" s="13">
        <v>0</v>
      </c>
      <c r="C89" s="14">
        <v>0</v>
      </c>
      <c r="D89" s="14">
        <v>1E-3</v>
      </c>
      <c r="E89" s="15">
        <v>0</v>
      </c>
    </row>
    <row r="90" spans="1:5" x14ac:dyDescent="0.25">
      <c r="A90" s="4">
        <v>2006</v>
      </c>
      <c r="B90" s="13">
        <v>0</v>
      </c>
      <c r="C90" s="14">
        <v>1.7000000000000001E-2</v>
      </c>
      <c r="D90" s="14">
        <v>6.4000000000000001E-2</v>
      </c>
      <c r="E90" s="15">
        <v>2.1000000000000001E-2</v>
      </c>
    </row>
    <row r="91" spans="1:5" x14ac:dyDescent="0.25">
      <c r="A91" s="2">
        <v>2006.25</v>
      </c>
      <c r="B91" s="13">
        <v>0</v>
      </c>
      <c r="C91" s="14">
        <v>3.5000000000000003E-2</v>
      </c>
      <c r="D91" s="14">
        <v>9.4E-2</v>
      </c>
      <c r="E91" s="15">
        <v>4.2000000000000003E-2</v>
      </c>
    </row>
    <row r="92" spans="1:5" x14ac:dyDescent="0.25">
      <c r="A92" s="3">
        <v>2006.5</v>
      </c>
      <c r="B92" s="13">
        <v>1E-3</v>
      </c>
      <c r="C92" s="14">
        <v>0.10100000000000001</v>
      </c>
      <c r="D92" s="14">
        <v>0.20499999999999999</v>
      </c>
      <c r="E92" s="15">
        <v>3.9E-2</v>
      </c>
    </row>
    <row r="93" spans="1:5" x14ac:dyDescent="0.25">
      <c r="A93" s="2">
        <v>2006.75</v>
      </c>
      <c r="B93" s="13">
        <v>3.5000000000000003E-2</v>
      </c>
      <c r="C93" s="14">
        <v>0.42</v>
      </c>
      <c r="D93" s="14">
        <v>0.57899999999999996</v>
      </c>
      <c r="E93" s="15">
        <v>1.6E-2</v>
      </c>
    </row>
    <row r="94" spans="1:5" x14ac:dyDescent="0.25">
      <c r="A94" s="4">
        <v>2007</v>
      </c>
      <c r="B94" s="13">
        <v>0</v>
      </c>
      <c r="C94" s="14">
        <v>4.0000000000000001E-3</v>
      </c>
      <c r="D94" s="14">
        <v>1.4999999999999999E-2</v>
      </c>
      <c r="E94" s="15">
        <v>5.0000000000000001E-3</v>
      </c>
    </row>
    <row r="95" spans="1:5" x14ac:dyDescent="0.25">
      <c r="A95" s="2">
        <v>2007.25</v>
      </c>
      <c r="B95" s="13">
        <v>0</v>
      </c>
      <c r="C95" s="14">
        <v>1.2999999999999999E-2</v>
      </c>
      <c r="D95" s="14">
        <v>3.4000000000000002E-2</v>
      </c>
      <c r="E95" s="15">
        <v>1.4999999999999999E-2</v>
      </c>
    </row>
    <row r="96" spans="1:5" x14ac:dyDescent="0.25">
      <c r="A96" s="3">
        <v>2007.5</v>
      </c>
      <c r="B96" s="13">
        <v>0</v>
      </c>
      <c r="C96" s="14">
        <v>2.3E-2</v>
      </c>
      <c r="D96" s="14">
        <v>4.7E-2</v>
      </c>
      <c r="E96" s="15">
        <v>8.9999999999999993E-3</v>
      </c>
    </row>
    <row r="97" spans="1:5" x14ac:dyDescent="0.25">
      <c r="A97" s="2">
        <v>2007.75</v>
      </c>
      <c r="B97" s="13">
        <v>1E-3</v>
      </c>
      <c r="C97" s="14">
        <v>1.7999999999999999E-2</v>
      </c>
      <c r="D97" s="14">
        <v>2.5000000000000001E-2</v>
      </c>
      <c r="E97" s="15">
        <v>1E-3</v>
      </c>
    </row>
    <row r="98" spans="1:5" x14ac:dyDescent="0.25">
      <c r="A98" s="4">
        <v>2008</v>
      </c>
      <c r="B98" s="13">
        <v>0</v>
      </c>
      <c r="C98" s="14">
        <v>2E-3</v>
      </c>
      <c r="D98" s="14">
        <v>6.0000000000000001E-3</v>
      </c>
      <c r="E98" s="15">
        <v>2E-3</v>
      </c>
    </row>
    <row r="99" spans="1:5" x14ac:dyDescent="0.25">
      <c r="A99" s="2">
        <v>2008.25</v>
      </c>
      <c r="B99" s="13">
        <v>0</v>
      </c>
      <c r="C99" s="14">
        <v>1.4999999999999999E-2</v>
      </c>
      <c r="D99" s="14">
        <v>3.7999999999999999E-2</v>
      </c>
      <c r="E99" s="15">
        <v>1.6E-2</v>
      </c>
    </row>
    <row r="100" spans="1:5" x14ac:dyDescent="0.25">
      <c r="A100" s="3">
        <v>2008.5</v>
      </c>
      <c r="B100" s="13">
        <v>0</v>
      </c>
      <c r="C100" s="14">
        <v>4.7E-2</v>
      </c>
      <c r="D100" s="14">
        <v>9.6000000000000002E-2</v>
      </c>
      <c r="E100" s="15">
        <v>1.7999999999999999E-2</v>
      </c>
    </row>
    <row r="101" spans="1:5" x14ac:dyDescent="0.25">
      <c r="A101" s="5">
        <v>2008.75</v>
      </c>
      <c r="B101" s="16">
        <v>4.0000000000000001E-3</v>
      </c>
      <c r="C101" s="17">
        <v>5.5E-2</v>
      </c>
      <c r="D101" s="17">
        <v>7.6999999999999999E-2</v>
      </c>
      <c r="E101" s="18">
        <v>2E-3</v>
      </c>
    </row>
    <row r="102" spans="1:5" x14ac:dyDescent="0.25">
      <c r="A102" s="1">
        <v>2009</v>
      </c>
      <c r="B102" s="10">
        <v>0</v>
      </c>
      <c r="C102" s="11">
        <v>1E-3</v>
      </c>
      <c r="D102" s="11">
        <v>3.0000000000000001E-3</v>
      </c>
      <c r="E102" s="12">
        <v>1E-3</v>
      </c>
    </row>
    <row r="103" spans="1:5" x14ac:dyDescent="0.25">
      <c r="A103" s="2">
        <v>2009.25</v>
      </c>
      <c r="B103" s="13">
        <v>0</v>
      </c>
      <c r="C103" s="14">
        <v>1.4E-2</v>
      </c>
      <c r="D103" s="14">
        <v>3.6999999999999998E-2</v>
      </c>
      <c r="E103" s="15">
        <v>1.6E-2</v>
      </c>
    </row>
    <row r="104" spans="1:5" x14ac:dyDescent="0.25">
      <c r="A104" s="3">
        <v>2009.5</v>
      </c>
      <c r="B104" s="13">
        <v>1E-3</v>
      </c>
      <c r="C104" s="14">
        <v>0.122</v>
      </c>
      <c r="D104" s="14">
        <v>0.249</v>
      </c>
      <c r="E104" s="15">
        <v>4.7E-2</v>
      </c>
    </row>
    <row r="105" spans="1:5" x14ac:dyDescent="0.25">
      <c r="A105" s="2">
        <v>2009.75</v>
      </c>
      <c r="B105" s="13">
        <v>4.0000000000000001E-3</v>
      </c>
      <c r="C105" s="14">
        <v>5.5E-2</v>
      </c>
      <c r="D105" s="14">
        <v>7.6999999999999999E-2</v>
      </c>
      <c r="E105" s="15">
        <v>2E-3</v>
      </c>
    </row>
    <row r="106" spans="1:5" x14ac:dyDescent="0.25">
      <c r="A106" s="4">
        <v>2010</v>
      </c>
      <c r="B106" s="13">
        <v>0</v>
      </c>
      <c r="C106" s="14">
        <v>0</v>
      </c>
      <c r="D106" s="14">
        <v>1E-3</v>
      </c>
      <c r="E106" s="15">
        <v>0</v>
      </c>
    </row>
    <row r="107" spans="1:5" x14ac:dyDescent="0.25">
      <c r="A107" s="2">
        <v>2010.25</v>
      </c>
      <c r="B107" s="13">
        <v>0</v>
      </c>
      <c r="C107" s="14">
        <v>2.5999999999999999E-2</v>
      </c>
      <c r="D107" s="14">
        <v>6.8000000000000005E-2</v>
      </c>
      <c r="E107" s="15">
        <v>2.9000000000000001E-2</v>
      </c>
    </row>
    <row r="108" spans="1:5" x14ac:dyDescent="0.25">
      <c r="A108" s="3">
        <v>2010.5</v>
      </c>
      <c r="B108" s="13">
        <v>1E-3</v>
      </c>
      <c r="C108" s="14">
        <v>9.9000000000000005E-2</v>
      </c>
      <c r="D108" s="14">
        <v>0.20200000000000001</v>
      </c>
      <c r="E108" s="15">
        <v>3.7999999999999999E-2</v>
      </c>
    </row>
    <row r="109" spans="1:5" x14ac:dyDescent="0.25">
      <c r="A109" s="2">
        <v>2010.75</v>
      </c>
      <c r="B109" s="13">
        <v>6.0000000000000001E-3</v>
      </c>
      <c r="C109" s="14">
        <v>8.7999999999999995E-2</v>
      </c>
      <c r="D109" s="14">
        <v>0.123</v>
      </c>
      <c r="E109" s="15">
        <v>3.0000000000000001E-3</v>
      </c>
    </row>
    <row r="110" spans="1:5" x14ac:dyDescent="0.25">
      <c r="A110" s="4">
        <v>2011</v>
      </c>
      <c r="B110" s="13">
        <v>0</v>
      </c>
      <c r="C110" s="14">
        <v>0</v>
      </c>
      <c r="D110" s="14">
        <v>1E-3</v>
      </c>
      <c r="E110" s="15">
        <v>0</v>
      </c>
    </row>
    <row r="111" spans="1:5" x14ac:dyDescent="0.25">
      <c r="A111" s="2">
        <v>2011.25</v>
      </c>
      <c r="B111" s="13">
        <v>0</v>
      </c>
      <c r="C111" s="14">
        <v>4.0000000000000001E-3</v>
      </c>
      <c r="D111" s="14">
        <v>1.0999999999999999E-2</v>
      </c>
      <c r="E111" s="15">
        <v>5.0000000000000001E-3</v>
      </c>
    </row>
    <row r="112" spans="1:5" x14ac:dyDescent="0.25">
      <c r="A112" s="3">
        <v>2011.5</v>
      </c>
      <c r="B112" s="13">
        <v>0</v>
      </c>
      <c r="C112" s="14">
        <v>0.04</v>
      </c>
      <c r="D112" s="14">
        <v>8.3000000000000004E-2</v>
      </c>
      <c r="E112" s="15">
        <v>1.6E-2</v>
      </c>
    </row>
    <row r="113" spans="1:5" x14ac:dyDescent="0.25">
      <c r="A113" s="2">
        <v>2011.75</v>
      </c>
      <c r="B113" s="13">
        <v>6.0000000000000001E-3</v>
      </c>
      <c r="C113" s="14">
        <v>8.3000000000000004E-2</v>
      </c>
      <c r="D113" s="14">
        <v>0.11600000000000001</v>
      </c>
      <c r="E113" s="15">
        <v>3.0000000000000001E-3</v>
      </c>
    </row>
    <row r="114" spans="1:5" x14ac:dyDescent="0.25">
      <c r="A114" s="4">
        <v>2012</v>
      </c>
      <c r="B114" s="13">
        <v>0</v>
      </c>
      <c r="C114" s="14">
        <v>0</v>
      </c>
      <c r="D114" s="14">
        <v>1E-3</v>
      </c>
      <c r="E114" s="15">
        <v>0</v>
      </c>
    </row>
    <row r="115" spans="1:5" x14ac:dyDescent="0.25">
      <c r="A115" s="2">
        <v>2012.25</v>
      </c>
      <c r="B115" s="13">
        <v>0</v>
      </c>
      <c r="C115" s="14">
        <v>6.0000000000000001E-3</v>
      </c>
      <c r="D115" s="14">
        <v>1.6E-2</v>
      </c>
      <c r="E115" s="15">
        <v>7.0000000000000001E-3</v>
      </c>
    </row>
    <row r="116" spans="1:5" x14ac:dyDescent="0.25">
      <c r="A116" s="3">
        <v>2012.5</v>
      </c>
      <c r="B116" s="13">
        <v>0</v>
      </c>
      <c r="C116" s="14">
        <v>2.5999999999999999E-2</v>
      </c>
      <c r="D116" s="14">
        <v>5.3999999999999999E-2</v>
      </c>
      <c r="E116" s="15">
        <v>0.01</v>
      </c>
    </row>
    <row r="117" spans="1:5" x14ac:dyDescent="0.25">
      <c r="A117" s="2">
        <v>2012.75</v>
      </c>
      <c r="B117" s="13">
        <v>2.5000000000000001E-2</v>
      </c>
      <c r="C117" s="14">
        <v>0.34799999999999998</v>
      </c>
      <c r="D117" s="14">
        <v>0.48899999999999999</v>
      </c>
      <c r="E117" s="15">
        <v>1.2999999999999999E-2</v>
      </c>
    </row>
    <row r="118" spans="1:5" x14ac:dyDescent="0.25">
      <c r="A118" s="4">
        <v>2013</v>
      </c>
      <c r="B118" s="13">
        <v>0</v>
      </c>
      <c r="C118" s="14">
        <v>1E-3</v>
      </c>
      <c r="D118" s="14">
        <v>2E-3</v>
      </c>
      <c r="E118" s="15">
        <v>1E-3</v>
      </c>
    </row>
    <row r="119" spans="1:5" x14ac:dyDescent="0.25">
      <c r="A119" s="2">
        <v>2013.25</v>
      </c>
      <c r="B119" s="13">
        <v>0</v>
      </c>
      <c r="C119" s="14">
        <v>2.5000000000000001E-2</v>
      </c>
      <c r="D119" s="14">
        <v>6.5000000000000002E-2</v>
      </c>
      <c r="E119" s="15">
        <v>2.8000000000000001E-2</v>
      </c>
    </row>
    <row r="120" spans="1:5" x14ac:dyDescent="0.25">
      <c r="A120" s="3">
        <v>2013.5</v>
      </c>
      <c r="B120" s="13">
        <v>1E-3</v>
      </c>
      <c r="C120" s="14">
        <v>0.114</v>
      </c>
      <c r="D120" s="14">
        <v>0.23300000000000001</v>
      </c>
      <c r="E120" s="15">
        <v>4.3999999999999997E-2</v>
      </c>
    </row>
    <row r="121" spans="1:5" x14ac:dyDescent="0.25">
      <c r="A121" s="2">
        <v>2013.75</v>
      </c>
      <c r="B121" s="13">
        <v>3.4000000000000002E-2</v>
      </c>
      <c r="C121" s="14">
        <v>0.48799999999999999</v>
      </c>
      <c r="D121" s="14">
        <v>0.68500000000000005</v>
      </c>
      <c r="E121" s="15">
        <v>1.7999999999999999E-2</v>
      </c>
    </row>
    <row r="122" spans="1:5" x14ac:dyDescent="0.25">
      <c r="A122" s="4">
        <v>2014</v>
      </c>
      <c r="B122" s="13">
        <v>0</v>
      </c>
      <c r="C122" s="14">
        <v>2E-3</v>
      </c>
      <c r="D122" s="14">
        <v>0.01</v>
      </c>
      <c r="E122" s="15">
        <v>3.0000000000000001E-3</v>
      </c>
    </row>
    <row r="123" spans="1:5" x14ac:dyDescent="0.25">
      <c r="A123" s="2">
        <v>2014.25</v>
      </c>
      <c r="B123" s="13">
        <v>0</v>
      </c>
      <c r="C123" s="14">
        <v>2.4E-2</v>
      </c>
      <c r="D123" s="14">
        <v>6.2E-2</v>
      </c>
      <c r="E123" s="15">
        <v>2.5999999999999999E-2</v>
      </c>
    </row>
    <row r="124" spans="1:5" x14ac:dyDescent="0.25">
      <c r="A124" s="3">
        <v>2014.5</v>
      </c>
      <c r="B124" s="13">
        <v>1E-3</v>
      </c>
      <c r="C124" s="14">
        <v>0.153</v>
      </c>
      <c r="D124" s="14">
        <v>0.313</v>
      </c>
      <c r="E124" s="15">
        <v>5.8999999999999997E-2</v>
      </c>
    </row>
    <row r="125" spans="1:5" x14ac:dyDescent="0.25">
      <c r="A125" s="2">
        <v>2014.75</v>
      </c>
      <c r="B125" s="13">
        <v>2.3E-2</v>
      </c>
      <c r="C125" s="14">
        <v>0.32200000000000001</v>
      </c>
      <c r="D125" s="14">
        <v>0.45300000000000001</v>
      </c>
      <c r="E125" s="15">
        <v>1.2E-2</v>
      </c>
    </row>
    <row r="126" spans="1:5" x14ac:dyDescent="0.25">
      <c r="A126" s="4">
        <v>2015</v>
      </c>
      <c r="B126" s="13">
        <v>0</v>
      </c>
      <c r="C126" s="14">
        <v>3.0000000000000001E-3</v>
      </c>
      <c r="D126" s="14">
        <v>1.2E-2</v>
      </c>
      <c r="E126" s="15">
        <v>3.0000000000000001E-3</v>
      </c>
    </row>
    <row r="127" spans="1:5" x14ac:dyDescent="0.25">
      <c r="A127" s="2">
        <v>2015.25</v>
      </c>
      <c r="B127" s="13">
        <v>0</v>
      </c>
      <c r="C127" s="14">
        <v>3.1E-2</v>
      </c>
      <c r="D127" s="14">
        <v>0.08</v>
      </c>
      <c r="E127" s="15">
        <v>3.4000000000000002E-2</v>
      </c>
    </row>
    <row r="128" spans="1:5" x14ac:dyDescent="0.25">
      <c r="A128" s="3">
        <v>2015.5</v>
      </c>
      <c r="B128" s="13">
        <v>1E-3</v>
      </c>
      <c r="C128" s="14">
        <v>0.20200000000000001</v>
      </c>
      <c r="D128" s="14">
        <v>0.41199999999999998</v>
      </c>
      <c r="E128" s="15">
        <v>7.8E-2</v>
      </c>
    </row>
    <row r="129" spans="1:5" x14ac:dyDescent="0.25">
      <c r="A129" s="2">
        <v>2015.75</v>
      </c>
      <c r="B129" s="13">
        <v>0.02</v>
      </c>
      <c r="C129" s="14">
        <v>0.27800000000000002</v>
      </c>
      <c r="D129" s="14">
        <v>0.39</v>
      </c>
      <c r="E129" s="15">
        <v>0.01</v>
      </c>
    </row>
    <row r="130" spans="1:5" x14ac:dyDescent="0.25">
      <c r="A130" s="9">
        <v>2016</v>
      </c>
      <c r="B130" s="16">
        <v>0</v>
      </c>
      <c r="C130" s="17">
        <v>3.0000000000000001E-3</v>
      </c>
      <c r="D130" s="17">
        <v>1.2E-2</v>
      </c>
      <c r="E130" s="18">
        <v>4.0000000000000001E-3</v>
      </c>
    </row>
    <row r="131" spans="1:5" x14ac:dyDescent="0.25">
      <c r="A131" s="8">
        <v>2016.25</v>
      </c>
      <c r="B131" s="10">
        <v>0</v>
      </c>
      <c r="C131" s="11">
        <v>4.2999999999999997E-2</v>
      </c>
      <c r="D131" s="11">
        <v>0.112</v>
      </c>
      <c r="E131" s="12">
        <v>4.8000000000000001E-2</v>
      </c>
    </row>
    <row r="132" spans="1:5" x14ac:dyDescent="0.25">
      <c r="A132" s="3">
        <v>2016.5</v>
      </c>
      <c r="B132" s="13">
        <v>1E-3</v>
      </c>
      <c r="C132" s="14">
        <v>0.19600000000000001</v>
      </c>
      <c r="D132" s="14">
        <v>0.40100000000000002</v>
      </c>
      <c r="E132" s="15">
        <v>7.5999999999999998E-2</v>
      </c>
    </row>
    <row r="133" spans="1:5" x14ac:dyDescent="0.25">
      <c r="A133" s="2">
        <v>2016.75</v>
      </c>
      <c r="B133" s="13">
        <v>2.1999999999999999E-2</v>
      </c>
      <c r="C133" s="14">
        <v>0.318</v>
      </c>
      <c r="D133" s="14">
        <v>0.44600000000000001</v>
      </c>
      <c r="E133" s="15">
        <v>1.2E-2</v>
      </c>
    </row>
    <row r="134" spans="1:5" x14ac:dyDescent="0.25">
      <c r="A134" s="4">
        <v>2017</v>
      </c>
      <c r="B134" s="13">
        <v>0</v>
      </c>
      <c r="C134" s="14">
        <v>2E-3</v>
      </c>
      <c r="D134" s="14">
        <v>6.0000000000000001E-3</v>
      </c>
      <c r="E134" s="15">
        <v>2E-3</v>
      </c>
    </row>
    <row r="135" spans="1:5" x14ac:dyDescent="0.25">
      <c r="A135" s="2">
        <v>2017.25</v>
      </c>
      <c r="B135" s="13">
        <v>0</v>
      </c>
      <c r="C135" s="14">
        <v>3.4000000000000002E-2</v>
      </c>
      <c r="D135" s="14">
        <v>8.7999999999999995E-2</v>
      </c>
      <c r="E135" s="15">
        <v>3.6999999999999998E-2</v>
      </c>
    </row>
    <row r="136" spans="1:5" x14ac:dyDescent="0.25">
      <c r="A136" s="3">
        <v>2017.5</v>
      </c>
      <c r="B136" s="13">
        <v>1E-3</v>
      </c>
      <c r="C136" s="14">
        <v>0.161</v>
      </c>
      <c r="D136" s="14">
        <v>0.32900000000000001</v>
      </c>
      <c r="E136" s="15">
        <v>6.2E-2</v>
      </c>
    </row>
    <row r="137" spans="1:5" x14ac:dyDescent="0.25">
      <c r="A137" s="2">
        <v>2017.75</v>
      </c>
      <c r="B137" s="13">
        <v>2.1999999999999999E-2</v>
      </c>
      <c r="C137" s="14">
        <v>0.312</v>
      </c>
      <c r="D137" s="14">
        <v>0.439</v>
      </c>
      <c r="E137" s="15">
        <v>1.2E-2</v>
      </c>
    </row>
    <row r="138" spans="1:5" x14ac:dyDescent="0.25">
      <c r="A138" s="4">
        <v>2018</v>
      </c>
      <c r="B138" s="13">
        <v>0</v>
      </c>
      <c r="C138" s="14">
        <v>2E-3</v>
      </c>
      <c r="D138" s="14">
        <v>8.0000000000000002E-3</v>
      </c>
      <c r="E138" s="15">
        <v>2E-3</v>
      </c>
    </row>
    <row r="139" spans="1:5" x14ac:dyDescent="0.25">
      <c r="A139" s="2">
        <v>2018.25</v>
      </c>
      <c r="B139" s="13">
        <v>0</v>
      </c>
      <c r="C139" s="14">
        <v>5.1999999999999998E-2</v>
      </c>
      <c r="D139" s="14">
        <v>0.13400000000000001</v>
      </c>
      <c r="E139" s="15">
        <v>5.7000000000000002E-2</v>
      </c>
    </row>
    <row r="140" spans="1:5" x14ac:dyDescent="0.25">
      <c r="A140" s="3">
        <v>2018.5</v>
      </c>
      <c r="B140" s="13">
        <v>1E-3</v>
      </c>
      <c r="C140" s="14">
        <v>0.152</v>
      </c>
      <c r="D140" s="14">
        <v>0.311</v>
      </c>
      <c r="E140" s="15">
        <v>5.8999999999999997E-2</v>
      </c>
    </row>
    <row r="141" spans="1:5" x14ac:dyDescent="0.25">
      <c r="A141" s="2">
        <v>2018.75</v>
      </c>
      <c r="B141" s="13">
        <v>2.5999999999999999E-2</v>
      </c>
      <c r="C141" s="14">
        <v>0.36699999999999999</v>
      </c>
      <c r="D141" s="14">
        <v>0.51500000000000001</v>
      </c>
      <c r="E141" s="15">
        <v>1.4E-2</v>
      </c>
    </row>
    <row r="142" spans="1:5" x14ac:dyDescent="0.25">
      <c r="A142" s="4">
        <v>2019</v>
      </c>
      <c r="B142" s="13">
        <v>0</v>
      </c>
      <c r="C142" s="14">
        <v>5.0000000000000001E-3</v>
      </c>
      <c r="D142" s="14">
        <v>1.9E-2</v>
      </c>
      <c r="E142" s="15">
        <v>6.0000000000000001E-3</v>
      </c>
    </row>
    <row r="143" spans="1:5" x14ac:dyDescent="0.25">
      <c r="A143" s="2">
        <v>2019.25</v>
      </c>
      <c r="B143" s="13">
        <v>0</v>
      </c>
      <c r="C143" s="14">
        <v>8.5000000000000006E-2</v>
      </c>
      <c r="D143" s="14">
        <v>0.221</v>
      </c>
      <c r="E143" s="15">
        <v>9.4E-2</v>
      </c>
    </row>
    <row r="144" spans="1:5" x14ac:dyDescent="0.25">
      <c r="A144" s="3">
        <v>2019.5</v>
      </c>
      <c r="B144" s="13">
        <v>1E-3</v>
      </c>
      <c r="C144" s="14">
        <v>0.20100000000000001</v>
      </c>
      <c r="D144" s="14">
        <v>0.41099999999999998</v>
      </c>
      <c r="E144" s="15">
        <v>7.8E-2</v>
      </c>
    </row>
    <row r="145" spans="1:5" x14ac:dyDescent="0.25">
      <c r="A145" s="2">
        <v>2019.75</v>
      </c>
      <c r="B145" s="13">
        <v>2.4E-2</v>
      </c>
      <c r="C145" s="14">
        <v>0.33300000000000002</v>
      </c>
      <c r="D145" s="14">
        <v>0.46800000000000003</v>
      </c>
      <c r="E145" s="15">
        <v>1.2E-2</v>
      </c>
    </row>
    <row r="146" spans="1:5" x14ac:dyDescent="0.25">
      <c r="A146" s="4">
        <v>2020</v>
      </c>
      <c r="B146" s="13">
        <v>0</v>
      </c>
      <c r="C146" s="14">
        <v>1.0999999999999999E-2</v>
      </c>
      <c r="D146" s="14">
        <v>4.4999999999999998E-2</v>
      </c>
      <c r="E146" s="15">
        <v>1.4E-2</v>
      </c>
    </row>
    <row r="147" spans="1:5" x14ac:dyDescent="0.25">
      <c r="A147" s="2">
        <v>2020.25</v>
      </c>
      <c r="B147" s="13">
        <v>0</v>
      </c>
      <c r="C147" s="14">
        <v>0.06</v>
      </c>
      <c r="D147" s="14">
        <v>0.156</v>
      </c>
      <c r="E147" s="15">
        <v>6.6000000000000003E-2</v>
      </c>
    </row>
    <row r="148" spans="1:5" x14ac:dyDescent="0.25">
      <c r="A148" s="3">
        <v>2020.5</v>
      </c>
      <c r="B148" s="13">
        <v>1E-3</v>
      </c>
      <c r="C148" s="14">
        <v>0.184</v>
      </c>
      <c r="D148" s="14">
        <v>0.376</v>
      </c>
      <c r="E148" s="15">
        <v>7.0999999999999994E-2</v>
      </c>
    </row>
    <row r="149" spans="1:5" x14ac:dyDescent="0.25">
      <c r="A149" s="2">
        <v>2020.75</v>
      </c>
      <c r="B149" s="13">
        <v>2.5999999999999999E-2</v>
      </c>
      <c r="C149" s="14">
        <v>0.36799999999999999</v>
      </c>
      <c r="D149" s="14">
        <v>0.51700000000000002</v>
      </c>
      <c r="E149" s="15">
        <v>1.4E-2</v>
      </c>
    </row>
    <row r="150" spans="1:5" x14ac:dyDescent="0.25">
      <c r="A150" s="4">
        <v>2021</v>
      </c>
      <c r="B150" s="13">
        <v>0</v>
      </c>
      <c r="C150" s="14">
        <v>7.0000000000000001E-3</v>
      </c>
      <c r="D150" s="14">
        <v>2.8000000000000001E-2</v>
      </c>
      <c r="E150" s="15">
        <v>8.9999999999999993E-3</v>
      </c>
    </row>
    <row r="151" spans="1:5" x14ac:dyDescent="0.25">
      <c r="A151" s="2">
        <v>2021.25</v>
      </c>
      <c r="B151" s="13">
        <v>0</v>
      </c>
      <c r="C151" s="14">
        <v>5.1999999999999998E-2</v>
      </c>
      <c r="D151" s="14">
        <v>0.13400000000000001</v>
      </c>
      <c r="E151" s="15">
        <v>5.7000000000000002E-2</v>
      </c>
    </row>
    <row r="152" spans="1:5" x14ac:dyDescent="0.25">
      <c r="A152" s="3">
        <v>2021.5</v>
      </c>
      <c r="B152" s="13">
        <v>1E-3</v>
      </c>
      <c r="C152" s="14">
        <v>0.14499999999999999</v>
      </c>
      <c r="D152" s="14">
        <v>0.29599999999999999</v>
      </c>
      <c r="E152" s="15">
        <v>5.6000000000000001E-2</v>
      </c>
    </row>
    <row r="153" spans="1:5" x14ac:dyDescent="0.25">
      <c r="A153" s="2">
        <v>2021.75</v>
      </c>
      <c r="B153" s="13">
        <v>2.5999999999999999E-2</v>
      </c>
      <c r="C153" s="14">
        <v>0.373</v>
      </c>
      <c r="D153" s="14">
        <v>0.52400000000000002</v>
      </c>
      <c r="E153" s="15">
        <v>1.4E-2</v>
      </c>
    </row>
    <row r="154" spans="1:5" x14ac:dyDescent="0.25">
      <c r="A154" s="4">
        <v>2022</v>
      </c>
      <c r="B154" s="13">
        <v>0</v>
      </c>
      <c r="C154" s="14">
        <v>2E-3</v>
      </c>
      <c r="D154" s="14">
        <v>8.0000000000000002E-3</v>
      </c>
      <c r="E154" s="15">
        <v>3.0000000000000001E-3</v>
      </c>
    </row>
    <row r="155" spans="1:5" x14ac:dyDescent="0.25">
      <c r="A155" s="2">
        <v>2022.25</v>
      </c>
      <c r="B155" s="13">
        <v>0</v>
      </c>
      <c r="C155" s="14">
        <v>2.9000000000000001E-2</v>
      </c>
      <c r="D155" s="14">
        <v>7.4999999999999997E-2</v>
      </c>
      <c r="E155" s="15">
        <v>3.2000000000000001E-2</v>
      </c>
    </row>
    <row r="156" spans="1:5" x14ac:dyDescent="0.25">
      <c r="A156" s="3">
        <v>2022.5</v>
      </c>
      <c r="B156" s="13">
        <v>1E-3</v>
      </c>
      <c r="C156" s="14">
        <v>0.122</v>
      </c>
      <c r="D156" s="14">
        <v>0.249</v>
      </c>
      <c r="E156" s="15">
        <v>4.7E-2</v>
      </c>
    </row>
    <row r="157" spans="1:5" x14ac:dyDescent="0.25">
      <c r="A157" s="2">
        <v>2022.75</v>
      </c>
      <c r="B157" s="13">
        <v>2.1000000000000001E-2</v>
      </c>
      <c r="C157" s="14">
        <v>0.29799999999999999</v>
      </c>
      <c r="D157" s="14">
        <v>0.41899999999999998</v>
      </c>
      <c r="E157" s="15">
        <v>1.0999999999999999E-2</v>
      </c>
    </row>
    <row r="158" spans="1:5" x14ac:dyDescent="0.25">
      <c r="A158" s="4">
        <v>2023</v>
      </c>
      <c r="B158" s="13">
        <v>0</v>
      </c>
      <c r="C158" s="14">
        <v>1E-3</v>
      </c>
      <c r="D158" s="14">
        <v>6.0000000000000001E-3</v>
      </c>
      <c r="E158" s="15">
        <v>2E-3</v>
      </c>
    </row>
    <row r="159" spans="1:5" x14ac:dyDescent="0.25">
      <c r="A159" s="5">
        <v>2023.25</v>
      </c>
      <c r="B159" s="16">
        <v>0</v>
      </c>
      <c r="C159" s="17">
        <v>1.9E-2</v>
      </c>
      <c r="D159" s="17">
        <v>4.8000000000000001E-2</v>
      </c>
      <c r="E159" s="18">
        <v>2.1000000000000001E-2</v>
      </c>
    </row>
    <row r="160" spans="1:5" x14ac:dyDescent="0.25">
      <c r="A160" s="6">
        <v>2023.5</v>
      </c>
      <c r="B160" s="10">
        <v>1E-3</v>
      </c>
      <c r="C160" s="11">
        <v>0.104</v>
      </c>
      <c r="D160" s="11">
        <v>0.21299999999999999</v>
      </c>
      <c r="E160" s="12">
        <v>0.04</v>
      </c>
    </row>
    <row r="161" spans="1:5" x14ac:dyDescent="0.25">
      <c r="A161" s="2">
        <v>2023.75</v>
      </c>
      <c r="B161" s="13">
        <v>7.0000000000000001E-3</v>
      </c>
      <c r="C161" s="14">
        <v>0.10299999999999999</v>
      </c>
      <c r="D161" s="14">
        <v>0.14499999999999999</v>
      </c>
      <c r="E161" s="15">
        <v>4.0000000000000001E-3</v>
      </c>
    </row>
    <row r="162" spans="1:5" x14ac:dyDescent="0.25">
      <c r="A162" s="4">
        <v>2024</v>
      </c>
      <c r="B162" s="13">
        <v>0</v>
      </c>
      <c r="C162" s="14">
        <v>0</v>
      </c>
      <c r="D162" s="14">
        <v>2E-3</v>
      </c>
      <c r="E162" s="15">
        <v>0</v>
      </c>
    </row>
    <row r="163" spans="1:5" x14ac:dyDescent="0.25">
      <c r="A163" s="2">
        <v>2024.25</v>
      </c>
      <c r="B163" s="13">
        <v>0</v>
      </c>
      <c r="C163" s="14">
        <v>4.0000000000000001E-3</v>
      </c>
      <c r="D163" s="14">
        <v>0.01</v>
      </c>
      <c r="E163" s="15">
        <v>4.0000000000000001E-3</v>
      </c>
    </row>
    <row r="164" spans="1:5" x14ac:dyDescent="0.25">
      <c r="A164" s="3">
        <v>2024.5</v>
      </c>
      <c r="B164" s="13">
        <v>0</v>
      </c>
      <c r="C164" s="14">
        <v>4.3999999999999997E-2</v>
      </c>
      <c r="D164" s="14">
        <v>0.09</v>
      </c>
      <c r="E164" s="15">
        <v>1.7000000000000001E-2</v>
      </c>
    </row>
    <row r="165" spans="1:5" x14ac:dyDescent="0.25">
      <c r="A165" s="2">
        <v>2024.75</v>
      </c>
      <c r="B165" s="13">
        <v>5.0000000000000001E-3</v>
      </c>
      <c r="C165" s="14">
        <v>7.4999999999999997E-2</v>
      </c>
      <c r="D165" s="14">
        <v>0.105</v>
      </c>
      <c r="E165" s="15">
        <v>3.0000000000000001E-3</v>
      </c>
    </row>
    <row r="166" spans="1:5" x14ac:dyDescent="0.25">
      <c r="A166" s="4">
        <v>2025</v>
      </c>
      <c r="B166" s="13">
        <v>0</v>
      </c>
      <c r="C166" s="14">
        <v>0</v>
      </c>
      <c r="D166" s="14">
        <v>0</v>
      </c>
      <c r="E166" s="15">
        <v>0</v>
      </c>
    </row>
    <row r="167" spans="1:5" x14ac:dyDescent="0.25">
      <c r="A167" s="2">
        <v>2025.25</v>
      </c>
      <c r="B167" s="13">
        <v>0</v>
      </c>
      <c r="C167" s="14">
        <v>7.0000000000000001E-3</v>
      </c>
      <c r="D167" s="14">
        <v>1.7000000000000001E-2</v>
      </c>
      <c r="E167" s="15">
        <v>7.0000000000000001E-3</v>
      </c>
    </row>
    <row r="168" spans="1:5" x14ac:dyDescent="0.25">
      <c r="A168" s="3">
        <v>2025.5</v>
      </c>
      <c r="B168" s="13">
        <v>0</v>
      </c>
      <c r="C168" s="14">
        <v>2.1999999999999999E-2</v>
      </c>
      <c r="D168" s="14">
        <v>4.3999999999999997E-2</v>
      </c>
      <c r="E168" s="15">
        <v>8.0000000000000002E-3</v>
      </c>
    </row>
    <row r="169" spans="1:5" x14ac:dyDescent="0.25">
      <c r="A169" s="5">
        <v>2025.75</v>
      </c>
      <c r="B169" s="16">
        <v>5.0000000000000001E-3</v>
      </c>
      <c r="C169" s="17">
        <v>7.4999999999999997E-2</v>
      </c>
      <c r="D169" s="17">
        <v>0.105</v>
      </c>
      <c r="E169" s="18">
        <v>3.0000000000000001E-3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1347-8993-4A75-8D1F-C0F3553E0849}">
  <dimension ref="A1:E169"/>
  <sheetViews>
    <sheetView workbookViewId="0">
      <selection activeCell="B2" sqref="B2:E43"/>
    </sheetView>
  </sheetViews>
  <sheetFormatPr defaultRowHeight="15" x14ac:dyDescent="0.25"/>
  <sheetData>
    <row r="1" spans="1:5" x14ac:dyDescent="0.25">
      <c r="B1">
        <v>0</v>
      </c>
      <c r="C1">
        <v>1</v>
      </c>
      <c r="D1">
        <v>2</v>
      </c>
      <c r="E1">
        <v>3</v>
      </c>
    </row>
    <row r="2" spans="1:5" x14ac:dyDescent="0.25">
      <c r="A2" s="1">
        <v>1984</v>
      </c>
      <c r="B2">
        <v>0</v>
      </c>
      <c r="C2">
        <v>0.2</v>
      </c>
      <c r="D2">
        <v>1</v>
      </c>
      <c r="E2">
        <v>1</v>
      </c>
    </row>
    <row r="3" spans="1:5" x14ac:dyDescent="0.25">
      <c r="A3" s="2">
        <v>1985</v>
      </c>
      <c r="B3">
        <v>0</v>
      </c>
      <c r="C3">
        <v>0.2</v>
      </c>
      <c r="D3">
        <v>1</v>
      </c>
      <c r="E3">
        <v>1</v>
      </c>
    </row>
    <row r="4" spans="1:5" x14ac:dyDescent="0.25">
      <c r="A4" s="1">
        <v>1986</v>
      </c>
      <c r="B4">
        <v>0</v>
      </c>
      <c r="C4">
        <v>0.2</v>
      </c>
      <c r="D4">
        <v>1</v>
      </c>
      <c r="E4">
        <v>1</v>
      </c>
    </row>
    <row r="5" spans="1:5" x14ac:dyDescent="0.25">
      <c r="A5" s="2">
        <v>1987</v>
      </c>
      <c r="B5">
        <v>0</v>
      </c>
      <c r="C5">
        <v>0.2</v>
      </c>
      <c r="D5">
        <v>1</v>
      </c>
      <c r="E5">
        <v>1</v>
      </c>
    </row>
    <row r="6" spans="1:5" x14ac:dyDescent="0.25">
      <c r="A6" s="1">
        <v>1988</v>
      </c>
      <c r="B6">
        <v>0</v>
      </c>
      <c r="C6">
        <v>0.2</v>
      </c>
      <c r="D6">
        <v>1</v>
      </c>
      <c r="E6">
        <v>1</v>
      </c>
    </row>
    <row r="7" spans="1:5" x14ac:dyDescent="0.25">
      <c r="A7" s="2">
        <v>1989</v>
      </c>
      <c r="B7">
        <v>0</v>
      </c>
      <c r="C7">
        <v>0.2</v>
      </c>
      <c r="D7">
        <v>1</v>
      </c>
      <c r="E7">
        <v>1</v>
      </c>
    </row>
    <row r="8" spans="1:5" x14ac:dyDescent="0.25">
      <c r="A8" s="1">
        <v>1990</v>
      </c>
      <c r="B8">
        <v>0</v>
      </c>
      <c r="C8">
        <v>0.2</v>
      </c>
      <c r="D8">
        <v>1</v>
      </c>
      <c r="E8">
        <v>1</v>
      </c>
    </row>
    <row r="9" spans="1:5" x14ac:dyDescent="0.25">
      <c r="A9" s="2">
        <v>1991</v>
      </c>
      <c r="B9">
        <v>0</v>
      </c>
      <c r="C9">
        <v>0.2</v>
      </c>
      <c r="D9">
        <v>1</v>
      </c>
      <c r="E9">
        <v>1</v>
      </c>
    </row>
    <row r="10" spans="1:5" x14ac:dyDescent="0.25">
      <c r="A10" s="1">
        <v>1992</v>
      </c>
      <c r="B10">
        <v>0</v>
      </c>
      <c r="C10">
        <v>0.2</v>
      </c>
      <c r="D10">
        <v>1</v>
      </c>
      <c r="E10">
        <v>1</v>
      </c>
    </row>
    <row r="11" spans="1:5" x14ac:dyDescent="0.25">
      <c r="A11" s="2">
        <v>1993</v>
      </c>
      <c r="B11">
        <v>0</v>
      </c>
      <c r="C11">
        <v>0.2</v>
      </c>
      <c r="D11">
        <v>1</v>
      </c>
      <c r="E11">
        <v>1</v>
      </c>
    </row>
    <row r="12" spans="1:5" x14ac:dyDescent="0.25">
      <c r="A12" s="1">
        <v>1994</v>
      </c>
      <c r="B12">
        <v>0</v>
      </c>
      <c r="C12">
        <v>0.2</v>
      </c>
      <c r="D12">
        <v>1</v>
      </c>
      <c r="E12">
        <v>1</v>
      </c>
    </row>
    <row r="13" spans="1:5" x14ac:dyDescent="0.25">
      <c r="A13" s="2">
        <v>1995</v>
      </c>
      <c r="B13">
        <v>0</v>
      </c>
      <c r="C13">
        <v>0.2</v>
      </c>
      <c r="D13">
        <v>1</v>
      </c>
      <c r="E13">
        <v>1</v>
      </c>
    </row>
    <row r="14" spans="1:5" x14ac:dyDescent="0.25">
      <c r="A14" s="1">
        <v>1996</v>
      </c>
      <c r="B14">
        <v>0</v>
      </c>
      <c r="C14">
        <v>0.2</v>
      </c>
      <c r="D14">
        <v>1</v>
      </c>
      <c r="E14">
        <v>1</v>
      </c>
    </row>
    <row r="15" spans="1:5" x14ac:dyDescent="0.25">
      <c r="A15" s="2">
        <v>1997</v>
      </c>
      <c r="B15">
        <v>0</v>
      </c>
      <c r="C15">
        <v>0.2</v>
      </c>
      <c r="D15">
        <v>1</v>
      </c>
      <c r="E15">
        <v>1</v>
      </c>
    </row>
    <row r="16" spans="1:5" x14ac:dyDescent="0.25">
      <c r="A16" s="1">
        <v>1998</v>
      </c>
      <c r="B16">
        <v>0</v>
      </c>
      <c r="C16">
        <v>0.2</v>
      </c>
      <c r="D16">
        <v>1</v>
      </c>
      <c r="E16">
        <v>1</v>
      </c>
    </row>
    <row r="17" spans="1:5" x14ac:dyDescent="0.25">
      <c r="A17" s="2">
        <v>1999</v>
      </c>
      <c r="B17">
        <v>0</v>
      </c>
      <c r="C17">
        <v>0.2</v>
      </c>
      <c r="D17">
        <v>1</v>
      </c>
      <c r="E17">
        <v>1</v>
      </c>
    </row>
    <row r="18" spans="1:5" x14ac:dyDescent="0.25">
      <c r="A18" s="1">
        <v>2000</v>
      </c>
      <c r="B18">
        <v>0</v>
      </c>
      <c r="C18">
        <v>0.2</v>
      </c>
      <c r="D18">
        <v>1</v>
      </c>
      <c r="E18">
        <v>1</v>
      </c>
    </row>
    <row r="19" spans="1:5" x14ac:dyDescent="0.25">
      <c r="A19" s="2">
        <v>2001</v>
      </c>
      <c r="B19">
        <v>0</v>
      </c>
      <c r="C19">
        <v>0.2</v>
      </c>
      <c r="D19">
        <v>1</v>
      </c>
      <c r="E19">
        <v>1</v>
      </c>
    </row>
    <row r="20" spans="1:5" x14ac:dyDescent="0.25">
      <c r="A20" s="1">
        <v>2002</v>
      </c>
      <c r="B20">
        <v>0</v>
      </c>
      <c r="C20">
        <v>0.2</v>
      </c>
      <c r="D20">
        <v>1</v>
      </c>
      <c r="E20">
        <v>1</v>
      </c>
    </row>
    <row r="21" spans="1:5" x14ac:dyDescent="0.25">
      <c r="A21" s="2">
        <v>2003</v>
      </c>
      <c r="B21">
        <v>0</v>
      </c>
      <c r="C21">
        <v>0.2</v>
      </c>
      <c r="D21">
        <v>1</v>
      </c>
      <c r="E21">
        <v>1</v>
      </c>
    </row>
    <row r="22" spans="1:5" x14ac:dyDescent="0.25">
      <c r="A22" s="1">
        <v>2004</v>
      </c>
      <c r="B22">
        <v>0</v>
      </c>
      <c r="C22">
        <v>0.2</v>
      </c>
      <c r="D22">
        <v>1</v>
      </c>
      <c r="E22">
        <v>1</v>
      </c>
    </row>
    <row r="23" spans="1:5" x14ac:dyDescent="0.25">
      <c r="A23" s="2">
        <v>2005</v>
      </c>
      <c r="B23">
        <v>0</v>
      </c>
      <c r="C23">
        <v>0.2</v>
      </c>
      <c r="D23">
        <v>1</v>
      </c>
      <c r="E23">
        <v>1</v>
      </c>
    </row>
    <row r="24" spans="1:5" x14ac:dyDescent="0.25">
      <c r="A24" s="1">
        <v>2006</v>
      </c>
      <c r="B24">
        <v>0</v>
      </c>
      <c r="C24">
        <v>0.2</v>
      </c>
      <c r="D24">
        <v>1</v>
      </c>
      <c r="E24">
        <v>1</v>
      </c>
    </row>
    <row r="25" spans="1:5" x14ac:dyDescent="0.25">
      <c r="A25" s="2">
        <v>2007</v>
      </c>
      <c r="B25">
        <v>0</v>
      </c>
      <c r="C25">
        <v>0.2</v>
      </c>
      <c r="D25">
        <v>1</v>
      </c>
      <c r="E25">
        <v>1</v>
      </c>
    </row>
    <row r="26" spans="1:5" x14ac:dyDescent="0.25">
      <c r="A26" s="1">
        <v>2008</v>
      </c>
      <c r="B26">
        <v>0</v>
      </c>
      <c r="C26">
        <v>0.2</v>
      </c>
      <c r="D26">
        <v>1</v>
      </c>
      <c r="E26">
        <v>1</v>
      </c>
    </row>
    <row r="27" spans="1:5" x14ac:dyDescent="0.25">
      <c r="A27" s="2">
        <v>2009</v>
      </c>
      <c r="B27">
        <v>0</v>
      </c>
      <c r="C27">
        <v>0.2</v>
      </c>
      <c r="D27">
        <v>1</v>
      </c>
      <c r="E27">
        <v>1</v>
      </c>
    </row>
    <row r="28" spans="1:5" x14ac:dyDescent="0.25">
      <c r="A28" s="1">
        <v>2010</v>
      </c>
      <c r="B28">
        <v>0</v>
      </c>
      <c r="C28">
        <v>0.2</v>
      </c>
      <c r="D28">
        <v>1</v>
      </c>
      <c r="E28">
        <v>1</v>
      </c>
    </row>
    <row r="29" spans="1:5" x14ac:dyDescent="0.25">
      <c r="A29" s="2">
        <v>2011</v>
      </c>
      <c r="B29">
        <v>0</v>
      </c>
      <c r="C29">
        <v>0.2</v>
      </c>
      <c r="D29">
        <v>1</v>
      </c>
      <c r="E29">
        <v>1</v>
      </c>
    </row>
    <row r="30" spans="1:5" x14ac:dyDescent="0.25">
      <c r="A30" s="1">
        <v>2012</v>
      </c>
      <c r="B30">
        <v>0</v>
      </c>
      <c r="C30">
        <v>0.2</v>
      </c>
      <c r="D30">
        <v>1</v>
      </c>
      <c r="E30">
        <v>1</v>
      </c>
    </row>
    <row r="31" spans="1:5" x14ac:dyDescent="0.25">
      <c r="A31" s="2">
        <v>2013</v>
      </c>
      <c r="B31">
        <v>0</v>
      </c>
      <c r="C31">
        <v>0.2</v>
      </c>
      <c r="D31">
        <v>1</v>
      </c>
      <c r="E31">
        <v>1</v>
      </c>
    </row>
    <row r="32" spans="1:5" x14ac:dyDescent="0.25">
      <c r="A32" s="1">
        <v>2014</v>
      </c>
      <c r="B32">
        <v>0</v>
      </c>
      <c r="C32">
        <v>0.2</v>
      </c>
      <c r="D32">
        <v>1</v>
      </c>
      <c r="E32">
        <v>1</v>
      </c>
    </row>
    <row r="33" spans="1:5" x14ac:dyDescent="0.25">
      <c r="A33" s="2">
        <v>2015</v>
      </c>
      <c r="B33">
        <v>0</v>
      </c>
      <c r="C33">
        <v>0.2</v>
      </c>
      <c r="D33">
        <v>1</v>
      </c>
      <c r="E33">
        <v>1</v>
      </c>
    </row>
    <row r="34" spans="1:5" x14ac:dyDescent="0.25">
      <c r="A34" s="1">
        <v>2016</v>
      </c>
      <c r="B34">
        <v>0</v>
      </c>
      <c r="C34">
        <v>0.2</v>
      </c>
      <c r="D34">
        <v>1</v>
      </c>
      <c r="E34">
        <v>1</v>
      </c>
    </row>
    <row r="35" spans="1:5" x14ac:dyDescent="0.25">
      <c r="A35" s="2">
        <v>2017</v>
      </c>
      <c r="B35">
        <v>0</v>
      </c>
      <c r="C35">
        <v>0.2</v>
      </c>
      <c r="D35">
        <v>1</v>
      </c>
      <c r="E35">
        <v>1</v>
      </c>
    </row>
    <row r="36" spans="1:5" x14ac:dyDescent="0.25">
      <c r="A36" s="1">
        <v>2018</v>
      </c>
      <c r="B36">
        <v>0</v>
      </c>
      <c r="C36">
        <v>0.2</v>
      </c>
      <c r="D36">
        <v>1</v>
      </c>
      <c r="E36">
        <v>1</v>
      </c>
    </row>
    <row r="37" spans="1:5" x14ac:dyDescent="0.25">
      <c r="A37" s="2">
        <v>2019</v>
      </c>
      <c r="B37">
        <v>0</v>
      </c>
      <c r="C37">
        <v>0.2</v>
      </c>
      <c r="D37">
        <v>1</v>
      </c>
      <c r="E37">
        <v>1</v>
      </c>
    </row>
    <row r="38" spans="1:5" x14ac:dyDescent="0.25">
      <c r="A38" s="1">
        <v>2020</v>
      </c>
      <c r="B38">
        <v>0</v>
      </c>
      <c r="C38">
        <v>0.2</v>
      </c>
      <c r="D38">
        <v>1</v>
      </c>
      <c r="E38">
        <v>1</v>
      </c>
    </row>
    <row r="39" spans="1:5" x14ac:dyDescent="0.25">
      <c r="A39" s="2">
        <v>2021</v>
      </c>
      <c r="B39">
        <v>0</v>
      </c>
      <c r="C39">
        <v>0.2</v>
      </c>
      <c r="D39">
        <v>1</v>
      </c>
      <c r="E39">
        <v>1</v>
      </c>
    </row>
    <row r="40" spans="1:5" x14ac:dyDescent="0.25">
      <c r="A40" s="1">
        <v>2022</v>
      </c>
      <c r="B40">
        <v>0</v>
      </c>
      <c r="C40">
        <v>0.2</v>
      </c>
      <c r="D40">
        <v>1</v>
      </c>
      <c r="E40">
        <v>1</v>
      </c>
    </row>
    <row r="41" spans="1:5" x14ac:dyDescent="0.25">
      <c r="A41" s="2">
        <v>2023</v>
      </c>
      <c r="B41">
        <v>0</v>
      </c>
      <c r="C41">
        <v>0.2</v>
      </c>
      <c r="D41">
        <v>1</v>
      </c>
      <c r="E41">
        <v>1</v>
      </c>
    </row>
    <row r="42" spans="1:5" x14ac:dyDescent="0.25">
      <c r="A42" s="1">
        <v>2024</v>
      </c>
      <c r="B42">
        <v>0</v>
      </c>
      <c r="C42">
        <v>0.2</v>
      </c>
      <c r="D42">
        <v>1</v>
      </c>
      <c r="E42">
        <v>1</v>
      </c>
    </row>
    <row r="43" spans="1:5" x14ac:dyDescent="0.25">
      <c r="A43" s="2">
        <v>2025</v>
      </c>
      <c r="B43">
        <v>0</v>
      </c>
      <c r="C43">
        <v>0.2</v>
      </c>
      <c r="D43">
        <v>1</v>
      </c>
      <c r="E43">
        <v>1</v>
      </c>
    </row>
    <row r="44" spans="1:5" x14ac:dyDescent="0.25">
      <c r="A44" s="1"/>
    </row>
    <row r="45" spans="1:5" x14ac:dyDescent="0.25">
      <c r="A45" s="2"/>
    </row>
    <row r="46" spans="1:5" x14ac:dyDescent="0.25">
      <c r="A46" s="4"/>
    </row>
    <row r="47" spans="1:5" x14ac:dyDescent="0.25">
      <c r="A47" s="2"/>
    </row>
    <row r="48" spans="1:5" x14ac:dyDescent="0.25">
      <c r="A48" s="3"/>
    </row>
    <row r="49" spans="1:1" x14ac:dyDescent="0.25">
      <c r="A49" s="2"/>
    </row>
    <row r="50" spans="1:1" x14ac:dyDescent="0.25">
      <c r="A50" s="4"/>
    </row>
    <row r="51" spans="1:1" x14ac:dyDescent="0.25">
      <c r="A51" s="2"/>
    </row>
    <row r="52" spans="1:1" x14ac:dyDescent="0.25">
      <c r="A52" s="3"/>
    </row>
    <row r="53" spans="1:1" x14ac:dyDescent="0.25">
      <c r="A53" s="2"/>
    </row>
    <row r="54" spans="1:1" x14ac:dyDescent="0.25">
      <c r="A54" s="4"/>
    </row>
    <row r="55" spans="1:1" x14ac:dyDescent="0.25">
      <c r="A55" s="2"/>
    </row>
    <row r="56" spans="1:1" x14ac:dyDescent="0.25">
      <c r="A56" s="3"/>
    </row>
    <row r="57" spans="1:1" x14ac:dyDescent="0.25">
      <c r="A57" s="2"/>
    </row>
    <row r="58" spans="1:1" x14ac:dyDescent="0.25">
      <c r="A58" s="4"/>
    </row>
    <row r="59" spans="1:1" x14ac:dyDescent="0.25">
      <c r="A59" s="2"/>
    </row>
    <row r="60" spans="1:1" x14ac:dyDescent="0.25">
      <c r="A60" s="3"/>
    </row>
    <row r="61" spans="1:1" x14ac:dyDescent="0.25">
      <c r="A61" s="2"/>
    </row>
    <row r="62" spans="1:1" x14ac:dyDescent="0.25">
      <c r="A62" s="4"/>
    </row>
    <row r="63" spans="1:1" x14ac:dyDescent="0.25">
      <c r="A63" s="2"/>
    </row>
    <row r="64" spans="1:1" x14ac:dyDescent="0.25">
      <c r="A64" s="3"/>
    </row>
    <row r="65" spans="1:1" x14ac:dyDescent="0.25">
      <c r="A65" s="2"/>
    </row>
    <row r="66" spans="1:1" x14ac:dyDescent="0.25">
      <c r="A66" s="4"/>
    </row>
    <row r="67" spans="1:1" x14ac:dyDescent="0.25">
      <c r="A67" s="2"/>
    </row>
    <row r="68" spans="1:1" x14ac:dyDescent="0.25">
      <c r="A68" s="3"/>
    </row>
    <row r="69" spans="1:1" x14ac:dyDescent="0.25">
      <c r="A69" s="2"/>
    </row>
    <row r="70" spans="1:1" x14ac:dyDescent="0.25">
      <c r="A70" s="4"/>
    </row>
    <row r="71" spans="1:1" x14ac:dyDescent="0.25">
      <c r="A71" s="2"/>
    </row>
    <row r="72" spans="1:1" x14ac:dyDescent="0.25">
      <c r="A72" s="7"/>
    </row>
    <row r="73" spans="1:1" x14ac:dyDescent="0.25">
      <c r="A73" s="8"/>
    </row>
    <row r="74" spans="1:1" x14ac:dyDescent="0.25">
      <c r="A74" s="4"/>
    </row>
    <row r="75" spans="1:1" x14ac:dyDescent="0.25">
      <c r="A75" s="2"/>
    </row>
    <row r="76" spans="1:1" x14ac:dyDescent="0.25">
      <c r="A76" s="3"/>
    </row>
    <row r="77" spans="1:1" x14ac:dyDescent="0.25">
      <c r="A77" s="2"/>
    </row>
    <row r="78" spans="1:1" x14ac:dyDescent="0.25">
      <c r="A78" s="4"/>
    </row>
    <row r="79" spans="1:1" x14ac:dyDescent="0.25">
      <c r="A79" s="2"/>
    </row>
    <row r="80" spans="1:1" x14ac:dyDescent="0.25">
      <c r="A80" s="3"/>
    </row>
    <row r="81" spans="1:1" x14ac:dyDescent="0.25">
      <c r="A81" s="2"/>
    </row>
    <row r="82" spans="1:1" x14ac:dyDescent="0.25">
      <c r="A82" s="4"/>
    </row>
    <row r="83" spans="1:1" x14ac:dyDescent="0.25">
      <c r="A83" s="2"/>
    </row>
    <row r="84" spans="1:1" x14ac:dyDescent="0.25">
      <c r="A84" s="3"/>
    </row>
    <row r="85" spans="1:1" x14ac:dyDescent="0.25">
      <c r="A85" s="2"/>
    </row>
    <row r="86" spans="1:1" x14ac:dyDescent="0.25">
      <c r="A86" s="4"/>
    </row>
    <row r="87" spans="1:1" x14ac:dyDescent="0.25">
      <c r="A87" s="2"/>
    </row>
    <row r="88" spans="1:1" x14ac:dyDescent="0.25">
      <c r="A88" s="3"/>
    </row>
    <row r="89" spans="1:1" x14ac:dyDescent="0.25">
      <c r="A89" s="2"/>
    </row>
    <row r="90" spans="1:1" x14ac:dyDescent="0.25">
      <c r="A90" s="4"/>
    </row>
    <row r="91" spans="1:1" x14ac:dyDescent="0.25">
      <c r="A91" s="2"/>
    </row>
    <row r="92" spans="1:1" x14ac:dyDescent="0.25">
      <c r="A92" s="3"/>
    </row>
    <row r="93" spans="1:1" x14ac:dyDescent="0.25">
      <c r="A93" s="2"/>
    </row>
    <row r="94" spans="1:1" x14ac:dyDescent="0.25">
      <c r="A94" s="4"/>
    </row>
    <row r="95" spans="1:1" x14ac:dyDescent="0.25">
      <c r="A95" s="2"/>
    </row>
    <row r="96" spans="1:1" x14ac:dyDescent="0.25">
      <c r="A96" s="3"/>
    </row>
    <row r="97" spans="1:1" x14ac:dyDescent="0.25">
      <c r="A97" s="2"/>
    </row>
    <row r="98" spans="1:1" x14ac:dyDescent="0.25">
      <c r="A98" s="4"/>
    </row>
    <row r="99" spans="1:1" x14ac:dyDescent="0.25">
      <c r="A99" s="2"/>
    </row>
    <row r="100" spans="1:1" x14ac:dyDescent="0.25">
      <c r="A100" s="3"/>
    </row>
    <row r="101" spans="1:1" x14ac:dyDescent="0.25">
      <c r="A101" s="5"/>
    </row>
    <row r="102" spans="1:1" x14ac:dyDescent="0.25">
      <c r="A102" s="1"/>
    </row>
    <row r="103" spans="1:1" x14ac:dyDescent="0.25">
      <c r="A103" s="2"/>
    </row>
    <row r="104" spans="1:1" x14ac:dyDescent="0.25">
      <c r="A104" s="3"/>
    </row>
    <row r="105" spans="1:1" x14ac:dyDescent="0.25">
      <c r="A105" s="2"/>
    </row>
    <row r="106" spans="1:1" x14ac:dyDescent="0.25">
      <c r="A106" s="4"/>
    </row>
    <row r="107" spans="1:1" x14ac:dyDescent="0.25">
      <c r="A107" s="2"/>
    </row>
    <row r="108" spans="1:1" x14ac:dyDescent="0.25">
      <c r="A108" s="3"/>
    </row>
    <row r="109" spans="1:1" x14ac:dyDescent="0.25">
      <c r="A109" s="2"/>
    </row>
    <row r="110" spans="1:1" x14ac:dyDescent="0.25">
      <c r="A110" s="4"/>
    </row>
    <row r="111" spans="1:1" x14ac:dyDescent="0.25">
      <c r="A111" s="2"/>
    </row>
    <row r="112" spans="1:1" x14ac:dyDescent="0.25">
      <c r="A112" s="3"/>
    </row>
    <row r="113" spans="1:1" x14ac:dyDescent="0.25">
      <c r="A113" s="2"/>
    </row>
    <row r="114" spans="1:1" x14ac:dyDescent="0.25">
      <c r="A114" s="4"/>
    </row>
    <row r="115" spans="1:1" x14ac:dyDescent="0.25">
      <c r="A115" s="2"/>
    </row>
    <row r="116" spans="1:1" x14ac:dyDescent="0.25">
      <c r="A116" s="3"/>
    </row>
    <row r="117" spans="1:1" x14ac:dyDescent="0.25">
      <c r="A117" s="2"/>
    </row>
    <row r="118" spans="1:1" x14ac:dyDescent="0.25">
      <c r="A118" s="4"/>
    </row>
    <row r="119" spans="1:1" x14ac:dyDescent="0.25">
      <c r="A119" s="2"/>
    </row>
    <row r="120" spans="1:1" x14ac:dyDescent="0.25">
      <c r="A120" s="3"/>
    </row>
    <row r="121" spans="1:1" x14ac:dyDescent="0.25">
      <c r="A121" s="2"/>
    </row>
    <row r="122" spans="1:1" x14ac:dyDescent="0.25">
      <c r="A122" s="4"/>
    </row>
    <row r="123" spans="1:1" x14ac:dyDescent="0.25">
      <c r="A123" s="2"/>
    </row>
    <row r="124" spans="1:1" x14ac:dyDescent="0.25">
      <c r="A124" s="3"/>
    </row>
    <row r="125" spans="1:1" x14ac:dyDescent="0.25">
      <c r="A125" s="2"/>
    </row>
    <row r="126" spans="1:1" x14ac:dyDescent="0.25">
      <c r="A126" s="4"/>
    </row>
    <row r="127" spans="1:1" x14ac:dyDescent="0.25">
      <c r="A127" s="2"/>
    </row>
    <row r="128" spans="1:1" x14ac:dyDescent="0.25">
      <c r="A128" s="3"/>
    </row>
    <row r="129" spans="1:1" x14ac:dyDescent="0.25">
      <c r="A129" s="2"/>
    </row>
    <row r="130" spans="1:1" x14ac:dyDescent="0.25">
      <c r="A130" s="9"/>
    </row>
    <row r="131" spans="1:1" x14ac:dyDescent="0.25">
      <c r="A131" s="8"/>
    </row>
    <row r="132" spans="1:1" x14ac:dyDescent="0.25">
      <c r="A132" s="3"/>
    </row>
    <row r="133" spans="1:1" x14ac:dyDescent="0.25">
      <c r="A133" s="2"/>
    </row>
    <row r="134" spans="1:1" x14ac:dyDescent="0.25">
      <c r="A134" s="4"/>
    </row>
    <row r="135" spans="1:1" x14ac:dyDescent="0.25">
      <c r="A135" s="2"/>
    </row>
    <row r="136" spans="1:1" x14ac:dyDescent="0.25">
      <c r="A136" s="3"/>
    </row>
    <row r="137" spans="1:1" x14ac:dyDescent="0.25">
      <c r="A137" s="2"/>
    </row>
    <row r="138" spans="1:1" x14ac:dyDescent="0.25">
      <c r="A138" s="4"/>
    </row>
    <row r="139" spans="1:1" x14ac:dyDescent="0.25">
      <c r="A139" s="2"/>
    </row>
    <row r="140" spans="1:1" x14ac:dyDescent="0.25">
      <c r="A140" s="3"/>
    </row>
    <row r="141" spans="1:1" x14ac:dyDescent="0.25">
      <c r="A141" s="2"/>
    </row>
    <row r="142" spans="1:1" x14ac:dyDescent="0.25">
      <c r="A142" s="4"/>
    </row>
    <row r="143" spans="1:1" x14ac:dyDescent="0.25">
      <c r="A143" s="2"/>
    </row>
    <row r="144" spans="1:1" x14ac:dyDescent="0.25">
      <c r="A144" s="3"/>
    </row>
    <row r="145" spans="1:1" x14ac:dyDescent="0.25">
      <c r="A145" s="2"/>
    </row>
    <row r="146" spans="1:1" x14ac:dyDescent="0.25">
      <c r="A146" s="4"/>
    </row>
    <row r="147" spans="1:1" x14ac:dyDescent="0.25">
      <c r="A147" s="2"/>
    </row>
    <row r="148" spans="1:1" x14ac:dyDescent="0.25">
      <c r="A148" s="3"/>
    </row>
    <row r="149" spans="1:1" x14ac:dyDescent="0.25">
      <c r="A149" s="2"/>
    </row>
    <row r="150" spans="1:1" x14ac:dyDescent="0.25">
      <c r="A150" s="4"/>
    </row>
    <row r="151" spans="1:1" x14ac:dyDescent="0.25">
      <c r="A151" s="2"/>
    </row>
    <row r="152" spans="1:1" x14ac:dyDescent="0.25">
      <c r="A152" s="3"/>
    </row>
    <row r="153" spans="1:1" x14ac:dyDescent="0.25">
      <c r="A153" s="2"/>
    </row>
    <row r="154" spans="1:1" x14ac:dyDescent="0.25">
      <c r="A154" s="4"/>
    </row>
    <row r="155" spans="1:1" x14ac:dyDescent="0.25">
      <c r="A155" s="2"/>
    </row>
    <row r="156" spans="1:1" x14ac:dyDescent="0.25">
      <c r="A156" s="3"/>
    </row>
    <row r="157" spans="1:1" x14ac:dyDescent="0.25">
      <c r="A157" s="2"/>
    </row>
    <row r="158" spans="1:1" x14ac:dyDescent="0.25">
      <c r="A158" s="4"/>
    </row>
    <row r="159" spans="1:1" x14ac:dyDescent="0.25">
      <c r="A159" s="5"/>
    </row>
    <row r="160" spans="1:1" x14ac:dyDescent="0.25">
      <c r="A160" s="6"/>
    </row>
    <row r="161" spans="1:1" x14ac:dyDescent="0.25">
      <c r="A161" s="2"/>
    </row>
    <row r="162" spans="1:1" x14ac:dyDescent="0.25">
      <c r="A162" s="4"/>
    </row>
    <row r="163" spans="1:1" x14ac:dyDescent="0.25">
      <c r="A163" s="2"/>
    </row>
    <row r="164" spans="1:1" x14ac:dyDescent="0.25">
      <c r="A164" s="3"/>
    </row>
    <row r="165" spans="1:1" x14ac:dyDescent="0.25">
      <c r="A165" s="2"/>
    </row>
    <row r="166" spans="1:1" x14ac:dyDescent="0.25">
      <c r="A166" s="4"/>
    </row>
    <row r="167" spans="1:1" x14ac:dyDescent="0.25">
      <c r="A167" s="2"/>
    </row>
    <row r="168" spans="1:1" x14ac:dyDescent="0.25">
      <c r="A168" s="3"/>
    </row>
    <row r="169" spans="1:1" x14ac:dyDescent="0.25">
      <c r="A16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E923-B71D-4B93-BD53-CCBBBE8C058B}">
  <dimension ref="A1:E169"/>
  <sheetViews>
    <sheetView workbookViewId="0">
      <selection activeCell="B2" sqref="B2:E43"/>
    </sheetView>
  </sheetViews>
  <sheetFormatPr defaultRowHeight="15" x14ac:dyDescent="0.25"/>
  <sheetData>
    <row r="1" spans="1:5" x14ac:dyDescent="0.25">
      <c r="B1">
        <v>0</v>
      </c>
      <c r="C1">
        <v>1</v>
      </c>
      <c r="D1">
        <v>2</v>
      </c>
      <c r="E1">
        <v>3</v>
      </c>
    </row>
    <row r="2" spans="1:5" x14ac:dyDescent="0.25">
      <c r="A2" s="1">
        <v>1984</v>
      </c>
      <c r="B2">
        <f>4/1000</f>
        <v>4.0000000000000001E-3</v>
      </c>
      <c r="C2">
        <f>25/1000</f>
        <v>2.5000000000000001E-2</v>
      </c>
      <c r="D2">
        <f>40/1000</f>
        <v>0.04</v>
      </c>
      <c r="E2">
        <f>60/1000</f>
        <v>0.06</v>
      </c>
    </row>
    <row r="3" spans="1:5" x14ac:dyDescent="0.25">
      <c r="A3" s="2">
        <v>1985</v>
      </c>
      <c r="B3">
        <f t="shared" ref="B3:B43" si="0">4/1000</f>
        <v>4.0000000000000001E-3</v>
      </c>
      <c r="C3">
        <f t="shared" ref="C3:C43" si="1">25/1000</f>
        <v>2.5000000000000001E-2</v>
      </c>
      <c r="D3">
        <f t="shared" ref="D3:D43" si="2">40/1000</f>
        <v>0.04</v>
      </c>
      <c r="E3">
        <f t="shared" ref="E3:E43" si="3">60/1000</f>
        <v>0.06</v>
      </c>
    </row>
    <row r="4" spans="1:5" x14ac:dyDescent="0.25">
      <c r="A4" s="1">
        <v>1986</v>
      </c>
      <c r="B4">
        <f t="shared" si="0"/>
        <v>4.0000000000000001E-3</v>
      </c>
      <c r="C4">
        <f t="shared" si="1"/>
        <v>2.5000000000000001E-2</v>
      </c>
      <c r="D4">
        <f t="shared" si="2"/>
        <v>0.04</v>
      </c>
      <c r="E4">
        <f t="shared" si="3"/>
        <v>0.06</v>
      </c>
    </row>
    <row r="5" spans="1:5" x14ac:dyDescent="0.25">
      <c r="A5" s="2">
        <v>1987</v>
      </c>
      <c r="B5">
        <f t="shared" si="0"/>
        <v>4.0000000000000001E-3</v>
      </c>
      <c r="C5">
        <f t="shared" si="1"/>
        <v>2.5000000000000001E-2</v>
      </c>
      <c r="D5">
        <f t="shared" si="2"/>
        <v>0.04</v>
      </c>
      <c r="E5">
        <f t="shared" si="3"/>
        <v>0.06</v>
      </c>
    </row>
    <row r="6" spans="1:5" x14ac:dyDescent="0.25">
      <c r="A6" s="1">
        <v>1988</v>
      </c>
      <c r="B6">
        <f t="shared" si="0"/>
        <v>4.0000000000000001E-3</v>
      </c>
      <c r="C6">
        <f t="shared" si="1"/>
        <v>2.5000000000000001E-2</v>
      </c>
      <c r="D6">
        <f t="shared" si="2"/>
        <v>0.04</v>
      </c>
      <c r="E6">
        <f t="shared" si="3"/>
        <v>0.06</v>
      </c>
    </row>
    <row r="7" spans="1:5" x14ac:dyDescent="0.25">
      <c r="A7" s="2">
        <v>1989</v>
      </c>
      <c r="B7">
        <f t="shared" si="0"/>
        <v>4.0000000000000001E-3</v>
      </c>
      <c r="C7">
        <f t="shared" si="1"/>
        <v>2.5000000000000001E-2</v>
      </c>
      <c r="D7">
        <f t="shared" si="2"/>
        <v>0.04</v>
      </c>
      <c r="E7">
        <f t="shared" si="3"/>
        <v>0.06</v>
      </c>
    </row>
    <row r="8" spans="1:5" x14ac:dyDescent="0.25">
      <c r="A8" s="1">
        <v>1990</v>
      </c>
      <c r="B8">
        <f t="shared" si="0"/>
        <v>4.0000000000000001E-3</v>
      </c>
      <c r="C8">
        <f t="shared" si="1"/>
        <v>2.5000000000000001E-2</v>
      </c>
      <c r="D8">
        <f t="shared" si="2"/>
        <v>0.04</v>
      </c>
      <c r="E8">
        <f t="shared" si="3"/>
        <v>0.06</v>
      </c>
    </row>
    <row r="9" spans="1:5" x14ac:dyDescent="0.25">
      <c r="A9" s="2">
        <v>1991</v>
      </c>
      <c r="B9">
        <f t="shared" si="0"/>
        <v>4.0000000000000001E-3</v>
      </c>
      <c r="C9">
        <f t="shared" si="1"/>
        <v>2.5000000000000001E-2</v>
      </c>
      <c r="D9">
        <f t="shared" si="2"/>
        <v>0.04</v>
      </c>
      <c r="E9">
        <f t="shared" si="3"/>
        <v>0.06</v>
      </c>
    </row>
    <row r="10" spans="1:5" x14ac:dyDescent="0.25">
      <c r="A10" s="1">
        <v>1992</v>
      </c>
      <c r="B10">
        <f t="shared" si="0"/>
        <v>4.0000000000000001E-3</v>
      </c>
      <c r="C10">
        <f t="shared" si="1"/>
        <v>2.5000000000000001E-2</v>
      </c>
      <c r="D10">
        <f t="shared" si="2"/>
        <v>0.04</v>
      </c>
      <c r="E10">
        <f t="shared" si="3"/>
        <v>0.06</v>
      </c>
    </row>
    <row r="11" spans="1:5" x14ac:dyDescent="0.25">
      <c r="A11" s="2">
        <v>1993</v>
      </c>
      <c r="B11">
        <f t="shared" si="0"/>
        <v>4.0000000000000001E-3</v>
      </c>
      <c r="C11">
        <f t="shared" si="1"/>
        <v>2.5000000000000001E-2</v>
      </c>
      <c r="D11">
        <f t="shared" si="2"/>
        <v>0.04</v>
      </c>
      <c r="E11">
        <f t="shared" si="3"/>
        <v>0.06</v>
      </c>
    </row>
    <row r="12" spans="1:5" x14ac:dyDescent="0.25">
      <c r="A12" s="1">
        <v>1994</v>
      </c>
      <c r="B12">
        <f t="shared" si="0"/>
        <v>4.0000000000000001E-3</v>
      </c>
      <c r="C12">
        <f t="shared" si="1"/>
        <v>2.5000000000000001E-2</v>
      </c>
      <c r="D12">
        <f t="shared" si="2"/>
        <v>0.04</v>
      </c>
      <c r="E12">
        <f t="shared" si="3"/>
        <v>0.06</v>
      </c>
    </row>
    <row r="13" spans="1:5" x14ac:dyDescent="0.25">
      <c r="A13" s="2">
        <v>1995</v>
      </c>
      <c r="B13">
        <f t="shared" si="0"/>
        <v>4.0000000000000001E-3</v>
      </c>
      <c r="C13">
        <f t="shared" si="1"/>
        <v>2.5000000000000001E-2</v>
      </c>
      <c r="D13">
        <f t="shared" si="2"/>
        <v>0.04</v>
      </c>
      <c r="E13">
        <f t="shared" si="3"/>
        <v>0.06</v>
      </c>
    </row>
    <row r="14" spans="1:5" x14ac:dyDescent="0.25">
      <c r="A14" s="1">
        <v>1996</v>
      </c>
      <c r="B14">
        <f t="shared" si="0"/>
        <v>4.0000000000000001E-3</v>
      </c>
      <c r="C14">
        <f t="shared" si="1"/>
        <v>2.5000000000000001E-2</v>
      </c>
      <c r="D14">
        <f t="shared" si="2"/>
        <v>0.04</v>
      </c>
      <c r="E14">
        <f t="shared" si="3"/>
        <v>0.06</v>
      </c>
    </row>
    <row r="15" spans="1:5" x14ac:dyDescent="0.25">
      <c r="A15" s="2">
        <v>1997</v>
      </c>
      <c r="B15">
        <f t="shared" si="0"/>
        <v>4.0000000000000001E-3</v>
      </c>
      <c r="C15">
        <f t="shared" si="1"/>
        <v>2.5000000000000001E-2</v>
      </c>
      <c r="D15">
        <f t="shared" si="2"/>
        <v>0.04</v>
      </c>
      <c r="E15">
        <f t="shared" si="3"/>
        <v>0.06</v>
      </c>
    </row>
    <row r="16" spans="1:5" x14ac:dyDescent="0.25">
      <c r="A16" s="1">
        <v>1998</v>
      </c>
      <c r="B16">
        <f t="shared" si="0"/>
        <v>4.0000000000000001E-3</v>
      </c>
      <c r="C16">
        <f t="shared" si="1"/>
        <v>2.5000000000000001E-2</v>
      </c>
      <c r="D16">
        <f t="shared" si="2"/>
        <v>0.04</v>
      </c>
      <c r="E16">
        <f t="shared" si="3"/>
        <v>0.06</v>
      </c>
    </row>
    <row r="17" spans="1:5" x14ac:dyDescent="0.25">
      <c r="A17" s="2">
        <v>1999</v>
      </c>
      <c r="B17">
        <f t="shared" si="0"/>
        <v>4.0000000000000001E-3</v>
      </c>
      <c r="C17">
        <f t="shared" si="1"/>
        <v>2.5000000000000001E-2</v>
      </c>
      <c r="D17">
        <f t="shared" si="2"/>
        <v>0.04</v>
      </c>
      <c r="E17">
        <f t="shared" si="3"/>
        <v>0.06</v>
      </c>
    </row>
    <row r="18" spans="1:5" x14ac:dyDescent="0.25">
      <c r="A18" s="1">
        <v>2000</v>
      </c>
      <c r="B18">
        <f t="shared" si="0"/>
        <v>4.0000000000000001E-3</v>
      </c>
      <c r="C18">
        <f t="shared" si="1"/>
        <v>2.5000000000000001E-2</v>
      </c>
      <c r="D18">
        <f t="shared" si="2"/>
        <v>0.04</v>
      </c>
      <c r="E18">
        <f t="shared" si="3"/>
        <v>0.06</v>
      </c>
    </row>
    <row r="19" spans="1:5" x14ac:dyDescent="0.25">
      <c r="A19" s="2">
        <v>2001</v>
      </c>
      <c r="B19">
        <f t="shared" si="0"/>
        <v>4.0000000000000001E-3</v>
      </c>
      <c r="C19">
        <f t="shared" si="1"/>
        <v>2.5000000000000001E-2</v>
      </c>
      <c r="D19">
        <f t="shared" si="2"/>
        <v>0.04</v>
      </c>
      <c r="E19">
        <f t="shared" si="3"/>
        <v>0.06</v>
      </c>
    </row>
    <row r="20" spans="1:5" x14ac:dyDescent="0.25">
      <c r="A20" s="1">
        <v>2002</v>
      </c>
      <c r="B20">
        <f t="shared" si="0"/>
        <v>4.0000000000000001E-3</v>
      </c>
      <c r="C20">
        <f t="shared" si="1"/>
        <v>2.5000000000000001E-2</v>
      </c>
      <c r="D20">
        <f t="shared" si="2"/>
        <v>0.04</v>
      </c>
      <c r="E20">
        <f t="shared" si="3"/>
        <v>0.06</v>
      </c>
    </row>
    <row r="21" spans="1:5" x14ac:dyDescent="0.25">
      <c r="A21" s="2">
        <v>2003</v>
      </c>
      <c r="B21">
        <f t="shared" si="0"/>
        <v>4.0000000000000001E-3</v>
      </c>
      <c r="C21">
        <f t="shared" si="1"/>
        <v>2.5000000000000001E-2</v>
      </c>
      <c r="D21">
        <f t="shared" si="2"/>
        <v>0.04</v>
      </c>
      <c r="E21">
        <f t="shared" si="3"/>
        <v>0.06</v>
      </c>
    </row>
    <row r="22" spans="1:5" x14ac:dyDescent="0.25">
      <c r="A22" s="1">
        <v>2004</v>
      </c>
      <c r="B22">
        <f t="shared" si="0"/>
        <v>4.0000000000000001E-3</v>
      </c>
      <c r="C22">
        <f t="shared" si="1"/>
        <v>2.5000000000000001E-2</v>
      </c>
      <c r="D22">
        <f t="shared" si="2"/>
        <v>0.04</v>
      </c>
      <c r="E22">
        <f t="shared" si="3"/>
        <v>0.06</v>
      </c>
    </row>
    <row r="23" spans="1:5" x14ac:dyDescent="0.25">
      <c r="A23" s="2">
        <v>2005</v>
      </c>
      <c r="B23">
        <f t="shared" si="0"/>
        <v>4.0000000000000001E-3</v>
      </c>
      <c r="C23">
        <f t="shared" si="1"/>
        <v>2.5000000000000001E-2</v>
      </c>
      <c r="D23">
        <f t="shared" si="2"/>
        <v>0.04</v>
      </c>
      <c r="E23">
        <f t="shared" si="3"/>
        <v>0.06</v>
      </c>
    </row>
    <row r="24" spans="1:5" x14ac:dyDescent="0.25">
      <c r="A24" s="1">
        <v>2006</v>
      </c>
      <c r="B24">
        <f t="shared" si="0"/>
        <v>4.0000000000000001E-3</v>
      </c>
      <c r="C24">
        <f t="shared" si="1"/>
        <v>2.5000000000000001E-2</v>
      </c>
      <c r="D24">
        <f t="shared" si="2"/>
        <v>0.04</v>
      </c>
      <c r="E24">
        <f t="shared" si="3"/>
        <v>0.06</v>
      </c>
    </row>
    <row r="25" spans="1:5" x14ac:dyDescent="0.25">
      <c r="A25" s="2">
        <v>2007</v>
      </c>
      <c r="B25">
        <f t="shared" si="0"/>
        <v>4.0000000000000001E-3</v>
      </c>
      <c r="C25">
        <f t="shared" si="1"/>
        <v>2.5000000000000001E-2</v>
      </c>
      <c r="D25">
        <f t="shared" si="2"/>
        <v>0.04</v>
      </c>
      <c r="E25">
        <f t="shared" si="3"/>
        <v>0.06</v>
      </c>
    </row>
    <row r="26" spans="1:5" x14ac:dyDescent="0.25">
      <c r="A26" s="1">
        <v>2008</v>
      </c>
      <c r="B26">
        <f t="shared" si="0"/>
        <v>4.0000000000000001E-3</v>
      </c>
      <c r="C26">
        <f t="shared" si="1"/>
        <v>2.5000000000000001E-2</v>
      </c>
      <c r="D26">
        <f t="shared" si="2"/>
        <v>0.04</v>
      </c>
      <c r="E26">
        <f t="shared" si="3"/>
        <v>0.06</v>
      </c>
    </row>
    <row r="27" spans="1:5" x14ac:dyDescent="0.25">
      <c r="A27" s="2">
        <v>2009</v>
      </c>
      <c r="B27">
        <f t="shared" si="0"/>
        <v>4.0000000000000001E-3</v>
      </c>
      <c r="C27">
        <f t="shared" si="1"/>
        <v>2.5000000000000001E-2</v>
      </c>
      <c r="D27">
        <f t="shared" si="2"/>
        <v>0.04</v>
      </c>
      <c r="E27">
        <f t="shared" si="3"/>
        <v>0.06</v>
      </c>
    </row>
    <row r="28" spans="1:5" x14ac:dyDescent="0.25">
      <c r="A28" s="1">
        <v>2010</v>
      </c>
      <c r="B28">
        <f t="shared" si="0"/>
        <v>4.0000000000000001E-3</v>
      </c>
      <c r="C28">
        <f t="shared" si="1"/>
        <v>2.5000000000000001E-2</v>
      </c>
      <c r="D28">
        <f t="shared" si="2"/>
        <v>0.04</v>
      </c>
      <c r="E28">
        <f t="shared" si="3"/>
        <v>0.06</v>
      </c>
    </row>
    <row r="29" spans="1:5" x14ac:dyDescent="0.25">
      <c r="A29" s="2">
        <v>2011</v>
      </c>
      <c r="B29">
        <f t="shared" si="0"/>
        <v>4.0000000000000001E-3</v>
      </c>
      <c r="C29">
        <f t="shared" si="1"/>
        <v>2.5000000000000001E-2</v>
      </c>
      <c r="D29">
        <f t="shared" si="2"/>
        <v>0.04</v>
      </c>
      <c r="E29">
        <f t="shared" si="3"/>
        <v>0.06</v>
      </c>
    </row>
    <row r="30" spans="1:5" x14ac:dyDescent="0.25">
      <c r="A30" s="1">
        <v>2012</v>
      </c>
      <c r="B30">
        <f t="shared" si="0"/>
        <v>4.0000000000000001E-3</v>
      </c>
      <c r="C30">
        <f t="shared" si="1"/>
        <v>2.5000000000000001E-2</v>
      </c>
      <c r="D30">
        <f t="shared" si="2"/>
        <v>0.04</v>
      </c>
      <c r="E30">
        <f t="shared" si="3"/>
        <v>0.06</v>
      </c>
    </row>
    <row r="31" spans="1:5" x14ac:dyDescent="0.25">
      <c r="A31" s="2">
        <v>2013</v>
      </c>
      <c r="B31">
        <f t="shared" si="0"/>
        <v>4.0000000000000001E-3</v>
      </c>
      <c r="C31">
        <f t="shared" si="1"/>
        <v>2.5000000000000001E-2</v>
      </c>
      <c r="D31">
        <f t="shared" si="2"/>
        <v>0.04</v>
      </c>
      <c r="E31">
        <f t="shared" si="3"/>
        <v>0.06</v>
      </c>
    </row>
    <row r="32" spans="1:5" x14ac:dyDescent="0.25">
      <c r="A32" s="1">
        <v>2014</v>
      </c>
      <c r="B32">
        <f t="shared" si="0"/>
        <v>4.0000000000000001E-3</v>
      </c>
      <c r="C32">
        <f t="shared" si="1"/>
        <v>2.5000000000000001E-2</v>
      </c>
      <c r="D32">
        <f t="shared" si="2"/>
        <v>0.04</v>
      </c>
      <c r="E32">
        <f t="shared" si="3"/>
        <v>0.06</v>
      </c>
    </row>
    <row r="33" spans="1:5" x14ac:dyDescent="0.25">
      <c r="A33" s="2">
        <v>2015</v>
      </c>
      <c r="B33">
        <f t="shared" si="0"/>
        <v>4.0000000000000001E-3</v>
      </c>
      <c r="C33">
        <f t="shared" si="1"/>
        <v>2.5000000000000001E-2</v>
      </c>
      <c r="D33">
        <f t="shared" si="2"/>
        <v>0.04</v>
      </c>
      <c r="E33">
        <f t="shared" si="3"/>
        <v>0.06</v>
      </c>
    </row>
    <row r="34" spans="1:5" x14ac:dyDescent="0.25">
      <c r="A34" s="1">
        <v>2016</v>
      </c>
      <c r="B34">
        <f t="shared" si="0"/>
        <v>4.0000000000000001E-3</v>
      </c>
      <c r="C34">
        <f t="shared" si="1"/>
        <v>2.5000000000000001E-2</v>
      </c>
      <c r="D34">
        <f t="shared" si="2"/>
        <v>0.04</v>
      </c>
      <c r="E34">
        <f t="shared" si="3"/>
        <v>0.06</v>
      </c>
    </row>
    <row r="35" spans="1:5" x14ac:dyDescent="0.25">
      <c r="A35" s="2">
        <v>2017</v>
      </c>
      <c r="B35">
        <f t="shared" si="0"/>
        <v>4.0000000000000001E-3</v>
      </c>
      <c r="C35">
        <f t="shared" si="1"/>
        <v>2.5000000000000001E-2</v>
      </c>
      <c r="D35">
        <f t="shared" si="2"/>
        <v>0.04</v>
      </c>
      <c r="E35">
        <f t="shared" si="3"/>
        <v>0.06</v>
      </c>
    </row>
    <row r="36" spans="1:5" x14ac:dyDescent="0.25">
      <c r="A36" s="1">
        <v>2018</v>
      </c>
      <c r="B36">
        <f t="shared" si="0"/>
        <v>4.0000000000000001E-3</v>
      </c>
      <c r="C36">
        <f t="shared" si="1"/>
        <v>2.5000000000000001E-2</v>
      </c>
      <c r="D36">
        <f t="shared" si="2"/>
        <v>0.04</v>
      </c>
      <c r="E36">
        <f t="shared" si="3"/>
        <v>0.06</v>
      </c>
    </row>
    <row r="37" spans="1:5" x14ac:dyDescent="0.25">
      <c r="A37" s="2">
        <v>2019</v>
      </c>
      <c r="B37">
        <f t="shared" si="0"/>
        <v>4.0000000000000001E-3</v>
      </c>
      <c r="C37">
        <f t="shared" si="1"/>
        <v>2.5000000000000001E-2</v>
      </c>
      <c r="D37">
        <f t="shared" si="2"/>
        <v>0.04</v>
      </c>
      <c r="E37">
        <f t="shared" si="3"/>
        <v>0.06</v>
      </c>
    </row>
    <row r="38" spans="1:5" x14ac:dyDescent="0.25">
      <c r="A38" s="1">
        <v>2020</v>
      </c>
      <c r="B38">
        <f t="shared" si="0"/>
        <v>4.0000000000000001E-3</v>
      </c>
      <c r="C38">
        <f t="shared" si="1"/>
        <v>2.5000000000000001E-2</v>
      </c>
      <c r="D38">
        <f t="shared" si="2"/>
        <v>0.04</v>
      </c>
      <c r="E38">
        <f t="shared" si="3"/>
        <v>0.06</v>
      </c>
    </row>
    <row r="39" spans="1:5" x14ac:dyDescent="0.25">
      <c r="A39" s="2">
        <v>2021</v>
      </c>
      <c r="B39">
        <f t="shared" si="0"/>
        <v>4.0000000000000001E-3</v>
      </c>
      <c r="C39">
        <f t="shared" si="1"/>
        <v>2.5000000000000001E-2</v>
      </c>
      <c r="D39">
        <f t="shared" si="2"/>
        <v>0.04</v>
      </c>
      <c r="E39">
        <f t="shared" si="3"/>
        <v>0.06</v>
      </c>
    </row>
    <row r="40" spans="1:5" x14ac:dyDescent="0.25">
      <c r="A40" s="1">
        <v>2022</v>
      </c>
      <c r="B40">
        <f t="shared" si="0"/>
        <v>4.0000000000000001E-3</v>
      </c>
      <c r="C40">
        <f t="shared" si="1"/>
        <v>2.5000000000000001E-2</v>
      </c>
      <c r="D40">
        <f t="shared" si="2"/>
        <v>0.04</v>
      </c>
      <c r="E40">
        <f t="shared" si="3"/>
        <v>0.06</v>
      </c>
    </row>
    <row r="41" spans="1:5" x14ac:dyDescent="0.25">
      <c r="A41" s="2">
        <v>2023</v>
      </c>
      <c r="B41">
        <f t="shared" si="0"/>
        <v>4.0000000000000001E-3</v>
      </c>
      <c r="C41">
        <f t="shared" si="1"/>
        <v>2.5000000000000001E-2</v>
      </c>
      <c r="D41">
        <f t="shared" si="2"/>
        <v>0.04</v>
      </c>
      <c r="E41">
        <f t="shared" si="3"/>
        <v>0.06</v>
      </c>
    </row>
    <row r="42" spans="1:5" x14ac:dyDescent="0.25">
      <c r="A42" s="1">
        <v>2024</v>
      </c>
      <c r="B42">
        <f t="shared" si="0"/>
        <v>4.0000000000000001E-3</v>
      </c>
      <c r="C42">
        <f t="shared" si="1"/>
        <v>2.5000000000000001E-2</v>
      </c>
      <c r="D42">
        <f t="shared" si="2"/>
        <v>0.04</v>
      </c>
      <c r="E42">
        <f t="shared" si="3"/>
        <v>0.06</v>
      </c>
    </row>
    <row r="43" spans="1:5" x14ac:dyDescent="0.25">
      <c r="A43" s="2">
        <v>2025</v>
      </c>
      <c r="B43">
        <f t="shared" si="0"/>
        <v>4.0000000000000001E-3</v>
      </c>
      <c r="C43">
        <f t="shared" si="1"/>
        <v>2.5000000000000001E-2</v>
      </c>
      <c r="D43">
        <f t="shared" si="2"/>
        <v>0.04</v>
      </c>
      <c r="E43">
        <f t="shared" si="3"/>
        <v>0.06</v>
      </c>
    </row>
    <row r="44" spans="1:5" x14ac:dyDescent="0.25">
      <c r="A44" s="1"/>
    </row>
    <row r="45" spans="1:5" x14ac:dyDescent="0.25">
      <c r="A45" s="2"/>
    </row>
    <row r="46" spans="1:5" x14ac:dyDescent="0.25">
      <c r="A46" s="4"/>
    </row>
    <row r="47" spans="1:5" x14ac:dyDescent="0.25">
      <c r="A47" s="2"/>
    </row>
    <row r="48" spans="1:5" x14ac:dyDescent="0.25">
      <c r="A48" s="3"/>
    </row>
    <row r="49" spans="1:1" x14ac:dyDescent="0.25">
      <c r="A49" s="2"/>
    </row>
    <row r="50" spans="1:1" x14ac:dyDescent="0.25">
      <c r="A50" s="4"/>
    </row>
    <row r="51" spans="1:1" x14ac:dyDescent="0.25">
      <c r="A51" s="2"/>
    </row>
    <row r="52" spans="1:1" x14ac:dyDescent="0.25">
      <c r="A52" s="3"/>
    </row>
    <row r="53" spans="1:1" x14ac:dyDescent="0.25">
      <c r="A53" s="2"/>
    </row>
    <row r="54" spans="1:1" x14ac:dyDescent="0.25">
      <c r="A54" s="4"/>
    </row>
    <row r="55" spans="1:1" x14ac:dyDescent="0.25">
      <c r="A55" s="2"/>
    </row>
    <row r="56" spans="1:1" x14ac:dyDescent="0.25">
      <c r="A56" s="3"/>
    </row>
    <row r="57" spans="1:1" x14ac:dyDescent="0.25">
      <c r="A57" s="2"/>
    </row>
    <row r="58" spans="1:1" x14ac:dyDescent="0.25">
      <c r="A58" s="4"/>
    </row>
    <row r="59" spans="1:1" x14ac:dyDescent="0.25">
      <c r="A59" s="2"/>
    </row>
    <row r="60" spans="1:1" x14ac:dyDescent="0.25">
      <c r="A60" s="3"/>
    </row>
    <row r="61" spans="1:1" x14ac:dyDescent="0.25">
      <c r="A61" s="2"/>
    </row>
    <row r="62" spans="1:1" x14ac:dyDescent="0.25">
      <c r="A62" s="4"/>
    </row>
    <row r="63" spans="1:1" x14ac:dyDescent="0.25">
      <c r="A63" s="2"/>
    </row>
    <row r="64" spans="1:1" x14ac:dyDescent="0.25">
      <c r="A64" s="3"/>
    </row>
    <row r="65" spans="1:1" x14ac:dyDescent="0.25">
      <c r="A65" s="2"/>
    </row>
    <row r="66" spans="1:1" x14ac:dyDescent="0.25">
      <c r="A66" s="4"/>
    </row>
    <row r="67" spans="1:1" x14ac:dyDescent="0.25">
      <c r="A67" s="2"/>
    </row>
    <row r="68" spans="1:1" x14ac:dyDescent="0.25">
      <c r="A68" s="3"/>
    </row>
    <row r="69" spans="1:1" x14ac:dyDescent="0.25">
      <c r="A69" s="2"/>
    </row>
    <row r="70" spans="1:1" x14ac:dyDescent="0.25">
      <c r="A70" s="4"/>
    </row>
    <row r="71" spans="1:1" x14ac:dyDescent="0.25">
      <c r="A71" s="2"/>
    </row>
    <row r="72" spans="1:1" x14ac:dyDescent="0.25">
      <c r="A72" s="7"/>
    </row>
    <row r="73" spans="1:1" x14ac:dyDescent="0.25">
      <c r="A73" s="8"/>
    </row>
    <row r="74" spans="1:1" x14ac:dyDescent="0.25">
      <c r="A74" s="4"/>
    </row>
    <row r="75" spans="1:1" x14ac:dyDescent="0.25">
      <c r="A75" s="2"/>
    </row>
    <row r="76" spans="1:1" x14ac:dyDescent="0.25">
      <c r="A76" s="3"/>
    </row>
    <row r="77" spans="1:1" x14ac:dyDescent="0.25">
      <c r="A77" s="2"/>
    </row>
    <row r="78" spans="1:1" x14ac:dyDescent="0.25">
      <c r="A78" s="4"/>
    </row>
    <row r="79" spans="1:1" x14ac:dyDescent="0.25">
      <c r="A79" s="2"/>
    </row>
    <row r="80" spans="1:1" x14ac:dyDescent="0.25">
      <c r="A80" s="3"/>
    </row>
    <row r="81" spans="1:1" x14ac:dyDescent="0.25">
      <c r="A81" s="2"/>
    </row>
    <row r="82" spans="1:1" x14ac:dyDescent="0.25">
      <c r="A82" s="4"/>
    </row>
    <row r="83" spans="1:1" x14ac:dyDescent="0.25">
      <c r="A83" s="2"/>
    </row>
    <row r="84" spans="1:1" x14ac:dyDescent="0.25">
      <c r="A84" s="3"/>
    </row>
    <row r="85" spans="1:1" x14ac:dyDescent="0.25">
      <c r="A85" s="2"/>
    </row>
    <row r="86" spans="1:1" x14ac:dyDescent="0.25">
      <c r="A86" s="4"/>
    </row>
    <row r="87" spans="1:1" x14ac:dyDescent="0.25">
      <c r="A87" s="2"/>
    </row>
    <row r="88" spans="1:1" x14ac:dyDescent="0.25">
      <c r="A88" s="3"/>
    </row>
    <row r="89" spans="1:1" x14ac:dyDescent="0.25">
      <c r="A89" s="2"/>
    </row>
    <row r="90" spans="1:1" x14ac:dyDescent="0.25">
      <c r="A90" s="4"/>
    </row>
    <row r="91" spans="1:1" x14ac:dyDescent="0.25">
      <c r="A91" s="2"/>
    </row>
    <row r="92" spans="1:1" x14ac:dyDescent="0.25">
      <c r="A92" s="3"/>
    </row>
    <row r="93" spans="1:1" x14ac:dyDescent="0.25">
      <c r="A93" s="2"/>
    </row>
    <row r="94" spans="1:1" x14ac:dyDescent="0.25">
      <c r="A94" s="4"/>
    </row>
    <row r="95" spans="1:1" x14ac:dyDescent="0.25">
      <c r="A95" s="2"/>
    </row>
    <row r="96" spans="1:1" x14ac:dyDescent="0.25">
      <c r="A96" s="3"/>
    </row>
    <row r="97" spans="1:1" x14ac:dyDescent="0.25">
      <c r="A97" s="2"/>
    </row>
    <row r="98" spans="1:1" x14ac:dyDescent="0.25">
      <c r="A98" s="4"/>
    </row>
    <row r="99" spans="1:1" x14ac:dyDescent="0.25">
      <c r="A99" s="2"/>
    </row>
    <row r="100" spans="1:1" x14ac:dyDescent="0.25">
      <c r="A100" s="3"/>
    </row>
    <row r="101" spans="1:1" x14ac:dyDescent="0.25">
      <c r="A101" s="5"/>
    </row>
    <row r="102" spans="1:1" x14ac:dyDescent="0.25">
      <c r="A102" s="1"/>
    </row>
    <row r="103" spans="1:1" x14ac:dyDescent="0.25">
      <c r="A103" s="2"/>
    </row>
    <row r="104" spans="1:1" x14ac:dyDescent="0.25">
      <c r="A104" s="3"/>
    </row>
    <row r="105" spans="1:1" x14ac:dyDescent="0.25">
      <c r="A105" s="2"/>
    </row>
    <row r="106" spans="1:1" x14ac:dyDescent="0.25">
      <c r="A106" s="4"/>
    </row>
    <row r="107" spans="1:1" x14ac:dyDescent="0.25">
      <c r="A107" s="2"/>
    </row>
    <row r="108" spans="1:1" x14ac:dyDescent="0.25">
      <c r="A108" s="3"/>
    </row>
    <row r="109" spans="1:1" x14ac:dyDescent="0.25">
      <c r="A109" s="2"/>
    </row>
    <row r="110" spans="1:1" x14ac:dyDescent="0.25">
      <c r="A110" s="4"/>
    </row>
    <row r="111" spans="1:1" x14ac:dyDescent="0.25">
      <c r="A111" s="2"/>
    </row>
    <row r="112" spans="1:1" x14ac:dyDescent="0.25">
      <c r="A112" s="3"/>
    </row>
    <row r="113" spans="1:1" x14ac:dyDescent="0.25">
      <c r="A113" s="2"/>
    </row>
    <row r="114" spans="1:1" x14ac:dyDescent="0.25">
      <c r="A114" s="4"/>
    </row>
    <row r="115" spans="1:1" x14ac:dyDescent="0.25">
      <c r="A115" s="2"/>
    </row>
    <row r="116" spans="1:1" x14ac:dyDescent="0.25">
      <c r="A116" s="3"/>
    </row>
    <row r="117" spans="1:1" x14ac:dyDescent="0.25">
      <c r="A117" s="2"/>
    </row>
    <row r="118" spans="1:1" x14ac:dyDescent="0.25">
      <c r="A118" s="4"/>
    </row>
    <row r="119" spans="1:1" x14ac:dyDescent="0.25">
      <c r="A119" s="2"/>
    </row>
    <row r="120" spans="1:1" x14ac:dyDescent="0.25">
      <c r="A120" s="3"/>
    </row>
    <row r="121" spans="1:1" x14ac:dyDescent="0.25">
      <c r="A121" s="2"/>
    </row>
    <row r="122" spans="1:1" x14ac:dyDescent="0.25">
      <c r="A122" s="4"/>
    </row>
    <row r="123" spans="1:1" x14ac:dyDescent="0.25">
      <c r="A123" s="2"/>
    </row>
    <row r="124" spans="1:1" x14ac:dyDescent="0.25">
      <c r="A124" s="3"/>
    </row>
    <row r="125" spans="1:1" x14ac:dyDescent="0.25">
      <c r="A125" s="2"/>
    </row>
    <row r="126" spans="1:1" x14ac:dyDescent="0.25">
      <c r="A126" s="4"/>
    </row>
    <row r="127" spans="1:1" x14ac:dyDescent="0.25">
      <c r="A127" s="2"/>
    </row>
    <row r="128" spans="1:1" x14ac:dyDescent="0.25">
      <c r="A128" s="3"/>
    </row>
    <row r="129" spans="1:1" x14ac:dyDescent="0.25">
      <c r="A129" s="2"/>
    </row>
    <row r="130" spans="1:1" x14ac:dyDescent="0.25">
      <c r="A130" s="9"/>
    </row>
    <row r="131" spans="1:1" x14ac:dyDescent="0.25">
      <c r="A131" s="8"/>
    </row>
    <row r="132" spans="1:1" x14ac:dyDescent="0.25">
      <c r="A132" s="3"/>
    </row>
    <row r="133" spans="1:1" x14ac:dyDescent="0.25">
      <c r="A133" s="2"/>
    </row>
    <row r="134" spans="1:1" x14ac:dyDescent="0.25">
      <c r="A134" s="4"/>
    </row>
    <row r="135" spans="1:1" x14ac:dyDescent="0.25">
      <c r="A135" s="2"/>
    </row>
    <row r="136" spans="1:1" x14ac:dyDescent="0.25">
      <c r="A136" s="3"/>
    </row>
    <row r="137" spans="1:1" x14ac:dyDescent="0.25">
      <c r="A137" s="2"/>
    </row>
    <row r="138" spans="1:1" x14ac:dyDescent="0.25">
      <c r="A138" s="4"/>
    </row>
    <row r="139" spans="1:1" x14ac:dyDescent="0.25">
      <c r="A139" s="2"/>
    </row>
    <row r="140" spans="1:1" x14ac:dyDescent="0.25">
      <c r="A140" s="3"/>
    </row>
    <row r="141" spans="1:1" x14ac:dyDescent="0.25">
      <c r="A141" s="2"/>
    </row>
    <row r="142" spans="1:1" x14ac:dyDescent="0.25">
      <c r="A142" s="4"/>
    </row>
    <row r="143" spans="1:1" x14ac:dyDescent="0.25">
      <c r="A143" s="2"/>
    </row>
    <row r="144" spans="1:1" x14ac:dyDescent="0.25">
      <c r="A144" s="3"/>
    </row>
    <row r="145" spans="1:1" x14ac:dyDescent="0.25">
      <c r="A145" s="2"/>
    </row>
    <row r="146" spans="1:1" x14ac:dyDescent="0.25">
      <c r="A146" s="4"/>
    </row>
    <row r="147" spans="1:1" x14ac:dyDescent="0.25">
      <c r="A147" s="2"/>
    </row>
    <row r="148" spans="1:1" x14ac:dyDescent="0.25">
      <c r="A148" s="3"/>
    </row>
    <row r="149" spans="1:1" x14ac:dyDescent="0.25">
      <c r="A149" s="2"/>
    </row>
    <row r="150" spans="1:1" x14ac:dyDescent="0.25">
      <c r="A150" s="4"/>
    </row>
    <row r="151" spans="1:1" x14ac:dyDescent="0.25">
      <c r="A151" s="2"/>
    </row>
    <row r="152" spans="1:1" x14ac:dyDescent="0.25">
      <c r="A152" s="3"/>
    </row>
    <row r="153" spans="1:1" x14ac:dyDescent="0.25">
      <c r="A153" s="2"/>
    </row>
    <row r="154" spans="1:1" x14ac:dyDescent="0.25">
      <c r="A154" s="4"/>
    </row>
    <row r="155" spans="1:1" x14ac:dyDescent="0.25">
      <c r="A155" s="2"/>
    </row>
    <row r="156" spans="1:1" x14ac:dyDescent="0.25">
      <c r="A156" s="3"/>
    </row>
    <row r="157" spans="1:1" x14ac:dyDescent="0.25">
      <c r="A157" s="2"/>
    </row>
    <row r="158" spans="1:1" x14ac:dyDescent="0.25">
      <c r="A158" s="4"/>
    </row>
    <row r="159" spans="1:1" x14ac:dyDescent="0.25">
      <c r="A159" s="5"/>
    </row>
    <row r="160" spans="1:1" x14ac:dyDescent="0.25">
      <c r="A160" s="6"/>
    </row>
    <row r="161" spans="1:1" x14ac:dyDescent="0.25">
      <c r="A161" s="2"/>
    </row>
    <row r="162" spans="1:1" x14ac:dyDescent="0.25">
      <c r="A162" s="4"/>
    </row>
    <row r="163" spans="1:1" x14ac:dyDescent="0.25">
      <c r="A163" s="2"/>
    </row>
    <row r="164" spans="1:1" x14ac:dyDescent="0.25">
      <c r="A164" s="3"/>
    </row>
    <row r="165" spans="1:1" x14ac:dyDescent="0.25">
      <c r="A165" s="2"/>
    </row>
    <row r="166" spans="1:1" x14ac:dyDescent="0.25">
      <c r="A166" s="4"/>
    </row>
    <row r="167" spans="1:1" x14ac:dyDescent="0.25">
      <c r="A167" s="2"/>
    </row>
    <row r="168" spans="1:1" x14ac:dyDescent="0.25">
      <c r="A168" s="3"/>
    </row>
    <row r="169" spans="1:1" x14ac:dyDescent="0.25">
      <c r="A16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4EDD-C579-4F29-AD71-4EDF0D2F723F}">
  <dimension ref="A1:E169"/>
  <sheetViews>
    <sheetView workbookViewId="0">
      <selection activeCell="C2" sqref="C2:E43"/>
    </sheetView>
  </sheetViews>
  <sheetFormatPr defaultRowHeight="15" x14ac:dyDescent="0.25"/>
  <sheetData>
    <row r="1" spans="1:5" x14ac:dyDescent="0.25">
      <c r="B1">
        <v>0</v>
      </c>
      <c r="C1">
        <v>1</v>
      </c>
      <c r="D1">
        <v>2</v>
      </c>
      <c r="E1">
        <v>3</v>
      </c>
    </row>
    <row r="2" spans="1:5" x14ac:dyDescent="0.25">
      <c r="A2" s="1">
        <v>1984</v>
      </c>
      <c r="B2">
        <f>0.29*4</f>
        <v>1.1599999999999999</v>
      </c>
      <c r="C2">
        <f>0.29*4</f>
        <v>1.1599999999999999</v>
      </c>
      <c r="D2">
        <f>4*0.39</f>
        <v>1.56</v>
      </c>
      <c r="E2">
        <f>0.44*4</f>
        <v>1.76</v>
      </c>
    </row>
    <row r="3" spans="1:5" x14ac:dyDescent="0.25">
      <c r="A3" s="2">
        <v>1985</v>
      </c>
      <c r="B3">
        <f t="shared" ref="B3:C43" si="0">0.29*4</f>
        <v>1.1599999999999999</v>
      </c>
      <c r="C3">
        <f t="shared" si="0"/>
        <v>1.1599999999999999</v>
      </c>
      <c r="D3">
        <f t="shared" ref="D3:D43" si="1">4*0.39</f>
        <v>1.56</v>
      </c>
      <c r="E3">
        <f t="shared" ref="E3:E43" si="2">0.44*4</f>
        <v>1.76</v>
      </c>
    </row>
    <row r="4" spans="1:5" x14ac:dyDescent="0.25">
      <c r="A4" s="1">
        <v>1986</v>
      </c>
      <c r="B4">
        <f t="shared" si="0"/>
        <v>1.1599999999999999</v>
      </c>
      <c r="C4">
        <f t="shared" si="0"/>
        <v>1.1599999999999999</v>
      </c>
      <c r="D4">
        <f t="shared" si="1"/>
        <v>1.56</v>
      </c>
      <c r="E4">
        <f t="shared" si="2"/>
        <v>1.76</v>
      </c>
    </row>
    <row r="5" spans="1:5" x14ac:dyDescent="0.25">
      <c r="A5" s="2">
        <v>1987</v>
      </c>
      <c r="B5">
        <f t="shared" si="0"/>
        <v>1.1599999999999999</v>
      </c>
      <c r="C5">
        <f t="shared" si="0"/>
        <v>1.1599999999999999</v>
      </c>
      <c r="D5">
        <f t="shared" si="1"/>
        <v>1.56</v>
      </c>
      <c r="E5">
        <f t="shared" si="2"/>
        <v>1.76</v>
      </c>
    </row>
    <row r="6" spans="1:5" x14ac:dyDescent="0.25">
      <c r="A6" s="1">
        <v>1988</v>
      </c>
      <c r="B6">
        <f t="shared" si="0"/>
        <v>1.1599999999999999</v>
      </c>
      <c r="C6">
        <f t="shared" si="0"/>
        <v>1.1599999999999999</v>
      </c>
      <c r="D6">
        <f t="shared" si="1"/>
        <v>1.56</v>
      </c>
      <c r="E6">
        <f t="shared" si="2"/>
        <v>1.76</v>
      </c>
    </row>
    <row r="7" spans="1:5" x14ac:dyDescent="0.25">
      <c r="A7" s="2">
        <v>1989</v>
      </c>
      <c r="B7">
        <f t="shared" si="0"/>
        <v>1.1599999999999999</v>
      </c>
      <c r="C7">
        <f t="shared" si="0"/>
        <v>1.1599999999999999</v>
      </c>
      <c r="D7">
        <f t="shared" si="1"/>
        <v>1.56</v>
      </c>
      <c r="E7">
        <f t="shared" si="2"/>
        <v>1.76</v>
      </c>
    </row>
    <row r="8" spans="1:5" x14ac:dyDescent="0.25">
      <c r="A8" s="1">
        <v>1990</v>
      </c>
      <c r="B8">
        <f t="shared" si="0"/>
        <v>1.1599999999999999</v>
      </c>
      <c r="C8">
        <f t="shared" si="0"/>
        <v>1.1599999999999999</v>
      </c>
      <c r="D8">
        <f t="shared" si="1"/>
        <v>1.56</v>
      </c>
      <c r="E8">
        <f t="shared" si="2"/>
        <v>1.76</v>
      </c>
    </row>
    <row r="9" spans="1:5" x14ac:dyDescent="0.25">
      <c r="A9" s="2">
        <v>1991</v>
      </c>
      <c r="B9">
        <f t="shared" si="0"/>
        <v>1.1599999999999999</v>
      </c>
      <c r="C9">
        <f t="shared" si="0"/>
        <v>1.1599999999999999</v>
      </c>
      <c r="D9">
        <f t="shared" si="1"/>
        <v>1.56</v>
      </c>
      <c r="E9">
        <f t="shared" si="2"/>
        <v>1.76</v>
      </c>
    </row>
    <row r="10" spans="1:5" x14ac:dyDescent="0.25">
      <c r="A10" s="1">
        <v>1992</v>
      </c>
      <c r="B10">
        <f t="shared" si="0"/>
        <v>1.1599999999999999</v>
      </c>
      <c r="C10">
        <f t="shared" si="0"/>
        <v>1.1599999999999999</v>
      </c>
      <c r="D10">
        <f t="shared" si="1"/>
        <v>1.56</v>
      </c>
      <c r="E10">
        <f t="shared" si="2"/>
        <v>1.76</v>
      </c>
    </row>
    <row r="11" spans="1:5" x14ac:dyDescent="0.25">
      <c r="A11" s="2">
        <v>1993</v>
      </c>
      <c r="B11">
        <f t="shared" si="0"/>
        <v>1.1599999999999999</v>
      </c>
      <c r="C11">
        <f t="shared" si="0"/>
        <v>1.1599999999999999</v>
      </c>
      <c r="D11">
        <f t="shared" si="1"/>
        <v>1.56</v>
      </c>
      <c r="E11">
        <f t="shared" si="2"/>
        <v>1.76</v>
      </c>
    </row>
    <row r="12" spans="1:5" x14ac:dyDescent="0.25">
      <c r="A12" s="1">
        <v>1994</v>
      </c>
      <c r="B12">
        <f t="shared" si="0"/>
        <v>1.1599999999999999</v>
      </c>
      <c r="C12">
        <f t="shared" si="0"/>
        <v>1.1599999999999999</v>
      </c>
      <c r="D12">
        <f t="shared" si="1"/>
        <v>1.56</v>
      </c>
      <c r="E12">
        <f t="shared" si="2"/>
        <v>1.76</v>
      </c>
    </row>
    <row r="13" spans="1:5" x14ac:dyDescent="0.25">
      <c r="A13" s="2">
        <v>1995</v>
      </c>
      <c r="B13">
        <f t="shared" si="0"/>
        <v>1.1599999999999999</v>
      </c>
      <c r="C13">
        <f t="shared" si="0"/>
        <v>1.1599999999999999</v>
      </c>
      <c r="D13">
        <f t="shared" si="1"/>
        <v>1.56</v>
      </c>
      <c r="E13">
        <f t="shared" si="2"/>
        <v>1.76</v>
      </c>
    </row>
    <row r="14" spans="1:5" x14ac:dyDescent="0.25">
      <c r="A14" s="1">
        <v>1996</v>
      </c>
      <c r="B14">
        <f t="shared" si="0"/>
        <v>1.1599999999999999</v>
      </c>
      <c r="C14">
        <f t="shared" si="0"/>
        <v>1.1599999999999999</v>
      </c>
      <c r="D14">
        <f t="shared" si="1"/>
        <v>1.56</v>
      </c>
      <c r="E14">
        <f t="shared" si="2"/>
        <v>1.76</v>
      </c>
    </row>
    <row r="15" spans="1:5" x14ac:dyDescent="0.25">
      <c r="A15" s="2">
        <v>1997</v>
      </c>
      <c r="B15">
        <f t="shared" si="0"/>
        <v>1.1599999999999999</v>
      </c>
      <c r="C15">
        <f t="shared" si="0"/>
        <v>1.1599999999999999</v>
      </c>
      <c r="D15">
        <f t="shared" si="1"/>
        <v>1.56</v>
      </c>
      <c r="E15">
        <f t="shared" si="2"/>
        <v>1.76</v>
      </c>
    </row>
    <row r="16" spans="1:5" x14ac:dyDescent="0.25">
      <c r="A16" s="1">
        <v>1998</v>
      </c>
      <c r="B16">
        <f t="shared" si="0"/>
        <v>1.1599999999999999</v>
      </c>
      <c r="C16">
        <f t="shared" si="0"/>
        <v>1.1599999999999999</v>
      </c>
      <c r="D16">
        <f t="shared" si="1"/>
        <v>1.56</v>
      </c>
      <c r="E16">
        <f t="shared" si="2"/>
        <v>1.76</v>
      </c>
    </row>
    <row r="17" spans="1:5" x14ac:dyDescent="0.25">
      <c r="A17" s="2">
        <v>1999</v>
      </c>
      <c r="B17">
        <f t="shared" si="0"/>
        <v>1.1599999999999999</v>
      </c>
      <c r="C17">
        <f t="shared" si="0"/>
        <v>1.1599999999999999</v>
      </c>
      <c r="D17">
        <f t="shared" si="1"/>
        <v>1.56</v>
      </c>
      <c r="E17">
        <f t="shared" si="2"/>
        <v>1.76</v>
      </c>
    </row>
    <row r="18" spans="1:5" x14ac:dyDescent="0.25">
      <c r="A18" s="1">
        <v>2000</v>
      </c>
      <c r="B18">
        <f t="shared" si="0"/>
        <v>1.1599999999999999</v>
      </c>
      <c r="C18">
        <f t="shared" si="0"/>
        <v>1.1599999999999999</v>
      </c>
      <c r="D18">
        <f t="shared" si="1"/>
        <v>1.56</v>
      </c>
      <c r="E18">
        <f t="shared" si="2"/>
        <v>1.76</v>
      </c>
    </row>
    <row r="19" spans="1:5" x14ac:dyDescent="0.25">
      <c r="A19" s="2">
        <v>2001</v>
      </c>
      <c r="B19">
        <f t="shared" si="0"/>
        <v>1.1599999999999999</v>
      </c>
      <c r="C19">
        <f t="shared" si="0"/>
        <v>1.1599999999999999</v>
      </c>
      <c r="D19">
        <f t="shared" si="1"/>
        <v>1.56</v>
      </c>
      <c r="E19">
        <f t="shared" si="2"/>
        <v>1.76</v>
      </c>
    </row>
    <row r="20" spans="1:5" x14ac:dyDescent="0.25">
      <c r="A20" s="1">
        <v>2002</v>
      </c>
      <c r="B20">
        <f t="shared" si="0"/>
        <v>1.1599999999999999</v>
      </c>
      <c r="C20">
        <f t="shared" si="0"/>
        <v>1.1599999999999999</v>
      </c>
      <c r="D20">
        <f t="shared" si="1"/>
        <v>1.56</v>
      </c>
      <c r="E20">
        <f t="shared" si="2"/>
        <v>1.76</v>
      </c>
    </row>
    <row r="21" spans="1:5" x14ac:dyDescent="0.25">
      <c r="A21" s="2">
        <v>2003</v>
      </c>
      <c r="B21">
        <f t="shared" si="0"/>
        <v>1.1599999999999999</v>
      </c>
      <c r="C21">
        <f t="shared" si="0"/>
        <v>1.1599999999999999</v>
      </c>
      <c r="D21">
        <f t="shared" si="1"/>
        <v>1.56</v>
      </c>
      <c r="E21">
        <f t="shared" si="2"/>
        <v>1.76</v>
      </c>
    </row>
    <row r="22" spans="1:5" x14ac:dyDescent="0.25">
      <c r="A22" s="1">
        <v>2004</v>
      </c>
      <c r="B22">
        <f t="shared" si="0"/>
        <v>1.1599999999999999</v>
      </c>
      <c r="C22">
        <f t="shared" si="0"/>
        <v>1.1599999999999999</v>
      </c>
      <c r="D22">
        <f t="shared" si="1"/>
        <v>1.56</v>
      </c>
      <c r="E22">
        <f t="shared" si="2"/>
        <v>1.76</v>
      </c>
    </row>
    <row r="23" spans="1:5" x14ac:dyDescent="0.25">
      <c r="A23" s="2">
        <v>2005</v>
      </c>
      <c r="B23">
        <f t="shared" si="0"/>
        <v>1.1599999999999999</v>
      </c>
      <c r="C23">
        <f t="shared" si="0"/>
        <v>1.1599999999999999</v>
      </c>
      <c r="D23">
        <f t="shared" si="1"/>
        <v>1.56</v>
      </c>
      <c r="E23">
        <f t="shared" si="2"/>
        <v>1.76</v>
      </c>
    </row>
    <row r="24" spans="1:5" x14ac:dyDescent="0.25">
      <c r="A24" s="1">
        <v>2006</v>
      </c>
      <c r="B24">
        <f t="shared" si="0"/>
        <v>1.1599999999999999</v>
      </c>
      <c r="C24">
        <f t="shared" si="0"/>
        <v>1.1599999999999999</v>
      </c>
      <c r="D24">
        <f t="shared" si="1"/>
        <v>1.56</v>
      </c>
      <c r="E24">
        <f t="shared" si="2"/>
        <v>1.76</v>
      </c>
    </row>
    <row r="25" spans="1:5" x14ac:dyDescent="0.25">
      <c r="A25" s="2">
        <v>2007</v>
      </c>
      <c r="B25">
        <f t="shared" si="0"/>
        <v>1.1599999999999999</v>
      </c>
      <c r="C25">
        <f t="shared" si="0"/>
        <v>1.1599999999999999</v>
      </c>
      <c r="D25">
        <f t="shared" si="1"/>
        <v>1.56</v>
      </c>
      <c r="E25">
        <f t="shared" si="2"/>
        <v>1.76</v>
      </c>
    </row>
    <row r="26" spans="1:5" x14ac:dyDescent="0.25">
      <c r="A26" s="1">
        <v>2008</v>
      </c>
      <c r="B26">
        <f t="shared" si="0"/>
        <v>1.1599999999999999</v>
      </c>
      <c r="C26">
        <f t="shared" si="0"/>
        <v>1.1599999999999999</v>
      </c>
      <c r="D26">
        <f t="shared" si="1"/>
        <v>1.56</v>
      </c>
      <c r="E26">
        <f t="shared" si="2"/>
        <v>1.76</v>
      </c>
    </row>
    <row r="27" spans="1:5" x14ac:dyDescent="0.25">
      <c r="A27" s="2">
        <v>2009</v>
      </c>
      <c r="B27">
        <f t="shared" si="0"/>
        <v>1.1599999999999999</v>
      </c>
      <c r="C27">
        <f t="shared" si="0"/>
        <v>1.1599999999999999</v>
      </c>
      <c r="D27">
        <f t="shared" si="1"/>
        <v>1.56</v>
      </c>
      <c r="E27">
        <f t="shared" si="2"/>
        <v>1.76</v>
      </c>
    </row>
    <row r="28" spans="1:5" x14ac:dyDescent="0.25">
      <c r="A28" s="1">
        <v>2010</v>
      </c>
      <c r="B28">
        <f t="shared" si="0"/>
        <v>1.1599999999999999</v>
      </c>
      <c r="C28">
        <f t="shared" si="0"/>
        <v>1.1599999999999999</v>
      </c>
      <c r="D28">
        <f t="shared" si="1"/>
        <v>1.56</v>
      </c>
      <c r="E28">
        <f t="shared" si="2"/>
        <v>1.76</v>
      </c>
    </row>
    <row r="29" spans="1:5" x14ac:dyDescent="0.25">
      <c r="A29" s="2">
        <v>2011</v>
      </c>
      <c r="B29">
        <f t="shared" si="0"/>
        <v>1.1599999999999999</v>
      </c>
      <c r="C29">
        <f t="shared" si="0"/>
        <v>1.1599999999999999</v>
      </c>
      <c r="D29">
        <f t="shared" si="1"/>
        <v>1.56</v>
      </c>
      <c r="E29">
        <f t="shared" si="2"/>
        <v>1.76</v>
      </c>
    </row>
    <row r="30" spans="1:5" x14ac:dyDescent="0.25">
      <c r="A30" s="1">
        <v>2012</v>
      </c>
      <c r="B30">
        <f t="shared" si="0"/>
        <v>1.1599999999999999</v>
      </c>
      <c r="C30">
        <f t="shared" si="0"/>
        <v>1.1599999999999999</v>
      </c>
      <c r="D30">
        <f t="shared" si="1"/>
        <v>1.56</v>
      </c>
      <c r="E30">
        <f t="shared" si="2"/>
        <v>1.76</v>
      </c>
    </row>
    <row r="31" spans="1:5" x14ac:dyDescent="0.25">
      <c r="A31" s="2">
        <v>2013</v>
      </c>
      <c r="B31">
        <f t="shared" si="0"/>
        <v>1.1599999999999999</v>
      </c>
      <c r="C31">
        <f t="shared" si="0"/>
        <v>1.1599999999999999</v>
      </c>
      <c r="D31">
        <f t="shared" si="1"/>
        <v>1.56</v>
      </c>
      <c r="E31">
        <f t="shared" si="2"/>
        <v>1.76</v>
      </c>
    </row>
    <row r="32" spans="1:5" x14ac:dyDescent="0.25">
      <c r="A32" s="1">
        <v>2014</v>
      </c>
      <c r="B32">
        <f t="shared" si="0"/>
        <v>1.1599999999999999</v>
      </c>
      <c r="C32">
        <f t="shared" si="0"/>
        <v>1.1599999999999999</v>
      </c>
      <c r="D32">
        <f t="shared" si="1"/>
        <v>1.56</v>
      </c>
      <c r="E32">
        <f t="shared" si="2"/>
        <v>1.76</v>
      </c>
    </row>
    <row r="33" spans="1:5" x14ac:dyDescent="0.25">
      <c r="A33" s="2">
        <v>2015</v>
      </c>
      <c r="B33">
        <f t="shared" si="0"/>
        <v>1.1599999999999999</v>
      </c>
      <c r="C33">
        <f t="shared" si="0"/>
        <v>1.1599999999999999</v>
      </c>
      <c r="D33">
        <f t="shared" si="1"/>
        <v>1.56</v>
      </c>
      <c r="E33">
        <f t="shared" si="2"/>
        <v>1.76</v>
      </c>
    </row>
    <row r="34" spans="1:5" x14ac:dyDescent="0.25">
      <c r="A34" s="1">
        <v>2016</v>
      </c>
      <c r="B34">
        <f t="shared" si="0"/>
        <v>1.1599999999999999</v>
      </c>
      <c r="C34">
        <f t="shared" si="0"/>
        <v>1.1599999999999999</v>
      </c>
      <c r="D34">
        <f t="shared" si="1"/>
        <v>1.56</v>
      </c>
      <c r="E34">
        <f t="shared" si="2"/>
        <v>1.76</v>
      </c>
    </row>
    <row r="35" spans="1:5" x14ac:dyDescent="0.25">
      <c r="A35" s="2">
        <v>2017</v>
      </c>
      <c r="B35">
        <f t="shared" si="0"/>
        <v>1.1599999999999999</v>
      </c>
      <c r="C35">
        <f t="shared" si="0"/>
        <v>1.1599999999999999</v>
      </c>
      <c r="D35">
        <f t="shared" si="1"/>
        <v>1.56</v>
      </c>
      <c r="E35">
        <f t="shared" si="2"/>
        <v>1.76</v>
      </c>
    </row>
    <row r="36" spans="1:5" x14ac:dyDescent="0.25">
      <c r="A36" s="1">
        <v>2018</v>
      </c>
      <c r="B36">
        <f t="shared" si="0"/>
        <v>1.1599999999999999</v>
      </c>
      <c r="C36">
        <f t="shared" si="0"/>
        <v>1.1599999999999999</v>
      </c>
      <c r="D36">
        <f t="shared" si="1"/>
        <v>1.56</v>
      </c>
      <c r="E36">
        <f t="shared" si="2"/>
        <v>1.76</v>
      </c>
    </row>
    <row r="37" spans="1:5" x14ac:dyDescent="0.25">
      <c r="A37" s="2">
        <v>2019</v>
      </c>
      <c r="B37">
        <f t="shared" si="0"/>
        <v>1.1599999999999999</v>
      </c>
      <c r="C37">
        <f t="shared" si="0"/>
        <v>1.1599999999999999</v>
      </c>
      <c r="D37">
        <f t="shared" si="1"/>
        <v>1.56</v>
      </c>
      <c r="E37">
        <f t="shared" si="2"/>
        <v>1.76</v>
      </c>
    </row>
    <row r="38" spans="1:5" x14ac:dyDescent="0.25">
      <c r="A38" s="1">
        <v>2020</v>
      </c>
      <c r="B38">
        <f t="shared" si="0"/>
        <v>1.1599999999999999</v>
      </c>
      <c r="C38">
        <f t="shared" si="0"/>
        <v>1.1599999999999999</v>
      </c>
      <c r="D38">
        <f t="shared" si="1"/>
        <v>1.56</v>
      </c>
      <c r="E38">
        <f t="shared" si="2"/>
        <v>1.76</v>
      </c>
    </row>
    <row r="39" spans="1:5" x14ac:dyDescent="0.25">
      <c r="A39" s="2">
        <v>2021</v>
      </c>
      <c r="B39">
        <f t="shared" si="0"/>
        <v>1.1599999999999999</v>
      </c>
      <c r="C39">
        <f t="shared" si="0"/>
        <v>1.1599999999999999</v>
      </c>
      <c r="D39">
        <f t="shared" si="1"/>
        <v>1.56</v>
      </c>
      <c r="E39">
        <f t="shared" si="2"/>
        <v>1.76</v>
      </c>
    </row>
    <row r="40" spans="1:5" x14ac:dyDescent="0.25">
      <c r="A40" s="1">
        <v>2022</v>
      </c>
      <c r="B40">
        <f t="shared" si="0"/>
        <v>1.1599999999999999</v>
      </c>
      <c r="C40">
        <f t="shared" si="0"/>
        <v>1.1599999999999999</v>
      </c>
      <c r="D40">
        <f t="shared" si="1"/>
        <v>1.56</v>
      </c>
      <c r="E40">
        <f t="shared" si="2"/>
        <v>1.76</v>
      </c>
    </row>
    <row r="41" spans="1:5" x14ac:dyDescent="0.25">
      <c r="A41" s="2">
        <v>2023</v>
      </c>
      <c r="B41">
        <f t="shared" si="0"/>
        <v>1.1599999999999999</v>
      </c>
      <c r="C41">
        <f t="shared" si="0"/>
        <v>1.1599999999999999</v>
      </c>
      <c r="D41">
        <f t="shared" si="1"/>
        <v>1.56</v>
      </c>
      <c r="E41">
        <f t="shared" si="2"/>
        <v>1.76</v>
      </c>
    </row>
    <row r="42" spans="1:5" x14ac:dyDescent="0.25">
      <c r="A42" s="1">
        <v>2024</v>
      </c>
      <c r="B42">
        <f t="shared" si="0"/>
        <v>1.1599999999999999</v>
      </c>
      <c r="C42">
        <f t="shared" si="0"/>
        <v>1.1599999999999999</v>
      </c>
      <c r="D42">
        <f t="shared" si="1"/>
        <v>1.56</v>
      </c>
      <c r="E42">
        <f t="shared" si="2"/>
        <v>1.76</v>
      </c>
    </row>
    <row r="43" spans="1:5" x14ac:dyDescent="0.25">
      <c r="A43" s="2">
        <v>2025</v>
      </c>
      <c r="B43">
        <f t="shared" si="0"/>
        <v>1.1599999999999999</v>
      </c>
      <c r="C43">
        <f t="shared" si="0"/>
        <v>1.1599999999999999</v>
      </c>
      <c r="D43">
        <f t="shared" si="1"/>
        <v>1.56</v>
      </c>
      <c r="E43">
        <f t="shared" si="2"/>
        <v>1.76</v>
      </c>
    </row>
    <row r="44" spans="1:5" x14ac:dyDescent="0.25">
      <c r="A44" s="1"/>
    </row>
    <row r="45" spans="1:5" x14ac:dyDescent="0.25">
      <c r="A45" s="2"/>
    </row>
    <row r="46" spans="1:5" x14ac:dyDescent="0.25">
      <c r="A46" s="4"/>
    </row>
    <row r="47" spans="1:5" x14ac:dyDescent="0.25">
      <c r="A47" s="2"/>
    </row>
    <row r="48" spans="1:5" x14ac:dyDescent="0.25">
      <c r="A48" s="3"/>
    </row>
    <row r="49" spans="1:1" x14ac:dyDescent="0.25">
      <c r="A49" s="2"/>
    </row>
    <row r="50" spans="1:1" x14ac:dyDescent="0.25">
      <c r="A50" s="4"/>
    </row>
    <row r="51" spans="1:1" x14ac:dyDescent="0.25">
      <c r="A51" s="2"/>
    </row>
    <row r="52" spans="1:1" x14ac:dyDescent="0.25">
      <c r="A52" s="3"/>
    </row>
    <row r="53" spans="1:1" x14ac:dyDescent="0.25">
      <c r="A53" s="2"/>
    </row>
    <row r="54" spans="1:1" x14ac:dyDescent="0.25">
      <c r="A54" s="4"/>
    </row>
    <row r="55" spans="1:1" x14ac:dyDescent="0.25">
      <c r="A55" s="2"/>
    </row>
    <row r="56" spans="1:1" x14ac:dyDescent="0.25">
      <c r="A56" s="3"/>
    </row>
    <row r="57" spans="1:1" x14ac:dyDescent="0.25">
      <c r="A57" s="2"/>
    </row>
    <row r="58" spans="1:1" x14ac:dyDescent="0.25">
      <c r="A58" s="4"/>
    </row>
    <row r="59" spans="1:1" x14ac:dyDescent="0.25">
      <c r="A59" s="2"/>
    </row>
    <row r="60" spans="1:1" x14ac:dyDescent="0.25">
      <c r="A60" s="3"/>
    </row>
    <row r="61" spans="1:1" x14ac:dyDescent="0.25">
      <c r="A61" s="2"/>
    </row>
    <row r="62" spans="1:1" x14ac:dyDescent="0.25">
      <c r="A62" s="4"/>
    </row>
    <row r="63" spans="1:1" x14ac:dyDescent="0.25">
      <c r="A63" s="2"/>
    </row>
    <row r="64" spans="1:1" x14ac:dyDescent="0.25">
      <c r="A64" s="3"/>
    </row>
    <row r="65" spans="1:1" x14ac:dyDescent="0.25">
      <c r="A65" s="2"/>
    </row>
    <row r="66" spans="1:1" x14ac:dyDescent="0.25">
      <c r="A66" s="4"/>
    </row>
    <row r="67" spans="1:1" x14ac:dyDescent="0.25">
      <c r="A67" s="2"/>
    </row>
    <row r="68" spans="1:1" x14ac:dyDescent="0.25">
      <c r="A68" s="3"/>
    </row>
    <row r="69" spans="1:1" x14ac:dyDescent="0.25">
      <c r="A69" s="2"/>
    </row>
    <row r="70" spans="1:1" x14ac:dyDescent="0.25">
      <c r="A70" s="4"/>
    </row>
    <row r="71" spans="1:1" x14ac:dyDescent="0.25">
      <c r="A71" s="2"/>
    </row>
    <row r="72" spans="1:1" x14ac:dyDescent="0.25">
      <c r="A72" s="7"/>
    </row>
    <row r="73" spans="1:1" x14ac:dyDescent="0.25">
      <c r="A73" s="8"/>
    </row>
    <row r="74" spans="1:1" x14ac:dyDescent="0.25">
      <c r="A74" s="4"/>
    </row>
    <row r="75" spans="1:1" x14ac:dyDescent="0.25">
      <c r="A75" s="2"/>
    </row>
    <row r="76" spans="1:1" x14ac:dyDescent="0.25">
      <c r="A76" s="3"/>
    </row>
    <row r="77" spans="1:1" x14ac:dyDescent="0.25">
      <c r="A77" s="2"/>
    </row>
    <row r="78" spans="1:1" x14ac:dyDescent="0.25">
      <c r="A78" s="4"/>
    </row>
    <row r="79" spans="1:1" x14ac:dyDescent="0.25">
      <c r="A79" s="2"/>
    </row>
    <row r="80" spans="1:1" x14ac:dyDescent="0.25">
      <c r="A80" s="3"/>
    </row>
    <row r="81" spans="1:1" x14ac:dyDescent="0.25">
      <c r="A81" s="2"/>
    </row>
    <row r="82" spans="1:1" x14ac:dyDescent="0.25">
      <c r="A82" s="4"/>
    </row>
    <row r="83" spans="1:1" x14ac:dyDescent="0.25">
      <c r="A83" s="2"/>
    </row>
    <row r="84" spans="1:1" x14ac:dyDescent="0.25">
      <c r="A84" s="3"/>
    </row>
    <row r="85" spans="1:1" x14ac:dyDescent="0.25">
      <c r="A85" s="2"/>
    </row>
    <row r="86" spans="1:1" x14ac:dyDescent="0.25">
      <c r="A86" s="4"/>
    </row>
    <row r="87" spans="1:1" x14ac:dyDescent="0.25">
      <c r="A87" s="2"/>
    </row>
    <row r="88" spans="1:1" x14ac:dyDescent="0.25">
      <c r="A88" s="3"/>
    </row>
    <row r="89" spans="1:1" x14ac:dyDescent="0.25">
      <c r="A89" s="2"/>
    </row>
    <row r="90" spans="1:1" x14ac:dyDescent="0.25">
      <c r="A90" s="4"/>
    </row>
    <row r="91" spans="1:1" x14ac:dyDescent="0.25">
      <c r="A91" s="2"/>
    </row>
    <row r="92" spans="1:1" x14ac:dyDescent="0.25">
      <c r="A92" s="3"/>
    </row>
    <row r="93" spans="1:1" x14ac:dyDescent="0.25">
      <c r="A93" s="2"/>
    </row>
    <row r="94" spans="1:1" x14ac:dyDescent="0.25">
      <c r="A94" s="4"/>
    </row>
    <row r="95" spans="1:1" x14ac:dyDescent="0.25">
      <c r="A95" s="2"/>
    </row>
    <row r="96" spans="1:1" x14ac:dyDescent="0.25">
      <c r="A96" s="3"/>
    </row>
    <row r="97" spans="1:1" x14ac:dyDescent="0.25">
      <c r="A97" s="2"/>
    </row>
    <row r="98" spans="1:1" x14ac:dyDescent="0.25">
      <c r="A98" s="4"/>
    </row>
    <row r="99" spans="1:1" x14ac:dyDescent="0.25">
      <c r="A99" s="2"/>
    </row>
    <row r="100" spans="1:1" x14ac:dyDescent="0.25">
      <c r="A100" s="3"/>
    </row>
    <row r="101" spans="1:1" x14ac:dyDescent="0.25">
      <c r="A101" s="5"/>
    </row>
    <row r="102" spans="1:1" x14ac:dyDescent="0.25">
      <c r="A102" s="1"/>
    </row>
    <row r="103" spans="1:1" x14ac:dyDescent="0.25">
      <c r="A103" s="2"/>
    </row>
    <row r="104" spans="1:1" x14ac:dyDescent="0.25">
      <c r="A104" s="3"/>
    </row>
    <row r="105" spans="1:1" x14ac:dyDescent="0.25">
      <c r="A105" s="2"/>
    </row>
    <row r="106" spans="1:1" x14ac:dyDescent="0.25">
      <c r="A106" s="4"/>
    </row>
    <row r="107" spans="1:1" x14ac:dyDescent="0.25">
      <c r="A107" s="2"/>
    </row>
    <row r="108" spans="1:1" x14ac:dyDescent="0.25">
      <c r="A108" s="3"/>
    </row>
    <row r="109" spans="1:1" x14ac:dyDescent="0.25">
      <c r="A109" s="2"/>
    </row>
    <row r="110" spans="1:1" x14ac:dyDescent="0.25">
      <c r="A110" s="4"/>
    </row>
    <row r="111" spans="1:1" x14ac:dyDescent="0.25">
      <c r="A111" s="2"/>
    </row>
    <row r="112" spans="1:1" x14ac:dyDescent="0.25">
      <c r="A112" s="3"/>
    </row>
    <row r="113" spans="1:1" x14ac:dyDescent="0.25">
      <c r="A113" s="2"/>
    </row>
    <row r="114" spans="1:1" x14ac:dyDescent="0.25">
      <c r="A114" s="4"/>
    </row>
    <row r="115" spans="1:1" x14ac:dyDescent="0.25">
      <c r="A115" s="2"/>
    </row>
    <row r="116" spans="1:1" x14ac:dyDescent="0.25">
      <c r="A116" s="3"/>
    </row>
    <row r="117" spans="1:1" x14ac:dyDescent="0.25">
      <c r="A117" s="2"/>
    </row>
    <row r="118" spans="1:1" x14ac:dyDescent="0.25">
      <c r="A118" s="4"/>
    </row>
    <row r="119" spans="1:1" x14ac:dyDescent="0.25">
      <c r="A119" s="2"/>
    </row>
    <row r="120" spans="1:1" x14ac:dyDescent="0.25">
      <c r="A120" s="3"/>
    </row>
    <row r="121" spans="1:1" x14ac:dyDescent="0.25">
      <c r="A121" s="2"/>
    </row>
    <row r="122" spans="1:1" x14ac:dyDescent="0.25">
      <c r="A122" s="4"/>
    </row>
    <row r="123" spans="1:1" x14ac:dyDescent="0.25">
      <c r="A123" s="2"/>
    </row>
    <row r="124" spans="1:1" x14ac:dyDescent="0.25">
      <c r="A124" s="3"/>
    </row>
    <row r="125" spans="1:1" x14ac:dyDescent="0.25">
      <c r="A125" s="2"/>
    </row>
    <row r="126" spans="1:1" x14ac:dyDescent="0.25">
      <c r="A126" s="4"/>
    </row>
    <row r="127" spans="1:1" x14ac:dyDescent="0.25">
      <c r="A127" s="2"/>
    </row>
    <row r="128" spans="1:1" x14ac:dyDescent="0.25">
      <c r="A128" s="3"/>
    </row>
    <row r="129" spans="1:1" x14ac:dyDescent="0.25">
      <c r="A129" s="2"/>
    </row>
    <row r="130" spans="1:1" x14ac:dyDescent="0.25">
      <c r="A130" s="9"/>
    </row>
    <row r="131" spans="1:1" x14ac:dyDescent="0.25">
      <c r="A131" s="8"/>
    </row>
    <row r="132" spans="1:1" x14ac:dyDescent="0.25">
      <c r="A132" s="3"/>
    </row>
    <row r="133" spans="1:1" x14ac:dyDescent="0.25">
      <c r="A133" s="2"/>
    </row>
    <row r="134" spans="1:1" x14ac:dyDescent="0.25">
      <c r="A134" s="4"/>
    </row>
    <row r="135" spans="1:1" x14ac:dyDescent="0.25">
      <c r="A135" s="2"/>
    </row>
    <row r="136" spans="1:1" x14ac:dyDescent="0.25">
      <c r="A136" s="3"/>
    </row>
    <row r="137" spans="1:1" x14ac:dyDescent="0.25">
      <c r="A137" s="2"/>
    </row>
    <row r="138" spans="1:1" x14ac:dyDescent="0.25">
      <c r="A138" s="4"/>
    </row>
    <row r="139" spans="1:1" x14ac:dyDescent="0.25">
      <c r="A139" s="2"/>
    </row>
    <row r="140" spans="1:1" x14ac:dyDescent="0.25">
      <c r="A140" s="3"/>
    </row>
    <row r="141" spans="1:1" x14ac:dyDescent="0.25">
      <c r="A141" s="2"/>
    </row>
    <row r="142" spans="1:1" x14ac:dyDescent="0.25">
      <c r="A142" s="4"/>
    </row>
    <row r="143" spans="1:1" x14ac:dyDescent="0.25">
      <c r="A143" s="2"/>
    </row>
    <row r="144" spans="1:1" x14ac:dyDescent="0.25">
      <c r="A144" s="3"/>
    </row>
    <row r="145" spans="1:1" x14ac:dyDescent="0.25">
      <c r="A145" s="2"/>
    </row>
    <row r="146" spans="1:1" x14ac:dyDescent="0.25">
      <c r="A146" s="4"/>
    </row>
    <row r="147" spans="1:1" x14ac:dyDescent="0.25">
      <c r="A147" s="2"/>
    </row>
    <row r="148" spans="1:1" x14ac:dyDescent="0.25">
      <c r="A148" s="3"/>
    </row>
    <row r="149" spans="1:1" x14ac:dyDescent="0.25">
      <c r="A149" s="2"/>
    </row>
    <row r="150" spans="1:1" x14ac:dyDescent="0.25">
      <c r="A150" s="4"/>
    </row>
    <row r="151" spans="1:1" x14ac:dyDescent="0.25">
      <c r="A151" s="2"/>
    </row>
    <row r="152" spans="1:1" x14ac:dyDescent="0.25">
      <c r="A152" s="3"/>
    </row>
    <row r="153" spans="1:1" x14ac:dyDescent="0.25">
      <c r="A153" s="2"/>
    </row>
    <row r="154" spans="1:1" x14ac:dyDescent="0.25">
      <c r="A154" s="4"/>
    </row>
    <row r="155" spans="1:1" x14ac:dyDescent="0.25">
      <c r="A155" s="2"/>
    </row>
    <row r="156" spans="1:1" x14ac:dyDescent="0.25">
      <c r="A156" s="3"/>
    </row>
    <row r="157" spans="1:1" x14ac:dyDescent="0.25">
      <c r="A157" s="2"/>
    </row>
    <row r="158" spans="1:1" x14ac:dyDescent="0.25">
      <c r="A158" s="4"/>
    </row>
    <row r="159" spans="1:1" x14ac:dyDescent="0.25">
      <c r="A159" s="5"/>
    </row>
    <row r="160" spans="1:1" x14ac:dyDescent="0.25">
      <c r="A160" s="6"/>
    </row>
    <row r="161" spans="1:1" x14ac:dyDescent="0.25">
      <c r="A161" s="2"/>
    </row>
    <row r="162" spans="1:1" x14ac:dyDescent="0.25">
      <c r="A162" s="4"/>
    </row>
    <row r="163" spans="1:1" x14ac:dyDescent="0.25">
      <c r="A163" s="2"/>
    </row>
    <row r="164" spans="1:1" x14ac:dyDescent="0.25">
      <c r="A164" s="3"/>
    </row>
    <row r="165" spans="1:1" x14ac:dyDescent="0.25">
      <c r="A165" s="2"/>
    </row>
    <row r="166" spans="1:1" x14ac:dyDescent="0.25">
      <c r="A166" s="4"/>
    </row>
    <row r="167" spans="1:1" x14ac:dyDescent="0.25">
      <c r="A167" s="2"/>
    </row>
    <row r="168" spans="1:1" x14ac:dyDescent="0.25">
      <c r="A168" s="3"/>
    </row>
    <row r="169" spans="1:1" x14ac:dyDescent="0.25">
      <c r="A16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10.3.3 Num</vt:lpstr>
      <vt:lpstr>Table 10.3.4 FM</vt:lpstr>
      <vt:lpstr>Table 10.2.6 - maturity</vt:lpstr>
      <vt:lpstr>Table 10.2.6 WA</vt:lpstr>
      <vt:lpstr>Table 10.2.6 nat mort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Keith, David (DFO/MPO)</dc:creator>
  <cp:lastModifiedBy>Keith, David (DFO/MPO)</cp:lastModifiedBy>
  <dcterms:created xsi:type="dcterms:W3CDTF">2026-03-09T23:54:30Z</dcterms:created>
  <dcterms:modified xsi:type="dcterms:W3CDTF">2026-03-10T00:12:31Z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2026-03-09T23:54:47Z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504a7c1d-906c-4f07-b266-b420bdfadc2e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