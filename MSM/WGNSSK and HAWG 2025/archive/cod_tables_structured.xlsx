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.1_1" sheetId="1" state="visible" r:id="rId1"/>
    <sheet xmlns:r="http://schemas.openxmlformats.org/officeDocument/2006/relationships" name="4.1_2" sheetId="2" state="visible" r:id="rId2"/>
    <sheet xmlns:r="http://schemas.openxmlformats.org/officeDocument/2006/relationships" name="4.2_1" sheetId="3" state="visible" r:id="rId3"/>
    <sheet xmlns:r="http://schemas.openxmlformats.org/officeDocument/2006/relationships" name="4.2_2" sheetId="4" state="visible" r:id="rId4"/>
    <sheet xmlns:r="http://schemas.openxmlformats.org/officeDocument/2006/relationships" name="4.2_3" sheetId="5" state="visible" r:id="rId5"/>
    <sheet xmlns:r="http://schemas.openxmlformats.org/officeDocument/2006/relationships" name="4.3" sheetId="6" state="visible" r:id="rId6"/>
    <sheet xmlns:r="http://schemas.openxmlformats.org/officeDocument/2006/relationships" name="4.4_1" sheetId="7" state="visible" r:id="rId7"/>
    <sheet xmlns:r="http://schemas.openxmlformats.org/officeDocument/2006/relationships" name="4.4_2" sheetId="8" state="visible" r:id="rId8"/>
    <sheet xmlns:r="http://schemas.openxmlformats.org/officeDocument/2006/relationships" name="4.4_3" sheetId="9" state="visible" r:id="rId9"/>
    <sheet xmlns:r="http://schemas.openxmlformats.org/officeDocument/2006/relationships" name="4.5_1" sheetId="10" state="visible" r:id="rId10"/>
    <sheet xmlns:r="http://schemas.openxmlformats.org/officeDocument/2006/relationships" name="4.5_2" sheetId="11" state="visible" r:id="rId11"/>
    <sheet xmlns:r="http://schemas.openxmlformats.org/officeDocument/2006/relationships" name="4.5_3" sheetId="12" state="visible" r:id="rId12"/>
    <sheet xmlns:r="http://schemas.openxmlformats.org/officeDocument/2006/relationships" name="4.6_1" sheetId="13" state="visible" r:id="rId13"/>
    <sheet xmlns:r="http://schemas.openxmlformats.org/officeDocument/2006/relationships" name="4.6_2" sheetId="14" state="visible" r:id="rId14"/>
    <sheet xmlns:r="http://schemas.openxmlformats.org/officeDocument/2006/relationships" name="4.6_3" sheetId="15" state="visible" r:id="rId15"/>
    <sheet xmlns:r="http://schemas.openxmlformats.org/officeDocument/2006/relationships" name="4.7_1" sheetId="16" state="visible" r:id="rId16"/>
    <sheet xmlns:r="http://schemas.openxmlformats.org/officeDocument/2006/relationships" name="4.7_2" sheetId="17" state="visible" r:id="rId17"/>
    <sheet xmlns:r="http://schemas.openxmlformats.org/officeDocument/2006/relationships" name="4.7_3" sheetId="18" state="visible" r:id="rId18"/>
    <sheet xmlns:r="http://schemas.openxmlformats.org/officeDocument/2006/relationships" name="4.8" sheetId="19" state="visible" r:id="rId19"/>
    <sheet xmlns:r="http://schemas.openxmlformats.org/officeDocument/2006/relationships" name="4.9" sheetId="20" state="visible" r:id="rId20"/>
    <sheet xmlns:r="http://schemas.openxmlformats.org/officeDocument/2006/relationships" name="4.10" sheetId="21" state="visible" r:id="rId21"/>
    <sheet xmlns:r="http://schemas.openxmlformats.org/officeDocument/2006/relationships" name="4.11" sheetId="22" state="visible" r:id="rId22"/>
    <sheet xmlns:r="http://schemas.openxmlformats.org/officeDocument/2006/relationships" name="4.12" sheetId="23" state="visible" r:id="rId23"/>
    <sheet xmlns:r="http://schemas.openxmlformats.org/officeDocument/2006/relationships" name="4.13" sheetId="24" state="visible" r:id="rId24"/>
    <sheet xmlns:r="http://schemas.openxmlformats.org/officeDocument/2006/relationships" name="4.14" sheetId="25" state="visible" r:id="rId25"/>
    <sheet xmlns:r="http://schemas.openxmlformats.org/officeDocument/2006/relationships" name="4.15" sheetId="26" state="visible" r:id="rId26"/>
    <sheet xmlns:r="http://schemas.openxmlformats.org/officeDocument/2006/relationships" name="4.16_1" sheetId="27" state="visible" r:id="rId27"/>
    <sheet xmlns:r="http://schemas.openxmlformats.org/officeDocument/2006/relationships" name="4.16_2" sheetId="28" state="visible" r:id="rId28"/>
    <sheet xmlns:r="http://schemas.openxmlformats.org/officeDocument/2006/relationships" name="4.17" sheetId="29" state="visible" r:id="rId29"/>
    <sheet xmlns:r="http://schemas.openxmlformats.org/officeDocument/2006/relationships" name="Content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  <c r="T1" s="1" t="inlineStr">
        <is>
          <t>c20</t>
        </is>
      </c>
    </row>
    <row r="2">
      <c r="A2" t="inlineStr">
        <is>
          <t>Subarea 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Country</t>
        </is>
      </c>
      <c r="B3" t="inlineStr">
        <is>
          <t>2006</t>
        </is>
      </c>
      <c r="C3" t="inlineStr">
        <is>
          <t>2007</t>
        </is>
      </c>
      <c r="D3" t="inlineStr">
        <is>
          <t>2008</t>
        </is>
      </c>
      <c r="E3" t="inlineStr">
        <is>
          <t>2009</t>
        </is>
      </c>
      <c r="F3" t="inlineStr">
        <is>
          <t>2010</t>
        </is>
      </c>
      <c r="G3" t="inlineStr">
        <is>
          <t>2011</t>
        </is>
      </c>
      <c r="H3" t="inlineStr">
        <is>
          <t>2012</t>
        </is>
      </c>
      <c r="I3" t="inlineStr">
        <is>
          <t>2013</t>
        </is>
      </c>
      <c r="J3" t="inlineStr">
        <is>
          <t>2014</t>
        </is>
      </c>
      <c r="K3" t="inlineStr">
        <is>
          <t>2015</t>
        </is>
      </c>
      <c r="L3" t="inlineStr">
        <is>
          <t>2016</t>
        </is>
      </c>
      <c r="M3" t="inlineStr">
        <is>
          <t>2017</t>
        </is>
      </c>
      <c r="N3" t="inlineStr">
        <is>
          <t>2018</t>
        </is>
      </c>
      <c r="O3" t="inlineStr">
        <is>
          <t>2019</t>
        </is>
      </c>
      <c r="P3" t="inlineStr">
        <is>
          <t>2020</t>
        </is>
      </c>
      <c r="Q3" t="inlineStr">
        <is>
          <t>2021</t>
        </is>
      </c>
      <c r="R3" t="inlineStr">
        <is>
          <t>2022</t>
        </is>
      </c>
      <c r="S3" t="inlineStr">
        <is>
          <t>2023***</t>
        </is>
      </c>
      <c r="T3" t="inlineStr">
        <is>
          <t>2024***</t>
        </is>
      </c>
    </row>
    <row r="4">
      <c r="A4" t="inlineStr">
        <is>
          <t>Belgium</t>
        </is>
      </c>
      <c r="B4" t="inlineStr">
        <is>
          <t>1309</t>
        </is>
      </c>
      <c r="C4" t="inlineStr">
        <is>
          <t>1008</t>
        </is>
      </c>
      <c r="D4" t="inlineStr">
        <is>
          <t>894 946 666 653 862 1075</t>
        </is>
      </c>
      <c r="E4" t="inlineStr">
        <is>
          <t>1258</t>
        </is>
      </c>
      <c r="F4" t="inlineStr">
        <is>
          <t>1223</t>
        </is>
      </c>
      <c r="G4" t="inlineStr">
        <is>
          <t>1103</t>
        </is>
      </c>
      <c r="H4" t="inlineStr">
        <is>
          <t>695 817 727 666 544 296 572 274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Denmark</t>
        </is>
      </c>
      <c r="B5" t="inlineStr">
        <is>
          <t>5105</t>
        </is>
      </c>
      <c r="C5" t="inlineStr">
        <is>
          <t>3430</t>
        </is>
      </c>
      <c r="D5" t="inlineStr">
        <is>
          <t>3831</t>
        </is>
      </c>
      <c r="E5" t="inlineStr">
        <is>
          <t>4402</t>
        </is>
      </c>
      <c r="F5" t="inlineStr">
        <is>
          <t>5686</t>
        </is>
      </c>
      <c r="G5" t="inlineStr">
        <is>
          <t>4863</t>
        </is>
      </c>
      <c r="H5" t="inlineStr">
        <is>
          <t>4803</t>
        </is>
      </c>
      <c r="I5" t="inlineStr">
        <is>
          <t>4536</t>
        </is>
      </c>
      <c r="J5" t="inlineStr">
        <is>
          <t>5457</t>
        </is>
      </c>
      <c r="K5" t="inlineStr">
        <is>
          <t>6026</t>
        </is>
      </c>
      <c r="L5" t="inlineStr">
        <is>
          <t>6713</t>
        </is>
      </c>
      <c r="M5" t="inlineStr">
        <is>
          <t>6119</t>
        </is>
      </c>
      <c r="N5" t="inlineStr">
        <is>
          <t>5493</t>
        </is>
      </c>
      <c r="O5" t="inlineStr">
        <is>
          <t>4967</t>
        </is>
      </c>
      <c r="P5" t="inlineStr">
        <is>
          <t>3069</t>
        </is>
      </c>
      <c r="Q5" t="inlineStr">
        <is>
          <t>2023</t>
        </is>
      </c>
      <c r="R5" t="inlineStr">
        <is>
          <t>2018</t>
        </is>
      </c>
      <c r="S5" t="inlineStr">
        <is>
          <t>2998</t>
        </is>
      </c>
      <c r="T5" t="inlineStr">
        <is>
          <t>3394</t>
        </is>
      </c>
    </row>
    <row r="6">
      <c r="A6" t="inlineStr">
        <is>
          <t>France</t>
        </is>
      </c>
      <c r="B6" t="inlineStr">
        <is>
          <t>354 659 573 950 782 619 369 287 637 517 391 401 583 450 265 284 255 320 286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Germany</t>
        </is>
      </c>
      <c r="B7" t="inlineStr">
        <is>
          <t>2537</t>
        </is>
      </c>
      <c r="C7" t="inlineStr">
        <is>
          <t>1899</t>
        </is>
      </c>
      <c r="D7" t="inlineStr">
        <is>
          <t>1736</t>
        </is>
      </c>
      <c r="E7" t="inlineStr">
        <is>
          <t>2374</t>
        </is>
      </c>
      <c r="F7" t="inlineStr">
        <is>
          <t>2844</t>
        </is>
      </c>
      <c r="G7" t="inlineStr">
        <is>
          <t>2211</t>
        </is>
      </c>
      <c r="H7" t="inlineStr">
        <is>
          <t>2385</t>
        </is>
      </c>
      <c r="I7" t="inlineStr">
        <is>
          <t>1921</t>
        </is>
      </c>
      <c r="J7" t="inlineStr">
        <is>
          <t>2257</t>
        </is>
      </c>
      <c r="K7" t="inlineStr">
        <is>
          <t>2133</t>
        </is>
      </c>
      <c r="L7" t="inlineStr">
        <is>
          <t>2083</t>
        </is>
      </c>
      <c r="M7" t="inlineStr">
        <is>
          <t>2300</t>
        </is>
      </c>
      <c r="N7" t="inlineStr">
        <is>
          <t>1510</t>
        </is>
      </c>
      <c r="O7" t="inlineStr">
        <is>
          <t>824 757 775 716 1401</t>
        </is>
      </c>
      <c r="P7" t="inlineStr">
        <is>
          <t>1069</t>
        </is>
      </c>
      <c r="Q7" t="inlineStr"/>
      <c r="R7" t="inlineStr"/>
      <c r="S7" t="inlineStr"/>
      <c r="T7" t="inlineStr"/>
    </row>
    <row r="8">
      <c r="A8" t="inlineStr">
        <is>
          <t>Ireland</t>
        </is>
      </c>
      <c r="B8" t="inlineStr">
        <is>
          <t>0 0 0 0 0 0 0 0 0 0 0 0 0 0 0 0 0 0 0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Netherlands</t>
        </is>
      </c>
      <c r="B9" t="inlineStr">
        <is>
          <t>1585</t>
        </is>
      </c>
      <c r="C9" t="inlineStr">
        <is>
          <t>1523</t>
        </is>
      </c>
      <c r="D9" t="inlineStr">
        <is>
          <t>1896</t>
        </is>
      </c>
      <c r="E9" t="inlineStr">
        <is>
          <t>2649</t>
        </is>
      </c>
      <c r="F9" t="inlineStr">
        <is>
          <t>2657</t>
        </is>
      </c>
      <c r="G9" t="inlineStr">
        <is>
          <t>1928</t>
        </is>
      </c>
      <c r="H9" t="inlineStr">
        <is>
          <t>1955</t>
        </is>
      </c>
      <c r="I9" t="inlineStr">
        <is>
          <t>1344</t>
        </is>
      </c>
      <c r="J9" t="inlineStr">
        <is>
          <t>1242</t>
        </is>
      </c>
      <c r="K9" t="inlineStr">
        <is>
          <t>1403</t>
        </is>
      </c>
      <c r="L9" t="inlineStr">
        <is>
          <t>1365</t>
        </is>
      </c>
      <c r="M9" t="inlineStr">
        <is>
          <t>653 515 719 590 618 594 677 789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Norway</t>
        </is>
      </c>
      <c r="B10" t="inlineStr">
        <is>
          <t>2749</t>
        </is>
      </c>
      <c r="C10" t="inlineStr">
        <is>
          <t>3057</t>
        </is>
      </c>
      <c r="D10" t="inlineStr">
        <is>
          <t>4128</t>
        </is>
      </c>
      <c r="E10" t="inlineStr">
        <is>
          <t>4234</t>
        </is>
      </c>
      <c r="F10" t="inlineStr">
        <is>
          <t>4495</t>
        </is>
      </c>
      <c r="G10" t="inlineStr">
        <is>
          <t>4898</t>
        </is>
      </c>
      <c r="H10" t="inlineStr">
        <is>
          <t>4601</t>
        </is>
      </c>
      <c r="I10" t="inlineStr">
        <is>
          <t>4080</t>
        </is>
      </c>
      <c r="J10" t="inlineStr">
        <is>
          <t>4600</t>
        </is>
      </c>
      <c r="K10" t="inlineStr">
        <is>
          <t>5404</t>
        </is>
      </c>
      <c r="L10" t="inlineStr">
        <is>
          <t>5627</t>
        </is>
      </c>
      <c r="M10" t="inlineStr">
        <is>
          <t>5521</t>
        </is>
      </c>
      <c r="N10" t="inlineStr">
        <is>
          <t>5539</t>
        </is>
      </c>
      <c r="O10" t="inlineStr">
        <is>
          <t>4509</t>
        </is>
      </c>
      <c r="P10" t="inlineStr">
        <is>
          <t>2267</t>
        </is>
      </c>
      <c r="Q10" t="inlineStr">
        <is>
          <t>1651</t>
        </is>
      </c>
      <c r="R10" t="inlineStr">
        <is>
          <t>2258</t>
        </is>
      </c>
      <c r="S10" t="inlineStr">
        <is>
          <t>3486</t>
        </is>
      </c>
      <c r="T10" t="inlineStr">
        <is>
          <t>3561</t>
        </is>
      </c>
    </row>
    <row r="11">
      <c r="A11" t="inlineStr">
        <is>
          <t>Sweden</t>
        </is>
      </c>
      <c r="B11" t="inlineStr">
        <is>
          <t>309 386 439 378 362 316 471 332 401 415 373 387 274 344 355 396 390 402 373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UK (E/W/NI)</t>
        </is>
      </c>
      <c r="B12" t="inlineStr">
        <is>
          <t>1491</t>
        </is>
      </c>
      <c r="C12" t="inlineStr">
        <is>
          <t>1587</t>
        </is>
      </c>
      <c r="D12" t="inlineStr">
        <is>
          <t>1546</t>
        </is>
      </c>
      <c r="E12" t="inlineStr">
        <is>
          <t>2384</t>
        </is>
      </c>
      <c r="F12" t="inlineStr">
        <is>
          <t>2553</t>
        </is>
      </c>
      <c r="G12" t="inlineStr">
        <is>
          <t>2170</t>
        </is>
      </c>
      <c r="H12" t="inlineStr">
        <is>
          <t>1630</t>
        </is>
      </c>
      <c r="I12" t="inlineStr">
        <is>
          <t>2129</t>
        </is>
      </c>
      <c r="J12" t="inlineStr">
        <is>
          <t>2962</t>
        </is>
      </c>
      <c r="K12" t="inlineStr">
        <is>
          <t>0 0 0 0 0 0 0 1 0 0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UK (Scotland)</t>
        </is>
      </c>
      <c r="B13" t="inlineStr">
        <is>
          <t>6857</t>
        </is>
      </c>
      <c r="C13" t="inlineStr">
        <is>
          <t>6511</t>
        </is>
      </c>
      <c r="D13" t="inlineStr">
        <is>
          <t>7185</t>
        </is>
      </c>
      <c r="E13" t="inlineStr">
        <is>
          <t>9051</t>
        </is>
      </c>
      <c r="F13" t="inlineStr">
        <is>
          <t>11567</t>
        </is>
      </c>
      <c r="G13" t="inlineStr">
        <is>
          <t>10140</t>
        </is>
      </c>
      <c r="H13" t="inlineStr">
        <is>
          <t>10564</t>
        </is>
      </c>
      <c r="I13" t="inlineStr">
        <is>
          <t>10619</t>
        </is>
      </c>
      <c r="J13" t="inlineStr">
        <is>
          <t>10517</t>
        </is>
      </c>
      <c r="K13" t="inlineStr">
        <is>
          <t>0 0 0 0 0 0 0 0 0 0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UK (combined)</t>
        </is>
      </c>
      <c r="B14" t="inlineStr">
        <is>
          <t>0 0 0 0 0 0 0 0 0 14889</t>
        </is>
      </c>
      <c r="C14" t="inlineStr">
        <is>
          <t>16603</t>
        </is>
      </c>
      <c r="D14" t="inlineStr">
        <is>
          <t>18523</t>
        </is>
      </c>
      <c r="E14" t="inlineStr">
        <is>
          <t>21265</t>
        </is>
      </c>
      <c r="F14" t="inlineStr">
        <is>
          <t>15621</t>
        </is>
      </c>
      <c r="G14" t="inlineStr">
        <is>
          <t>9114</t>
        </is>
      </c>
      <c r="H14" t="inlineStr">
        <is>
          <t>6418</t>
        </is>
      </c>
      <c r="I14" t="inlineStr">
        <is>
          <t>6914</t>
        </is>
      </c>
      <c r="J14" t="inlineStr">
        <is>
          <t>11352</t>
        </is>
      </c>
      <c r="K14" t="inlineStr">
        <is>
          <t>12914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Others</t>
        </is>
      </c>
      <c r="B15" t="inlineStr">
        <is>
          <t>812 18 35 59 32 2 0 0 0 0 2 1 0 0 1 0 2 6 282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BMS landings</t>
        </is>
      </c>
      <c r="B16" t="inlineStr">
        <is>
          <t>1 8 30 21 2 1 2 2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Total Nominal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Catch</t>
        </is>
      </c>
      <c r="B18" t="inlineStr">
        <is>
          <t>23108</t>
        </is>
      </c>
      <c r="C18" t="inlineStr">
        <is>
          <t>20079</t>
        </is>
      </c>
      <c r="D18" t="inlineStr">
        <is>
          <t>22261</t>
        </is>
      </c>
      <c r="E18" t="inlineStr">
        <is>
          <t>27425</t>
        </is>
      </c>
      <c r="F18" t="inlineStr">
        <is>
          <t>31645</t>
        </is>
      </c>
      <c r="G18" t="inlineStr">
        <is>
          <t>27799</t>
        </is>
      </c>
      <c r="H18" t="inlineStr">
        <is>
          <t>27640</t>
        </is>
      </c>
      <c r="I18" t="inlineStr">
        <is>
          <t>26322</t>
        </is>
      </c>
      <c r="J18" t="inlineStr">
        <is>
          <t>29331</t>
        </is>
      </c>
      <c r="K18" t="inlineStr">
        <is>
          <t>32011</t>
        </is>
      </c>
      <c r="L18" t="inlineStr">
        <is>
          <t>34260</t>
        </is>
      </c>
      <c r="M18" t="inlineStr">
        <is>
          <t>34599</t>
        </is>
      </c>
      <c r="N18" t="inlineStr">
        <is>
          <t>35997</t>
        </is>
      </c>
      <c r="O18" t="inlineStr">
        <is>
          <t>28160</t>
        </is>
      </c>
      <c r="P18" t="inlineStr">
        <is>
          <t>17083</t>
        </is>
      </c>
      <c r="Q18" t="inlineStr">
        <is>
          <t>12709</t>
        </is>
      </c>
      <c r="R18" t="inlineStr">
        <is>
          <t>13054</t>
        </is>
      </c>
      <c r="S18" t="inlineStr">
        <is>
          <t>21214</t>
        </is>
      </c>
      <c r="T18" t="inlineStr">
        <is>
          <t>22942</t>
        </is>
      </c>
    </row>
    <row r="19">
      <c r="A19" t="inlineStr">
        <is>
          <t>Unallocated land-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ings -2029</t>
        </is>
      </c>
      <c r="B20" t="inlineStr">
        <is>
          <t>-1023</t>
        </is>
      </c>
      <c r="C20" t="inlineStr">
        <is>
          <t>-604 208 -665 -1125</t>
        </is>
      </c>
      <c r="D20" t="inlineStr">
        <is>
          <t>-1013</t>
        </is>
      </c>
      <c r="E20" t="inlineStr">
        <is>
          <t>-1006</t>
        </is>
      </c>
      <c r="F20" t="inlineStr">
        <is>
          <t>-782 -767 -1225</t>
        </is>
      </c>
      <c r="G20" t="inlineStr">
        <is>
          <t>-1490</t>
        </is>
      </c>
      <c r="H20" t="inlineStr">
        <is>
          <t>-1553</t>
        </is>
      </c>
      <c r="I20" t="inlineStr">
        <is>
          <t>83 -193 -129 200 -211 -284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WG estimate of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total landings^^</t>
        </is>
      </c>
      <c r="B22" t="inlineStr">
        <is>
          <t>21078</t>
        </is>
      </c>
      <c r="C22" t="inlineStr">
        <is>
          <t>19056</t>
        </is>
      </c>
      <c r="D22" t="inlineStr">
        <is>
          <t>21657</t>
        </is>
      </c>
      <c r="E22" t="inlineStr">
        <is>
          <t>27634</t>
        </is>
      </c>
      <c r="F22" t="inlineStr">
        <is>
          <t>30980</t>
        </is>
      </c>
      <c r="G22" t="inlineStr">
        <is>
          <t>26675</t>
        </is>
      </c>
      <c r="H22" t="inlineStr">
        <is>
          <t>26627</t>
        </is>
      </c>
      <c r="I22" t="inlineStr">
        <is>
          <t>25315</t>
        </is>
      </c>
      <c r="J22" t="inlineStr">
        <is>
          <t>28550</t>
        </is>
      </c>
      <c r="K22" t="inlineStr">
        <is>
          <t>31244</t>
        </is>
      </c>
      <c r="L22" t="inlineStr">
        <is>
          <t>33035</t>
        </is>
      </c>
      <c r="M22" t="inlineStr">
        <is>
          <t>33109</t>
        </is>
      </c>
      <c r="N22" t="inlineStr">
        <is>
          <t>34444</t>
        </is>
      </c>
      <c r="O22" t="inlineStr">
        <is>
          <t>28243</t>
        </is>
      </c>
      <c r="P22" t="inlineStr">
        <is>
          <t>16890</t>
        </is>
      </c>
      <c r="Q22" t="inlineStr">
        <is>
          <t>12580</t>
        </is>
      </c>
      <c r="R22" t="inlineStr">
        <is>
          <t>13254</t>
        </is>
      </c>
      <c r="S22" t="inlineStr">
        <is>
          <t>21003</t>
        </is>
      </c>
      <c r="T22" t="inlineStr">
        <is>
          <t>22657</t>
        </is>
      </c>
    </row>
    <row r="23">
      <c r="A23" t="inlineStr">
        <is>
          <t>Agreed TAC*</t>
        </is>
      </c>
      <c r="B23" t="inlineStr">
        <is>
          <t>23205</t>
        </is>
      </c>
      <c r="C23" t="inlineStr">
        <is>
          <t>19957</t>
        </is>
      </c>
      <c r="D23" t="inlineStr">
        <is>
          <t>22152</t>
        </is>
      </c>
      <c r="E23" t="inlineStr">
        <is>
          <t>28798</t>
        </is>
      </c>
      <c r="F23" t="inlineStr">
        <is>
          <t>33552</t>
        </is>
      </c>
      <c r="G23" t="inlineStr">
        <is>
          <t>26842</t>
        </is>
      </c>
      <c r="H23" t="inlineStr">
        <is>
          <t>26475</t>
        </is>
      </c>
      <c r="I23" t="inlineStr">
        <is>
          <t>26475</t>
        </is>
      </c>
      <c r="J23" t="inlineStr">
        <is>
          <t>27799</t>
        </is>
      </c>
      <c r="K23" t="inlineStr">
        <is>
          <t>29189</t>
        </is>
      </c>
      <c r="L23" t="inlineStr">
        <is>
          <t>33651</t>
        </is>
      </c>
      <c r="M23" t="inlineStr">
        <is>
          <t>39220</t>
        </is>
      </c>
      <c r="N23" t="inlineStr">
        <is>
          <t>43156</t>
        </is>
      </c>
      <c r="O23" t="inlineStr">
        <is>
          <t>29437</t>
        </is>
      </c>
      <c r="P23" t="inlineStr">
        <is>
          <t>14718</t>
        </is>
      </c>
      <c r="Q23" t="inlineStr">
        <is>
          <t>13246</t>
        </is>
      </c>
      <c r="R23" t="inlineStr">
        <is>
          <t>13246</t>
        </is>
      </c>
      <c r="S23" t="inlineStr">
        <is>
          <t>21652</t>
        </is>
      </c>
      <c r="T23" t="inlineStr">
        <is>
          <t>19910</t>
        </is>
      </c>
    </row>
    <row r="24">
      <c r="A24" t="inlineStr">
        <is>
          <t>Division 6a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Country</t>
        </is>
      </c>
      <c r="B25" t="inlineStr">
        <is>
          <t>2006</t>
        </is>
      </c>
      <c r="C25" t="inlineStr">
        <is>
          <t>2007</t>
        </is>
      </c>
      <c r="D25" t="inlineStr">
        <is>
          <t>2008</t>
        </is>
      </c>
      <c r="E25" t="inlineStr">
        <is>
          <t>2009</t>
        </is>
      </c>
      <c r="F25" t="inlineStr">
        <is>
          <t>2010</t>
        </is>
      </c>
      <c r="G25" t="inlineStr">
        <is>
          <t>2011</t>
        </is>
      </c>
      <c r="H25" t="inlineStr">
        <is>
          <t>2012</t>
        </is>
      </c>
      <c r="I25" t="inlineStr">
        <is>
          <t>2013</t>
        </is>
      </c>
      <c r="J25" t="inlineStr">
        <is>
          <t>2014</t>
        </is>
      </c>
      <c r="K25" t="inlineStr">
        <is>
          <t>2015</t>
        </is>
      </c>
      <c r="L25" t="inlineStr">
        <is>
          <t>2016</t>
        </is>
      </c>
      <c r="M25" t="inlineStr">
        <is>
          <t>2017</t>
        </is>
      </c>
      <c r="N25" t="inlineStr">
        <is>
          <t>2018</t>
        </is>
      </c>
      <c r="O25" t="inlineStr">
        <is>
          <t>2019</t>
        </is>
      </c>
      <c r="P25" t="inlineStr">
        <is>
          <t>2020</t>
        </is>
      </c>
      <c r="Q25" t="inlineStr">
        <is>
          <t>2021</t>
        </is>
      </c>
      <c r="R25" t="inlineStr">
        <is>
          <t>2022</t>
        </is>
      </c>
      <c r="S25" t="inlineStr">
        <is>
          <t>2023***</t>
        </is>
      </c>
      <c r="T25" t="inlineStr">
        <is>
          <t>2024***</t>
        </is>
      </c>
    </row>
    <row r="26">
      <c r="A26" t="inlineStr">
        <is>
          <t>Belgium</t>
        </is>
      </c>
      <c r="B26" t="inlineStr">
        <is>
          <t>0 0 0 0 0 0 0 0 0 0 0 0 0 0 0 0 0 0 0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Denmark</t>
        </is>
      </c>
      <c r="B27" t="inlineStr">
        <is>
          <t>0 0 0 0 0 0 0 0 0 0 11 1 0 0 0 0 0 0 0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France</t>
        </is>
      </c>
      <c r="B28" t="inlineStr">
        <is>
          <t>108 92 82 74 60 49 4 3 5 11 86 118 101 142 139 161 124 82 52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Germany</t>
        </is>
      </c>
      <c r="B29" t="inlineStr">
        <is>
          <t>2 2 1 0 0 0 0 0 0 0 0 0 0 0 0 0 0 0 0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Ireland</t>
        </is>
      </c>
      <c r="B30" t="inlineStr">
        <is>
          <t>18 70 58 24 49 41 18 14 12 17 28 19 12 0 68 98 115 122 124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Netherlands</t>
        </is>
      </c>
      <c r="B31" t="inlineStr">
        <is>
          <t>0 0 0 0 0 0 0 0 0 0 0 0 0 0 0 0 0 0 0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Norway</t>
        </is>
      </c>
      <c r="B32" t="inlineStr">
        <is>
          <t>30 30 65 18 20 8 2 24 13 59 39 14 37 47 4 0 2 14 8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Sweden</t>
        </is>
      </c>
      <c r="B33" t="inlineStr">
        <is>
          <t>0 0 0 0 0 0 0 0 0 0 0 0 0 0 0 0 0 0 0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UK (E/W/NI)</t>
        </is>
      </c>
      <c r="B34" t="inlineStr">
        <is>
          <t>14 21 6 14 4 3 2 1 9 0 0 0 0 0 0 0 1 0 0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UK (Scotland)</t>
        </is>
      </c>
      <c r="B35" t="inlineStr">
        <is>
          <t>318 260 232 104 115 107 135 130 121 0 0 0 0 0 0 0 0 0 0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UK (combined)</t>
        </is>
      </c>
      <c r="B36" t="inlineStr">
        <is>
          <t>0 0 0 0 0 0 0 0 0 168 183 200 217 1224</t>
        </is>
      </c>
      <c r="C36" t="inlineStr">
        <is>
          <t>736 923 915 878 837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Others</t>
        </is>
      </c>
      <c r="B37" t="inlineStr">
        <is>
          <t>1 12 1 0 0 0 0 0 0 0 1 0 0 31 35 27 36 26 3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BMS landings</t>
        </is>
      </c>
      <c r="B38" t="inlineStr">
        <is>
          <t>2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Total Nominal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Catch</t>
        </is>
      </c>
      <c r="B40" t="inlineStr">
        <is>
          <t>492 488 445 235 248 208 162 172 161 256 348 352 367 1443</t>
        </is>
      </c>
      <c r="C40" t="inlineStr">
        <is>
          <t>982 1210</t>
        </is>
      </c>
      <c r="D40" t="inlineStr">
        <is>
          <t>1194</t>
        </is>
      </c>
      <c r="E40" t="inlineStr">
        <is>
          <t>1121</t>
        </is>
      </c>
      <c r="F40" t="inlineStr">
        <is>
          <t>1023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Unallocated land-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ings 13 27 117 50 110 133 65 93 234 272 261 323 624 617 292 55 7 -16 -16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WG estimate of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total landings ^^ 504 515 561 284 358 341 227 266 394 528 609 675 990 2060</t>
        </is>
      </c>
      <c r="B44" t="inlineStr">
        <is>
          <t>1273</t>
        </is>
      </c>
      <c r="C44" t="inlineStr">
        <is>
          <t>1265</t>
        </is>
      </c>
      <c r="D44" t="inlineStr">
        <is>
          <t>1201</t>
        </is>
      </c>
      <c r="E44" t="inlineStr">
        <is>
          <t>1105</t>
        </is>
      </c>
      <c r="F44" t="inlineStr">
        <is>
          <t>1007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Agreed TAC *</t>
        </is>
      </c>
      <c r="B45" t="inlineStr">
        <is>
          <t>613</t>
        </is>
      </c>
      <c r="C45" t="inlineStr">
        <is>
          <t>490</t>
        </is>
      </c>
      <c r="D45" t="inlineStr">
        <is>
          <t>402 302 240 182 0 0 0 0 0 0 0 1735</t>
        </is>
      </c>
      <c r="E45" t="inlineStr">
        <is>
          <t>1279</t>
        </is>
      </c>
      <c r="F45" t="inlineStr">
        <is>
          <t>1279</t>
        </is>
      </c>
      <c r="G45" t="inlineStr">
        <is>
          <t>1279</t>
        </is>
      </c>
      <c r="H45" t="inlineStr">
        <is>
          <t>1210</t>
        </is>
      </c>
      <c r="I45" t="inlineStr">
        <is>
          <t>1114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Division 7d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ICES</t>
        </is>
      </c>
      <c r="B47" t="inlineStr">
        <is>
          <t>| WGNSSK</t>
        </is>
      </c>
      <c r="C47" t="inlineStr">
        <is>
          <t>2025</t>
        </is>
      </c>
      <c r="D47" t="inlineStr">
        <is>
          <t>| 107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Country</t>
        </is>
      </c>
      <c r="B48" t="inlineStr">
        <is>
          <t>2006</t>
        </is>
      </c>
      <c r="C48" t="inlineStr">
        <is>
          <t>2007</t>
        </is>
      </c>
      <c r="D48" t="inlineStr">
        <is>
          <t>2008</t>
        </is>
      </c>
      <c r="E48" t="inlineStr">
        <is>
          <t>2009</t>
        </is>
      </c>
      <c r="F48" t="inlineStr">
        <is>
          <t>2010</t>
        </is>
      </c>
      <c r="G48" t="inlineStr">
        <is>
          <t>2011</t>
        </is>
      </c>
      <c r="H48" t="inlineStr">
        <is>
          <t>2012</t>
        </is>
      </c>
      <c r="I48" t="inlineStr">
        <is>
          <t>2013</t>
        </is>
      </c>
      <c r="J48" t="inlineStr">
        <is>
          <t>2014</t>
        </is>
      </c>
      <c r="K48" t="inlineStr">
        <is>
          <t>2015</t>
        </is>
      </c>
      <c r="L48" t="inlineStr">
        <is>
          <t>2016</t>
        </is>
      </c>
      <c r="M48" t="inlineStr">
        <is>
          <t>2017</t>
        </is>
      </c>
      <c r="N48" t="inlineStr">
        <is>
          <t>2018</t>
        </is>
      </c>
      <c r="O48" t="inlineStr">
        <is>
          <t>2019</t>
        </is>
      </c>
      <c r="P48" t="inlineStr">
        <is>
          <t>2020</t>
        </is>
      </c>
      <c r="Q48" t="inlineStr">
        <is>
          <t>2021</t>
        </is>
      </c>
      <c r="R48" t="inlineStr">
        <is>
          <t>2022</t>
        </is>
      </c>
      <c r="S48" t="inlineStr">
        <is>
          <t>2023 *** 2024 ***</t>
        </is>
      </c>
      <c r="T48" t="inlineStr"/>
    </row>
    <row r="49">
      <c r="A49" t="inlineStr">
        <is>
          <t>Belgium</t>
        </is>
      </c>
      <c r="B49" t="inlineStr">
        <is>
          <t>80 84 154 73 57 56 40 53 72 78 39 18 8 3 8 12 4 3 1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Denmark</t>
        </is>
      </c>
      <c r="B50" t="inlineStr">
        <is>
          <t>0 0 0 0 0 0 0 0 0 0 0 0 0 0 0 0 0 0 0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France</t>
        </is>
      </c>
      <c r="B51" t="inlineStr">
        <is>
          <t>1124</t>
        </is>
      </c>
      <c r="C51" t="inlineStr">
        <is>
          <t>1743</t>
        </is>
      </c>
      <c r="D51" t="inlineStr">
        <is>
          <t>1326</t>
        </is>
      </c>
      <c r="E51" t="inlineStr">
        <is>
          <t>1779</t>
        </is>
      </c>
      <c r="F51" t="inlineStr">
        <is>
          <t>1606</t>
        </is>
      </c>
      <c r="G51" t="inlineStr">
        <is>
          <t>1078</t>
        </is>
      </c>
      <c r="H51" t="inlineStr">
        <is>
          <t>885 768 1270</t>
        </is>
      </c>
      <c r="I51" t="inlineStr">
        <is>
          <t>1142</t>
        </is>
      </c>
      <c r="J51" t="inlineStr">
        <is>
          <t>279 92 35 16 10 5 20 7 3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Germany</t>
        </is>
      </c>
      <c r="B52" t="inlineStr">
        <is>
          <t>0 0 0 0 0 0 0 0 0 0 0 0 0 0 0 0 1 0 0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Ireland</t>
        </is>
      </c>
      <c r="B53" t="inlineStr">
        <is>
          <t>0 0 0 0 0 0 0 0 0 0 0 0 0 0 0 0 0 0 0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Netherlands</t>
        </is>
      </c>
      <c r="B54" t="inlineStr">
        <is>
          <t>9 59 30 35 45 51 40 38 50 52 40 22 10 3 2 1 1 2 1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Norway</t>
        </is>
      </c>
      <c r="B55" t="inlineStr">
        <is>
          <t>0 0 0 0 0 0 0 0 0 0 0 0 0 0 0 0 0 0 0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Sweden</t>
        </is>
      </c>
      <c r="B56" t="inlineStr">
        <is>
          <t>0 0 0 0 0 0 0 0 0 0 0 0 0 0 0 0 0 0 0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UK (E/W/NI)</t>
        </is>
      </c>
      <c r="B57" t="inlineStr">
        <is>
          <t>267 174 144 133 127 125 99 100 156 0 0 0 0 0 0 0 0 0 0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UK (Scotland)</t>
        </is>
      </c>
      <c r="B58" t="inlineStr">
        <is>
          <t>1 12 7 3 1 1 0 0 0 0 0 0 0 0 0 0 0 0 0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UK (combined)</t>
        </is>
      </c>
      <c r="B59" t="inlineStr">
        <is>
          <t>0 0 0 0 0 0 0 0 0 162 102 48 39 17 20 11 11 19 5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Others</t>
        </is>
      </c>
      <c r="B60" t="inlineStr">
        <is>
          <t>0 0 0 0 0 0 0 0 0 0 0 0 0 0 0 0 1 0 0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BMS landings</t>
        </is>
      </c>
      <c r="B61" t="inlineStr">
        <is>
          <t>0 0 0 0 0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Total Nominal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Catch</t>
        </is>
      </c>
      <c r="B63" t="inlineStr">
        <is>
          <t>1480</t>
        </is>
      </c>
      <c r="C63" t="inlineStr">
        <is>
          <t>2073</t>
        </is>
      </c>
      <c r="D63" t="inlineStr">
        <is>
          <t>1662</t>
        </is>
      </c>
      <c r="E63" t="inlineStr">
        <is>
          <t>2023</t>
        </is>
      </c>
      <c r="F63" t="inlineStr">
        <is>
          <t>1836</t>
        </is>
      </c>
      <c r="G63" t="inlineStr">
        <is>
          <t>1311</t>
        </is>
      </c>
      <c r="H63" t="inlineStr">
        <is>
          <t>1064</t>
        </is>
      </c>
      <c r="I63" t="inlineStr">
        <is>
          <t>959 1548</t>
        </is>
      </c>
      <c r="J63" t="inlineStr">
        <is>
          <t>1434</t>
        </is>
      </c>
      <c r="K63" t="inlineStr">
        <is>
          <t>459 180 92 38 40 28 38 31 10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Unallocated land-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ings -2 74 -33 -135 -128 8 56 -43 -112 -36 -38 -10 -8 -3 -8 9 0 1 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WG estimate of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total landings</t>
        </is>
      </c>
      <c r="B67" t="inlineStr">
        <is>
          <t>1479</t>
        </is>
      </c>
      <c r="C67" t="inlineStr">
        <is>
          <t>2147</t>
        </is>
      </c>
      <c r="D67" t="inlineStr">
        <is>
          <t>1629</t>
        </is>
      </c>
      <c r="E67" t="inlineStr">
        <is>
          <t>1887</t>
        </is>
      </c>
      <c r="F67" t="inlineStr">
        <is>
          <t>1708</t>
        </is>
      </c>
      <c r="G67" t="inlineStr">
        <is>
          <t>1319</t>
        </is>
      </c>
      <c r="H67" t="inlineStr">
        <is>
          <t>1120</t>
        </is>
      </c>
      <c r="I67" t="inlineStr">
        <is>
          <t>916 1436</t>
        </is>
      </c>
      <c r="J67" t="inlineStr">
        <is>
          <t>1398</t>
        </is>
      </c>
      <c r="K67" t="inlineStr">
        <is>
          <t>421 170 84 36 32 37 38 32 10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Agreed TAC ^</t>
        </is>
      </c>
      <c r="B68" t="inlineStr">
        <is>
          <t>1678</t>
        </is>
      </c>
      <c r="C68" t="inlineStr">
        <is>
          <t>1955</t>
        </is>
      </c>
      <c r="D68" t="inlineStr">
        <is>
          <t>1564</t>
        </is>
      </c>
      <c r="E68" t="inlineStr">
        <is>
          <t>1543</t>
        </is>
      </c>
      <c r="F68" t="inlineStr">
        <is>
          <t>1543</t>
        </is>
      </c>
      <c r="G68" t="inlineStr">
        <is>
          <t>1620</t>
        </is>
      </c>
      <c r="H68" t="inlineStr">
        <is>
          <t>1701</t>
        </is>
      </c>
      <c r="I68" t="inlineStr">
        <is>
          <t>1961</t>
        </is>
      </c>
      <c r="J68" t="inlineStr">
        <is>
          <t>2059</t>
        </is>
      </c>
      <c r="K68" t="inlineStr">
        <is>
          <t>1733</t>
        </is>
      </c>
      <c r="L68" t="inlineStr">
        <is>
          <t>1715</t>
        </is>
      </c>
      <c r="M68" t="inlineStr">
        <is>
          <t>858 772 772 11261</t>
        </is>
      </c>
      <c r="N68" t="inlineStr">
        <is>
          <t>1158</t>
        </is>
      </c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Subdivision 20 **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Country</t>
        </is>
      </c>
      <c r="B70" t="inlineStr">
        <is>
          <t>2006</t>
        </is>
      </c>
      <c r="C70" t="inlineStr">
        <is>
          <t>2007</t>
        </is>
      </c>
      <c r="D70" t="inlineStr">
        <is>
          <t>2008</t>
        </is>
      </c>
      <c r="E70" t="inlineStr">
        <is>
          <t>2009</t>
        </is>
      </c>
      <c r="F70" t="inlineStr">
        <is>
          <t>2010</t>
        </is>
      </c>
      <c r="G70" t="inlineStr">
        <is>
          <t>2011</t>
        </is>
      </c>
      <c r="H70" t="inlineStr">
        <is>
          <t>2012</t>
        </is>
      </c>
      <c r="I70" t="inlineStr">
        <is>
          <t>2013</t>
        </is>
      </c>
      <c r="J70" t="inlineStr">
        <is>
          <t>2014</t>
        </is>
      </c>
      <c r="K70" t="inlineStr">
        <is>
          <t>2015</t>
        </is>
      </c>
      <c r="L70" t="inlineStr">
        <is>
          <t>2016</t>
        </is>
      </c>
      <c r="M70" t="inlineStr">
        <is>
          <t>2017</t>
        </is>
      </c>
      <c r="N70" t="inlineStr">
        <is>
          <t>2018</t>
        </is>
      </c>
      <c r="O70" t="inlineStr">
        <is>
          <t>2019</t>
        </is>
      </c>
      <c r="P70" t="inlineStr">
        <is>
          <t>2020</t>
        </is>
      </c>
      <c r="Q70" t="inlineStr">
        <is>
          <t>2021</t>
        </is>
      </c>
      <c r="R70" t="inlineStr">
        <is>
          <t>2022</t>
        </is>
      </c>
      <c r="S70" t="inlineStr">
        <is>
          <t>2023 *** 2024 ***</t>
        </is>
      </c>
      <c r="T70" t="inlineStr"/>
    </row>
    <row r="71">
      <c r="A71" t="inlineStr">
        <is>
          <t>Belgium</t>
        </is>
      </c>
      <c r="B71" t="inlineStr">
        <is>
          <t>0 0 0 0 0 0 0 0 0 0 0 0 0 0 0 0 0 0 0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Denmark</t>
        </is>
      </c>
      <c r="B72" t="inlineStr">
        <is>
          <t>2513</t>
        </is>
      </c>
      <c r="C72" t="inlineStr">
        <is>
          <t>2246</t>
        </is>
      </c>
      <c r="D72" t="inlineStr">
        <is>
          <t>2553</t>
        </is>
      </c>
      <c r="E72" t="inlineStr">
        <is>
          <t>3024</t>
        </is>
      </c>
      <c r="F72" t="inlineStr">
        <is>
          <t>3286</t>
        </is>
      </c>
      <c r="G72" t="inlineStr">
        <is>
          <t>3118</t>
        </is>
      </c>
      <c r="H72" t="inlineStr">
        <is>
          <t>3178</t>
        </is>
      </c>
      <c r="I72" t="inlineStr">
        <is>
          <t>3033</t>
        </is>
      </c>
      <c r="J72" t="inlineStr">
        <is>
          <t>3430</t>
        </is>
      </c>
      <c r="K72" t="inlineStr">
        <is>
          <t>3344</t>
        </is>
      </c>
      <c r="L72" t="inlineStr">
        <is>
          <t>3696</t>
        </is>
      </c>
      <c r="M72" t="inlineStr">
        <is>
          <t>3665</t>
        </is>
      </c>
      <c r="N72" t="inlineStr">
        <is>
          <t>4222</t>
        </is>
      </c>
      <c r="O72" t="inlineStr">
        <is>
          <t>2740</t>
        </is>
      </c>
      <c r="P72" t="inlineStr">
        <is>
          <t>1856</t>
        </is>
      </c>
      <c r="Q72" t="inlineStr">
        <is>
          <t>1600</t>
        </is>
      </c>
      <c r="R72" t="inlineStr">
        <is>
          <t>1519</t>
        </is>
      </c>
      <c r="S72" t="inlineStr">
        <is>
          <t>2212</t>
        </is>
      </c>
      <c r="T72" t="inlineStr">
        <is>
          <t>2158</t>
        </is>
      </c>
    </row>
    <row r="73">
      <c r="A73" t="inlineStr">
        <is>
          <t>France</t>
        </is>
      </c>
      <c r="B73" t="inlineStr">
        <is>
          <t>0 0 0 5 0 0 0 0 0 0 0 0 0 0 0 0 0 0 0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Germany</t>
        </is>
      </c>
      <c r="B74" t="inlineStr">
        <is>
          <t>84 67 52 55 56 60 78 69 84 87 94 67 87 53 35 25 35 67 45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Ireland</t>
        </is>
      </c>
      <c r="B75" t="inlineStr">
        <is>
          <t>0 0 0 0 0 0 0 0 0 0 0 0 0 0 0 0 1 0 0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Netherlands</t>
        </is>
      </c>
      <c r="B76" t="inlineStr">
        <is>
          <t>47 19 13 1 26 0 0 28 28 26 25 37 58 39 18 11 8 12 10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Norway</t>
        </is>
      </c>
      <c r="B77" t="inlineStr">
        <is>
          <t>628 681 779 440 375 421 615 575 533 500 551 486 288 151 94 67 123 117 142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Sweden</t>
        </is>
      </c>
      <c r="B78" t="inlineStr">
        <is>
          <t>373 371 366 459 459 518 520 529 570 571 641 557 670 355 224 238 242 377 420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UK (E/W/NI)</t>
        </is>
      </c>
      <c r="B79" t="inlineStr">
        <is>
          <t>0 0 0 0 0 0 0 0 0 0 0 0 0 0 0 0 1 0 0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UK (Scotland)</t>
        </is>
      </c>
      <c r="B80" t="inlineStr">
        <is>
          <t>0 0 0 0 0 0 0 5 0 0 0 0 0 0 0 0 0 0 0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UK (combined)</t>
        </is>
      </c>
      <c r="B81" t="inlineStr">
        <is>
          <t>0 0 0 0 0 0 0 0 0 0 0 0 0 0 0 0 0 0 0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Others</t>
        </is>
      </c>
      <c r="B82" t="inlineStr">
        <is>
          <t>326 366 0 0 0 0 0 0 0 0 0 0 0 0 0 0 0 0 0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BMS landings</t>
        </is>
      </c>
      <c r="B83" t="inlineStr">
        <is>
          <t>1 4</t>
        </is>
      </c>
      <c r="C83" t="inlineStr">
        <is>
          <t>0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Total Nominal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Catch</t>
        </is>
      </c>
      <c r="B85" t="inlineStr">
        <is>
          <t>3970</t>
        </is>
      </c>
      <c r="C85" t="inlineStr">
        <is>
          <t>3749</t>
        </is>
      </c>
      <c r="D85" t="inlineStr">
        <is>
          <t>3763</t>
        </is>
      </c>
      <c r="E85" t="inlineStr">
        <is>
          <t>3984</t>
        </is>
      </c>
      <c r="F85" t="inlineStr">
        <is>
          <t>4201</t>
        </is>
      </c>
      <c r="G85" t="inlineStr">
        <is>
          <t>4117</t>
        </is>
      </c>
      <c r="H85" t="inlineStr">
        <is>
          <t>4390</t>
        </is>
      </c>
      <c r="I85" t="inlineStr">
        <is>
          <t>4239</t>
        </is>
      </c>
      <c r="J85" t="inlineStr">
        <is>
          <t>4646</t>
        </is>
      </c>
      <c r="K85" t="inlineStr">
        <is>
          <t>4527</t>
        </is>
      </c>
      <c r="L85" t="inlineStr">
        <is>
          <t>5006</t>
        </is>
      </c>
      <c r="M85" t="inlineStr">
        <is>
          <t>4812</t>
        </is>
      </c>
      <c r="N85" t="inlineStr">
        <is>
          <t>5325</t>
        </is>
      </c>
      <c r="O85" t="inlineStr">
        <is>
          <t>3339</t>
        </is>
      </c>
      <c r="P85" t="inlineStr">
        <is>
          <t>2226</t>
        </is>
      </c>
      <c r="Q85" t="inlineStr">
        <is>
          <t>1942</t>
        </is>
      </c>
      <c r="R85" t="inlineStr">
        <is>
          <t>1687</t>
        </is>
      </c>
      <c r="S85" t="inlineStr">
        <is>
          <t>2786</t>
        </is>
      </c>
      <c r="T85" t="inlineStr">
        <is>
          <t>2775</t>
        </is>
      </c>
    </row>
    <row r="86">
      <c r="A86" t="inlineStr">
        <is>
          <t>Unallocated land-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ings -712 -730 -370 -190 -144 -161 -63 -85 41 36 -232 -97 159 26 15 31 230 18 2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WG estimate of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total landings</t>
        </is>
      </c>
      <c r="B89" t="inlineStr">
        <is>
          <t>3258</t>
        </is>
      </c>
      <c r="C89" t="inlineStr">
        <is>
          <t>3020</t>
        </is>
      </c>
      <c r="D89" t="inlineStr">
        <is>
          <t>3393</t>
        </is>
      </c>
      <c r="E89" t="inlineStr">
        <is>
          <t>3794</t>
        </is>
      </c>
      <c r="F89" t="inlineStr">
        <is>
          <t>4057</t>
        </is>
      </c>
      <c r="G89" t="inlineStr">
        <is>
          <t>3956</t>
        </is>
      </c>
      <c r="H89" t="inlineStr">
        <is>
          <t>4327</t>
        </is>
      </c>
      <c r="I89" t="inlineStr">
        <is>
          <t>4154</t>
        </is>
      </c>
      <c r="J89" t="inlineStr">
        <is>
          <t>4687</t>
        </is>
      </c>
      <c r="K89" t="inlineStr">
        <is>
          <t>4563</t>
        </is>
      </c>
      <c r="L89" t="inlineStr">
        <is>
          <t>4774</t>
        </is>
      </c>
      <c r="M89" t="inlineStr">
        <is>
          <t>4715</t>
        </is>
      </c>
      <c r="N89" t="inlineStr">
        <is>
          <t>5484</t>
        </is>
      </c>
      <c r="O89" t="inlineStr">
        <is>
          <t>3364</t>
        </is>
      </c>
      <c r="P89" t="inlineStr">
        <is>
          <t>2241</t>
        </is>
      </c>
      <c r="Q89" t="inlineStr">
        <is>
          <t>1973</t>
        </is>
      </c>
      <c r="R89" t="inlineStr">
        <is>
          <t>1916</t>
        </is>
      </c>
      <c r="S89" t="inlineStr">
        <is>
          <t>2803</t>
        </is>
      </c>
      <c r="T89" t="inlineStr">
        <is>
          <t>2777</t>
        </is>
      </c>
    </row>
    <row r="90">
      <c r="A90" t="inlineStr">
        <is>
          <t>Agreed TAC</t>
        </is>
      </c>
      <c r="B90" t="inlineStr">
        <is>
          <t>3315</t>
        </is>
      </c>
      <c r="C90" t="inlineStr">
        <is>
          <t>2851</t>
        </is>
      </c>
      <c r="D90" t="inlineStr">
        <is>
          <t>3165</t>
        </is>
      </c>
      <c r="E90" t="inlineStr">
        <is>
          <t>4114</t>
        </is>
      </c>
      <c r="F90" t="inlineStr">
        <is>
          <t>4793</t>
        </is>
      </c>
      <c r="G90" t="inlineStr">
        <is>
          <t>3835</t>
        </is>
      </c>
      <c r="H90" t="inlineStr">
        <is>
          <t>3783</t>
        </is>
      </c>
      <c r="I90" t="inlineStr">
        <is>
          <t>3783</t>
        </is>
      </c>
      <c r="J90" t="inlineStr">
        <is>
          <t>3972</t>
        </is>
      </c>
      <c r="K90" t="inlineStr">
        <is>
          <t>4171</t>
        </is>
      </c>
      <c r="L90" t="inlineStr">
        <is>
          <t>4807</t>
        </is>
      </c>
      <c r="M90" t="inlineStr">
        <is>
          <t>5744</t>
        </is>
      </c>
      <c r="N90" t="inlineStr">
        <is>
          <t>7995</t>
        </is>
      </c>
      <c r="O90" t="inlineStr">
        <is>
          <t>4205</t>
        </is>
      </c>
      <c r="P90" t="inlineStr">
        <is>
          <t>2103</t>
        </is>
      </c>
      <c r="Q90" t="inlineStr">
        <is>
          <t>1893</t>
        </is>
      </c>
      <c r="R90" t="inlineStr">
        <is>
          <t>1893</t>
        </is>
      </c>
      <c r="S90" t="inlineStr">
        <is>
          <t>3095 32846</t>
        </is>
      </c>
      <c r="T90" t="inlineStr"/>
    </row>
    <row r="91">
      <c r="A91" t="inlineStr">
        <is>
          <t>108 | ICES SCIENTIFIC REPORTS 6:[ISSUE ] | ICES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Subarea 4, Division 6.a, Division 7.d, and Subdivision 20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2006</t>
        </is>
      </c>
      <c r="B93" t="inlineStr">
        <is>
          <t>2007</t>
        </is>
      </c>
      <c r="C93" t="inlineStr">
        <is>
          <t>2008</t>
        </is>
      </c>
      <c r="D93" t="inlineStr">
        <is>
          <t>2009</t>
        </is>
      </c>
      <c r="E93" t="inlineStr">
        <is>
          <t>2010</t>
        </is>
      </c>
      <c r="F93" t="inlineStr">
        <is>
          <t>2011</t>
        </is>
      </c>
      <c r="G93" t="inlineStr">
        <is>
          <t>2012</t>
        </is>
      </c>
      <c r="H93" t="inlineStr">
        <is>
          <t>2013</t>
        </is>
      </c>
      <c r="I93" t="inlineStr">
        <is>
          <t>2014</t>
        </is>
      </c>
      <c r="J93" t="inlineStr">
        <is>
          <t>2015</t>
        </is>
      </c>
      <c r="K93" t="inlineStr">
        <is>
          <t>2016</t>
        </is>
      </c>
      <c r="L93" t="inlineStr">
        <is>
          <t>2017</t>
        </is>
      </c>
      <c r="M93" t="inlineStr">
        <is>
          <t>2018</t>
        </is>
      </c>
      <c r="N93" t="inlineStr">
        <is>
          <t>2019</t>
        </is>
      </c>
      <c r="O93" t="inlineStr">
        <is>
          <t>2020</t>
        </is>
      </c>
      <c r="P93" t="inlineStr">
        <is>
          <t>2021</t>
        </is>
      </c>
      <c r="Q93" t="inlineStr">
        <is>
          <t>2022</t>
        </is>
      </c>
      <c r="R93" t="inlineStr">
        <is>
          <t>2023***</t>
        </is>
      </c>
      <c r="S93" t="inlineStr">
        <is>
          <t>2024***</t>
        </is>
      </c>
      <c r="T93" t="inlineStr"/>
    </row>
    <row r="94">
      <c r="A94" t="inlineStr">
        <is>
          <t>Total</t>
        </is>
      </c>
      <c r="B94" t="inlineStr">
        <is>
          <t>Nominal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Catch</t>
        </is>
      </c>
      <c r="B95" t="inlineStr">
        <is>
          <t>29050</t>
        </is>
      </c>
      <c r="C95" t="inlineStr">
        <is>
          <t>26389</t>
        </is>
      </c>
      <c r="D95" t="inlineStr">
        <is>
          <t>28131</t>
        </is>
      </c>
      <c r="E95" t="inlineStr">
        <is>
          <t>33667</t>
        </is>
      </c>
      <c r="F95" t="inlineStr">
        <is>
          <t>37930</t>
        </is>
      </c>
      <c r="G95" t="inlineStr">
        <is>
          <t>33436</t>
        </is>
      </c>
      <c r="H95" t="inlineStr">
        <is>
          <t>33256</t>
        </is>
      </c>
      <c r="I95" t="inlineStr">
        <is>
          <t>31692</t>
        </is>
      </c>
      <c r="J95" t="inlineStr">
        <is>
          <t>35686</t>
        </is>
      </c>
      <c r="K95" t="inlineStr">
        <is>
          <t>38228</t>
        </is>
      </c>
      <c r="L95" t="inlineStr">
        <is>
          <t>40073</t>
        </is>
      </c>
      <c r="M95" t="inlineStr">
        <is>
          <t>39943</t>
        </is>
      </c>
      <c r="N95" t="inlineStr">
        <is>
          <t>41781</t>
        </is>
      </c>
      <c r="O95" t="inlineStr">
        <is>
          <t>32981</t>
        </is>
      </c>
      <c r="P95" t="inlineStr">
        <is>
          <t>20331</t>
        </is>
      </c>
      <c r="Q95" t="inlineStr">
        <is>
          <t>15889</t>
        </is>
      </c>
      <c r="R95" t="inlineStr">
        <is>
          <t>15973</t>
        </is>
      </c>
      <c r="S95" t="inlineStr">
        <is>
          <t>25151</t>
        </is>
      </c>
      <c r="T95" t="inlineStr">
        <is>
          <t>26749</t>
        </is>
      </c>
    </row>
    <row r="96">
      <c r="A96" t="inlineStr">
        <is>
          <t>WG estimate of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total landings</t>
        </is>
      </c>
      <c r="B97" t="inlineStr">
        <is>
          <t>26319</t>
        </is>
      </c>
      <c r="C97" t="inlineStr">
        <is>
          <t>24737</t>
        </is>
      </c>
      <c r="D97" t="inlineStr">
        <is>
          <t>27240</t>
        </is>
      </c>
      <c r="E97" t="inlineStr">
        <is>
          <t>33600</t>
        </is>
      </c>
      <c r="F97" t="inlineStr">
        <is>
          <t>37104</t>
        </is>
      </c>
      <c r="G97" t="inlineStr">
        <is>
          <t>32291</t>
        </is>
      </c>
      <c r="H97" t="inlineStr">
        <is>
          <t>32300</t>
        </is>
      </c>
      <c r="I97" t="inlineStr">
        <is>
          <t>30652</t>
        </is>
      </c>
      <c r="J97" t="inlineStr">
        <is>
          <t>35067</t>
        </is>
      </c>
      <c r="K97" t="inlineStr">
        <is>
          <t>37734</t>
        </is>
      </c>
      <c r="L97" t="inlineStr">
        <is>
          <t>38839</t>
        </is>
      </c>
      <c r="M97" t="inlineStr">
        <is>
          <t>38669</t>
        </is>
      </c>
      <c r="N97" t="inlineStr">
        <is>
          <t>41002</t>
        </is>
      </c>
      <c r="O97" t="inlineStr">
        <is>
          <t>33703</t>
        </is>
      </c>
      <c r="P97" t="inlineStr">
        <is>
          <t>20436</t>
        </is>
      </c>
      <c r="Q97" t="inlineStr">
        <is>
          <t>15855</t>
        </is>
      </c>
      <c r="R97" t="inlineStr">
        <is>
          <t>16409</t>
        </is>
      </c>
      <c r="S97" t="inlineStr">
        <is>
          <t>24943</t>
        </is>
      </c>
      <c r="T97" t="inlineStr">
        <is>
          <t>26451</t>
        </is>
      </c>
    </row>
    <row r="98">
      <c r="A98" t="inlineStr">
        <is>
          <t>BMS landings</t>
        </is>
      </c>
      <c r="B98" t="inlineStr">
        <is>
          <t>0 0 0 0 0 0 0 0 0 0 0 2 12 30 23 2 1 2 2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Agreed TAC</t>
        </is>
      </c>
      <c r="B99" t="inlineStr">
        <is>
          <t>27133</t>
        </is>
      </c>
      <c r="C99" t="inlineStr">
        <is>
          <t>23298</t>
        </is>
      </c>
      <c r="D99" t="inlineStr">
        <is>
          <t>25719</t>
        </is>
      </c>
      <c r="E99" t="inlineStr">
        <is>
          <t>35132</t>
        </is>
      </c>
      <c r="F99" t="inlineStr">
        <is>
          <t>40540</t>
        </is>
      </c>
      <c r="G99" t="inlineStr">
        <is>
          <t>32423</t>
        </is>
      </c>
      <c r="H99" t="inlineStr">
        <is>
          <t>31801</t>
        </is>
      </c>
      <c r="I99" t="inlineStr">
        <is>
          <t>31801</t>
        </is>
      </c>
      <c r="J99" t="inlineStr">
        <is>
          <t>33391</t>
        </is>
      </c>
      <c r="K99" t="inlineStr">
        <is>
          <t>35061</t>
        </is>
      </c>
      <c r="L99" t="inlineStr">
        <is>
          <t>40419</t>
        </is>
      </c>
      <c r="M99" t="inlineStr">
        <is>
          <t>47023</t>
        </is>
      </c>
      <c r="N99" t="inlineStr">
        <is>
          <t>52884</t>
        </is>
      </c>
      <c r="O99" t="inlineStr">
        <is>
          <t>37092</t>
        </is>
      </c>
      <c r="P99" t="inlineStr">
        <is>
          <t>18958</t>
        </is>
      </c>
      <c r="Q99" t="inlineStr">
        <is>
          <t>17190</t>
        </is>
      </c>
      <c r="R99" t="inlineStr">
        <is>
          <t>17190</t>
        </is>
      </c>
      <c r="S99" t="inlineStr">
        <is>
          <t>27218</t>
        </is>
      </c>
      <c r="T99" t="inlineStr">
        <is>
          <t>2</t>
        </is>
      </c>
    </row>
    <row r="100">
      <c r="A100" t="inlineStr">
        <is>
          <t>* TAC prior to 2010 is for the whole of Subdivision 5.b1 and subareas 6, 12, and 14. TAC from 2010 onwards is for Subdivision 5 .b1 and Division 6.a only.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** Skagerrak/Kattegat</t>
        </is>
      </c>
      <c r="B101" t="inlineStr">
        <is>
          <t>split derived</t>
        </is>
      </c>
      <c r="C101" t="inlineStr">
        <is>
          <t>from</t>
        </is>
      </c>
      <c r="D101" t="inlineStr">
        <is>
          <t>national statistics</t>
        </is>
      </c>
      <c r="E101" t="inlineStr">
        <is>
          <t>prior</t>
        </is>
      </c>
      <c r="F101" t="inlineStr">
        <is>
          <t>to 2016.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*** Official landings are preliminary.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^ No agreed TAC in division 7d prior to 2009 .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^^ In cludes ICES estimates of area misreporting from 2006 –2021 .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ICES</t>
        </is>
      </c>
      <c r="B105" t="inlineStr">
        <is>
          <t>| WGNSSK</t>
        </is>
      </c>
      <c r="C105" t="inlineStr">
        <is>
          <t>2025</t>
        </is>
      </c>
      <c r="D105" t="inlineStr">
        <is>
          <t>| 109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</row>
    <row r="2">
      <c r="A2" t="inlineStr">
        <is>
          <t>composition and discards age composition by area and season (quarter or annual, depending on data stratification) for</t>
        </is>
      </c>
      <c r="B2" t="inlineStr"/>
      <c r="C2" t="inlineStr"/>
      <c r="D2" t="inlineStr"/>
    </row>
    <row r="3">
      <c r="A3" t="inlineStr">
        <is>
          <t>2024, calculated as the weight in each area– season –métier stratum covered by the relevant sampling, then summed over</t>
        </is>
      </c>
      <c r="B3" t="inlineStr"/>
      <c r="C3" t="inlineStr"/>
      <c r="D3" t="inlineStr"/>
    </row>
    <row r="4">
      <c r="A4" t="inlineStr">
        <is>
          <t>métiers and expressed as a proportion of the total for the area– season (note the country dimension is not used). Also</t>
        </is>
      </c>
      <c r="B4" t="inlineStr"/>
      <c r="C4" t="inlineStr"/>
      <c r="D4" t="inlineStr"/>
    </row>
    <row r="5">
      <c r="A5" t="inlineStr">
        <is>
          <t>provided is the contribution of landings, discards and BMS in each area (by weight) to the total for that catch category</t>
        </is>
      </c>
      <c r="B5" t="inlineStr"/>
      <c r="C5" t="inlineStr"/>
      <c r="D5" t="inlineStr"/>
    </row>
    <row r="6">
      <c r="A6" t="inlineStr">
        <is>
          <t>(before raising is conducted).</t>
        </is>
      </c>
      <c r="B6" t="inlineStr"/>
      <c r="C6" t="inlineStr"/>
      <c r="D6" t="inlineStr"/>
    </row>
    <row r="7">
      <c r="A7" t="inlineStr">
        <is>
          <t>Discard ratio coverage</t>
        </is>
      </c>
      <c r="B7" t="inlineStr"/>
      <c r="C7" t="inlineStr"/>
      <c r="D7" t="inlineStr"/>
    </row>
    <row r="8">
      <c r="A8" t="inlineStr">
        <is>
          <t>Area/Season</t>
        </is>
      </c>
      <c r="B8" t="inlineStr">
        <is>
          <t>Q1 Q2 Q3 Q4 annual</t>
        </is>
      </c>
      <c r="C8" t="inlineStr"/>
      <c r="D8" t="inlineStr"/>
    </row>
    <row r="9">
      <c r="A9" t="inlineStr">
        <is>
          <t>27.4 81% 73% 63% 74% 29%</t>
        </is>
      </c>
      <c r="B9" t="inlineStr"/>
      <c r="C9" t="inlineStr"/>
      <c r="D9" t="inlineStr"/>
    </row>
    <row r="10">
      <c r="A10" t="inlineStr">
        <is>
          <t>27.3.a.20 70% 84% 77% 70%</t>
        </is>
      </c>
      <c r="B10" t="inlineStr"/>
      <c r="C10" t="inlineStr"/>
      <c r="D10" t="inlineStr"/>
    </row>
    <row r="11">
      <c r="A11" t="inlineStr">
        <is>
          <t>27.6.a 93% 92% 73% 93% 98%</t>
        </is>
      </c>
      <c r="B11" t="inlineStr"/>
      <c r="C11" t="inlineStr"/>
      <c r="D11" t="inlineStr"/>
    </row>
    <row r="12">
      <c r="A12" t="inlineStr">
        <is>
          <t>27.7.d 39% 60% 54% 76% 0%</t>
        </is>
      </c>
      <c r="B12" t="inlineStr"/>
      <c r="C12" t="inlineStr"/>
      <c r="D12" t="inlineStr"/>
    </row>
    <row r="13">
      <c r="A13" t="inlineStr">
        <is>
          <t>Landings age composition coverage</t>
        </is>
      </c>
      <c r="B13" t="inlineStr"/>
      <c r="C13" t="inlineStr"/>
      <c r="D13" t="inlineStr"/>
    </row>
    <row r="14">
      <c r="A14" t="inlineStr">
        <is>
          <t>Area/Season</t>
        </is>
      </c>
      <c r="B14" t="inlineStr">
        <is>
          <t>Q1 Q2 Q3 Q4 annual</t>
        </is>
      </c>
      <c r="C14" t="inlineStr"/>
      <c r="D14" t="inlineStr"/>
    </row>
    <row r="15">
      <c r="A15" t="inlineStr">
        <is>
          <t>27.4 93% 82% 79% 88% 29%</t>
        </is>
      </c>
      <c r="B15" t="inlineStr"/>
      <c r="C15" t="inlineStr"/>
      <c r="D15" t="inlineStr"/>
    </row>
    <row r="16">
      <c r="A16" t="inlineStr">
        <is>
          <t>27.3.a.20 97% 97% 93% 98%</t>
        </is>
      </c>
      <c r="B16" t="inlineStr"/>
      <c r="C16" t="inlineStr"/>
      <c r="D16" t="inlineStr"/>
    </row>
    <row r="17">
      <c r="A17" t="inlineStr">
        <is>
          <t>27.6.a 93%</t>
        </is>
      </c>
      <c r="B17" t="inlineStr">
        <is>
          <t>82%</t>
        </is>
      </c>
      <c r="C17" t="inlineStr">
        <is>
          <t>79% 88% 29%</t>
        </is>
      </c>
      <c r="D17" t="inlineStr"/>
    </row>
    <row r="18">
      <c r="A18" t="inlineStr">
        <is>
          <t>27.7.d 0% 0% 0% 0% 0%</t>
        </is>
      </c>
      <c r="B18" t="inlineStr"/>
      <c r="C18" t="inlineStr"/>
      <c r="D18" t="inlineStr"/>
    </row>
    <row r="19">
      <c r="A19" t="inlineStr">
        <is>
          <t>Discards age composition coverage</t>
        </is>
      </c>
      <c r="B19" t="inlineStr"/>
      <c r="C19" t="inlineStr"/>
      <c r="D19" t="inlineStr"/>
    </row>
    <row r="20">
      <c r="A20" t="inlineStr">
        <is>
          <t>Area/Season</t>
        </is>
      </c>
      <c r="B20" t="inlineStr">
        <is>
          <t>Q1 Q2 Q3 Q4 annual</t>
        </is>
      </c>
      <c r="C20" t="inlineStr"/>
      <c r="D20" t="inlineStr"/>
    </row>
    <row r="21">
      <c r="A21" t="inlineStr">
        <is>
          <t>27.4 99% 100 % 100 % 97% 100 %</t>
        </is>
      </c>
      <c r="B21" t="inlineStr"/>
      <c r="C21" t="inlineStr"/>
      <c r="D21" t="inlineStr"/>
    </row>
    <row r="22">
      <c r="A22" t="inlineStr">
        <is>
          <t>27.3.a.20 100 % 99% 99% 99%</t>
        </is>
      </c>
      <c r="B22" t="inlineStr"/>
      <c r="C22" t="inlineStr"/>
      <c r="D22" t="inlineStr"/>
    </row>
    <row r="23">
      <c r="A23" t="inlineStr">
        <is>
          <t>27.6.a 0% 0% 0% 0% 100%</t>
        </is>
      </c>
      <c r="B23" t="inlineStr"/>
      <c r="C23" t="inlineStr"/>
      <c r="D23" t="inlineStr"/>
    </row>
    <row r="24">
      <c r="A24" t="inlineStr">
        <is>
          <t>27.7.d 0% 0% 0% 0% 0%</t>
        </is>
      </c>
      <c r="B24" t="inlineStr"/>
      <c r="C24" t="inlineStr"/>
      <c r="D24" t="inlineStr"/>
    </row>
    <row r="25">
      <c r="A25" t="inlineStr">
        <is>
          <t>Contribution to total (before raising)</t>
        </is>
      </c>
      <c r="B25" t="inlineStr"/>
      <c r="C25" t="inlineStr"/>
      <c r="D25" t="inlineStr"/>
    </row>
    <row r="26">
      <c r="A26" t="inlineStr">
        <is>
          <t>Area/Type</t>
        </is>
      </c>
      <c r="B26" t="inlineStr">
        <is>
          <t>Landings</t>
        </is>
      </c>
      <c r="C26" t="inlineStr">
        <is>
          <t>Discards</t>
        </is>
      </c>
      <c r="D26" t="inlineStr">
        <is>
          <t>BMS</t>
        </is>
      </c>
    </row>
    <row r="27">
      <c r="A27" t="inlineStr">
        <is>
          <t>27.4 86% 91% 0%</t>
        </is>
      </c>
      <c r="B27" t="inlineStr"/>
      <c r="C27" t="inlineStr"/>
      <c r="D27" t="inlineStr"/>
    </row>
    <row r="28">
      <c r="A28" t="inlineStr">
        <is>
          <t>27.3.a.20 10% 4% 0%</t>
        </is>
      </c>
      <c r="B28" t="inlineStr"/>
      <c r="C28" t="inlineStr"/>
      <c r="D28" t="inlineStr"/>
    </row>
    <row r="29">
      <c r="A29" t="inlineStr">
        <is>
          <t>27.6.a 4% 5% 0%</t>
        </is>
      </c>
      <c r="B29" t="inlineStr"/>
      <c r="C29" t="inlineStr"/>
      <c r="D29" t="inlineStr"/>
    </row>
    <row r="30">
      <c r="A30" t="inlineStr">
        <is>
          <t>27.7.d 0% 0% 0%</t>
        </is>
      </c>
      <c r="B30" t="inlineStr"/>
      <c r="C30" t="inlineStr"/>
      <c r="D30" t="inlineStr"/>
    </row>
    <row r="31">
      <c r="A31" t="inlineStr">
        <is>
          <t>110 | ICES SCIENTIFIC REPORTS 6:38 | ICES</t>
        </is>
      </c>
      <c r="B31" t="inlineStr"/>
      <c r="C31" t="inlineStr"/>
      <c r="D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</row>
    <row r="2">
      <c r="A2" t="inlineStr">
        <is>
          <t>Year/Age</t>
        </is>
      </c>
      <c r="B2" t="inlineStr">
        <is>
          <t>1 2 3 4 5 6 7+</t>
        </is>
      </c>
      <c r="C2" t="inlineStr"/>
      <c r="D2" t="inlineStr"/>
    </row>
    <row r="3">
      <c r="A3" t="inlineStr">
        <is>
          <t>1983 27823 132911 22574 13187 3271 1394 967</t>
        </is>
      </c>
      <c r="B3" t="inlineStr"/>
      <c r="C3" t="inlineStr"/>
      <c r="D3" t="inlineStr"/>
    </row>
    <row r="4">
      <c r="A4" t="inlineStr">
        <is>
          <t>1984 66501 68386 33651 4686 3970 1197 858</t>
        </is>
      </c>
      <c r="B4" t="inlineStr"/>
      <c r="C4" t="inlineStr"/>
      <c r="D4" t="inlineStr"/>
    </row>
    <row r="5">
      <c r="A5" t="inlineStr">
        <is>
          <t>1985 10150 122453 20157 8870 1509 1425 746</t>
        </is>
      </c>
      <c r="B5" t="inlineStr"/>
      <c r="C5" t="inlineStr"/>
      <c r="D5" t="inlineStr"/>
    </row>
    <row r="6">
      <c r="A6" t="inlineStr">
        <is>
          <t>1986 100633 33794 36028 6202 3171 642 890</t>
        </is>
      </c>
      <c r="B6" t="inlineStr"/>
      <c r="C6" t="inlineStr"/>
      <c r="D6" t="inlineStr"/>
    </row>
    <row r="7">
      <c r="A7" t="inlineStr">
        <is>
          <t>1987 32690 132610 10749 9594 1665 1127 589</t>
        </is>
      </c>
      <c r="B7" t="inlineStr"/>
      <c r="C7" t="inlineStr"/>
      <c r="D7" t="inlineStr"/>
    </row>
    <row r="8">
      <c r="A8" t="inlineStr">
        <is>
          <t>1988 22370 63361 45906 3395 2754 690 483</t>
        </is>
      </c>
      <c r="B8" t="inlineStr"/>
      <c r="C8" t="inlineStr"/>
      <c r="D8" t="inlineStr"/>
    </row>
    <row r="9">
      <c r="A9" t="inlineStr">
        <is>
          <t>1989 24089 37165 21914 10500 1107 1097 489</t>
        </is>
      </c>
      <c r="B9" t="inlineStr"/>
      <c r="C9" t="inlineStr"/>
      <c r="D9" t="inlineStr"/>
    </row>
    <row r="10">
      <c r="A10" t="inlineStr">
        <is>
          <t>1990 12141 57807 12227 5222 2614 331 452</t>
        </is>
      </c>
      <c r="B10" t="inlineStr"/>
      <c r="C10" t="inlineStr"/>
      <c r="D10" t="inlineStr"/>
    </row>
    <row r="11">
      <c r="A11" t="inlineStr">
        <is>
          <t>1991 14806 24873 18359 3454 1637 1110 423</t>
        </is>
      </c>
      <c r="B11" t="inlineStr"/>
      <c r="C11" t="inlineStr"/>
      <c r="D11" t="inlineStr"/>
    </row>
    <row r="12">
      <c r="A12" t="inlineStr">
        <is>
          <t>1992 28569 33340 9098 5636 1110 540 463</t>
        </is>
      </c>
      <c r="B12" t="inlineStr"/>
      <c r="C12" t="inlineStr"/>
      <c r="D12" t="inlineStr"/>
    </row>
    <row r="13">
      <c r="A13" t="inlineStr">
        <is>
          <t>1993 5016 57767 12183 3257 1729 450 382</t>
        </is>
      </c>
      <c r="B13" t="inlineStr"/>
      <c r="C13" t="inlineStr"/>
      <c r="D13" t="inlineStr"/>
    </row>
    <row r="14">
      <c r="A14" t="inlineStr">
        <is>
          <t>1994 16308 26176 22430 3325 916 564 271</t>
        </is>
      </c>
      <c r="B14" t="inlineStr"/>
      <c r="C14" t="inlineStr"/>
      <c r="D14" t="inlineStr"/>
    </row>
    <row r="15">
      <c r="A15" t="inlineStr">
        <is>
          <t>1995 16238 65400 13452 5853 860 297 232</t>
        </is>
      </c>
      <c r="B15" t="inlineStr"/>
      <c r="C15" t="inlineStr"/>
      <c r="D15" t="inlineStr"/>
    </row>
    <row r="16">
      <c r="A16" t="inlineStr">
        <is>
          <t>1996 5211 38634 24255 3372 2038 424 313</t>
        </is>
      </c>
      <c r="B16" t="inlineStr"/>
      <c r="C16" t="inlineStr"/>
      <c r="D16" t="inlineStr"/>
    </row>
    <row r="17">
      <c r="A17" t="inlineStr">
        <is>
          <t>1997 24856 29859 19379 6690 1287 752 244</t>
        </is>
      </c>
      <c r="B17" t="inlineStr"/>
      <c r="C17" t="inlineStr"/>
      <c r="D17" t="inlineStr"/>
    </row>
    <row r="18">
      <c r="A18" t="inlineStr">
        <is>
          <t>1998 1554 84266 17086 6084 2435 520 315</t>
        </is>
      </c>
      <c r="B18" t="inlineStr"/>
      <c r="C18" t="inlineStr"/>
      <c r="D18" t="inlineStr"/>
    </row>
    <row r="19">
      <c r="A19" t="inlineStr">
        <is>
          <t>1999 5962 10434 32671 4023 1466 638 343</t>
        </is>
      </c>
      <c r="B19" t="inlineStr"/>
      <c r="C19" t="inlineStr"/>
      <c r="D19" t="inlineStr"/>
    </row>
    <row r="20">
      <c r="A20" t="inlineStr">
        <is>
          <t>2000 8851 22989 6521 6760 1011 388 211</t>
        </is>
      </c>
      <c r="B20" t="inlineStr"/>
      <c r="C20" t="inlineStr"/>
      <c r="D20" t="inlineStr"/>
    </row>
    <row r="21">
      <c r="A21" t="inlineStr">
        <is>
          <t>2001 2260 21550 6199 1176 1104 143 133</t>
        </is>
      </c>
      <c r="B21" t="inlineStr"/>
      <c r="C21" t="inlineStr"/>
      <c r="D21" t="inlineStr"/>
    </row>
    <row r="22">
      <c r="A22" t="inlineStr">
        <is>
          <t>2002 4762 8369 14353 2828 408 398 123</t>
        </is>
      </c>
      <c r="B22" t="inlineStr"/>
      <c r="C22" t="inlineStr"/>
      <c r="D22" t="inlineStr"/>
    </row>
    <row r="23">
      <c r="A23" t="inlineStr">
        <is>
          <t>2003 491 9380 3645 3193 405 70 85</t>
        </is>
      </c>
      <c r="B23" t="inlineStr"/>
      <c r="C23" t="inlineStr"/>
      <c r="D23" t="inlineStr"/>
    </row>
    <row r="24">
      <c r="A24" t="inlineStr">
        <is>
          <t>2004 1515 3611 5544 1539 965 157 57</t>
        </is>
      </c>
      <c r="B24" t="inlineStr"/>
      <c r="C24" t="inlineStr"/>
      <c r="D24" t="inlineStr"/>
    </row>
    <row r="25">
      <c r="A25" t="inlineStr">
        <is>
          <t>2005 1046 8299 3081 1754 487 346 78</t>
        </is>
      </c>
      <c r="B25" t="inlineStr"/>
      <c r="C25" t="inlineStr"/>
      <c r="D25" t="inlineStr"/>
    </row>
    <row r="26">
      <c r="A26" t="inlineStr">
        <is>
          <t>2006 1304 4498 4488 992 534 189 149</t>
        </is>
      </c>
      <c r="B26" t="inlineStr"/>
      <c r="C26" t="inlineStr"/>
      <c r="D26" t="inlineStr"/>
    </row>
    <row r="27">
      <c r="A27" t="inlineStr">
        <is>
          <t>2007 784 6504 2318 1590 401 140 89</t>
        </is>
      </c>
      <c r="B27" t="inlineStr"/>
      <c r="C27" t="inlineStr"/>
      <c r="D27" t="inlineStr"/>
    </row>
    <row r="28">
      <c r="A28" t="inlineStr">
        <is>
          <t>2008 338 3288 4236 1166 719 214 113</t>
        </is>
      </c>
      <c r="B28" t="inlineStr"/>
      <c r="C28" t="inlineStr"/>
      <c r="D28" t="inlineStr"/>
    </row>
    <row r="29">
      <c r="A29" t="inlineStr">
        <is>
          <t>2009 520 4842 2849 2929 602 239 91</t>
        </is>
      </c>
      <c r="B29" t="inlineStr"/>
      <c r="C29" t="inlineStr"/>
      <c r="D29" t="inlineStr"/>
    </row>
    <row r="30">
      <c r="A30" t="inlineStr">
        <is>
          <t>2010 1126 5117 4603 1602 1325 199 94</t>
        </is>
      </c>
      <c r="B30" t="inlineStr"/>
      <c r="C30" t="inlineStr"/>
      <c r="D30" t="inlineStr"/>
    </row>
    <row r="31">
      <c r="A31" t="inlineStr">
        <is>
          <t>2011 1099 4569 4097 1426 615 456 84</t>
        </is>
      </c>
      <c r="B31" t="inlineStr"/>
      <c r="C31" t="inlineStr"/>
      <c r="D31" t="inlineStr"/>
    </row>
    <row r="32">
      <c r="A32" t="inlineStr">
        <is>
          <t>ICES</t>
        </is>
      </c>
      <c r="B32" t="inlineStr">
        <is>
          <t>| WGNSSK</t>
        </is>
      </c>
      <c r="C32" t="inlineStr">
        <is>
          <t>2025</t>
        </is>
      </c>
      <c r="D32" t="inlineStr">
        <is>
          <t>| 111</t>
        </is>
      </c>
    </row>
    <row r="33">
      <c r="A33" t="inlineStr">
        <is>
          <t>Year/Age</t>
        </is>
      </c>
      <c r="B33" t="inlineStr">
        <is>
          <t>1 2 3 4 5 6 7+</t>
        </is>
      </c>
      <c r="C33" t="inlineStr"/>
      <c r="D33" t="inlineStr"/>
    </row>
    <row r="34">
      <c r="A34" t="inlineStr">
        <is>
          <t>2012 666 2230 5385 1986 637 251 165</t>
        </is>
      </c>
      <c r="B34" t="inlineStr"/>
      <c r="C34" t="inlineStr"/>
      <c r="D34" t="inlineStr"/>
    </row>
    <row r="35">
      <c r="A35" t="inlineStr">
        <is>
          <t>2013 683 2696 3070 2630 875 191 129</t>
        </is>
      </c>
      <c r="B35" t="inlineStr"/>
      <c r="C35" t="inlineStr"/>
      <c r="D35" t="inlineStr"/>
    </row>
    <row r="36">
      <c r="A36" t="inlineStr">
        <is>
          <t>2014 2240 4212 4449 1639 1311 334 110</t>
        </is>
      </c>
      <c r="B36" t="inlineStr"/>
      <c r="C36" t="inlineStr"/>
      <c r="D36" t="inlineStr"/>
    </row>
    <row r="37">
      <c r="A37" t="inlineStr">
        <is>
          <t>2015 686 6428 4943 1963 766 603 176</t>
        </is>
      </c>
      <c r="B37" t="inlineStr"/>
      <c r="C37" t="inlineStr"/>
      <c r="D37" t="inlineStr"/>
    </row>
    <row r="38">
      <c r="A38" t="inlineStr">
        <is>
          <t>2016 168 2052 5726 3202 1029 286 259</t>
        </is>
      </c>
      <c r="B38" t="inlineStr"/>
      <c r="C38" t="inlineStr"/>
      <c r="D38" t="inlineStr"/>
    </row>
    <row r="39">
      <c r="A39" t="inlineStr">
        <is>
          <t>2017 351 2252 3284 3541 1707 399 210</t>
        </is>
      </c>
      <c r="B39" t="inlineStr"/>
      <c r="C39" t="inlineStr"/>
      <c r="D39" t="inlineStr"/>
    </row>
    <row r="40">
      <c r="A40" t="inlineStr">
        <is>
          <t>2018 172 6015 3628 2117 1827 812 430</t>
        </is>
      </c>
      <c r="B40" t="inlineStr"/>
      <c r="C40" t="inlineStr"/>
      <c r="D40" t="inlineStr"/>
    </row>
    <row r="41">
      <c r="A41" t="inlineStr">
        <is>
          <t>2019 871 1869 6139 1165 1071 546 491</t>
        </is>
      </c>
      <c r="B41" t="inlineStr"/>
      <c r="C41" t="inlineStr"/>
      <c r="D41" t="inlineStr"/>
    </row>
    <row r="42">
      <c r="A42" t="inlineStr">
        <is>
          <t>2020 845 2899 1649 1530 465 322 215</t>
        </is>
      </c>
      <c r="B42" t="inlineStr"/>
      <c r="C42" t="inlineStr"/>
      <c r="D42" t="inlineStr"/>
    </row>
    <row r="43">
      <c r="A43" t="inlineStr">
        <is>
          <t>2021 261 1425 1975 735 626 118 171</t>
        </is>
      </c>
      <c r="B43" t="inlineStr"/>
      <c r="C43" t="inlineStr"/>
      <c r="D43" t="inlineStr"/>
    </row>
    <row r="44">
      <c r="A44" t="inlineStr">
        <is>
          <t>2022 169 838 1729 1290 463 274 147</t>
        </is>
      </c>
      <c r="B44" t="inlineStr"/>
      <c r="C44" t="inlineStr"/>
      <c r="D44" t="inlineStr"/>
    </row>
    <row r="45">
      <c r="A45" t="inlineStr">
        <is>
          <t>2023 74 1714 1564 2232 1090 293 195</t>
        </is>
      </c>
      <c r="B45" t="inlineStr"/>
      <c r="C45" t="inlineStr"/>
      <c r="D45" t="inlineStr"/>
    </row>
    <row r="46">
      <c r="A46" t="inlineStr">
        <is>
          <t>2024 56 984 2789 1545 1478 454 210</t>
        </is>
      </c>
      <c r="B46" t="inlineStr"/>
      <c r="C46" t="inlineStr"/>
      <c r="D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</row>
    <row r="2">
      <c r="A2" t="inlineStr">
        <is>
          <t>from 2016; t housands).</t>
        </is>
      </c>
      <c r="B2" t="inlineStr"/>
      <c r="C2" t="inlineStr"/>
      <c r="D2" t="inlineStr"/>
    </row>
    <row r="3">
      <c r="A3" t="inlineStr">
        <is>
          <t>Year/Age</t>
        </is>
      </c>
      <c r="B3" t="inlineStr">
        <is>
          <t>1 2 3 4 5 6 7+</t>
        </is>
      </c>
      <c r="C3" t="inlineStr"/>
      <c r="D3" t="inlineStr"/>
    </row>
    <row r="4">
      <c r="A4" t="inlineStr">
        <is>
          <t>1983 55792 11155 25 0 0 0 0</t>
        </is>
      </c>
      <c r="B4" t="inlineStr"/>
      <c r="C4" t="inlineStr"/>
      <c r="D4" t="inlineStr"/>
    </row>
    <row r="5">
      <c r="A5" t="inlineStr">
        <is>
          <t>1984 538609 12529 5 0 0 0 0</t>
        </is>
      </c>
      <c r="B5" t="inlineStr"/>
      <c r="C5" t="inlineStr"/>
      <c r="D5" t="inlineStr"/>
    </row>
    <row r="6">
      <c r="A6" t="inlineStr">
        <is>
          <t>1985 68489 36687 115 0 0 0 0</t>
        </is>
      </c>
      <c r="B6" t="inlineStr"/>
      <c r="C6" t="inlineStr"/>
      <c r="D6" t="inlineStr"/>
    </row>
    <row r="7">
      <c r="A7" t="inlineStr">
        <is>
          <t>1986 564476 5775 303 0 0 0 0</t>
        </is>
      </c>
      <c r="B7" t="inlineStr"/>
      <c r="C7" t="inlineStr"/>
      <c r="D7" t="inlineStr"/>
    </row>
    <row r="8">
      <c r="A8" t="inlineStr">
        <is>
          <t>1987 38992 61960 0 0 0 0 0</t>
        </is>
      </c>
      <c r="B8" t="inlineStr"/>
      <c r="C8" t="inlineStr"/>
      <c r="D8" t="inlineStr"/>
    </row>
    <row r="9">
      <c r="A9" t="inlineStr">
        <is>
          <t>1988 15607 18143 218 0 0 0 0</t>
        </is>
      </c>
      <c r="B9" t="inlineStr"/>
      <c r="C9" t="inlineStr"/>
      <c r="D9" t="inlineStr"/>
    </row>
    <row r="10">
      <c r="A10" t="inlineStr">
        <is>
          <t>1989 183163 8691 489 0 0 0 0</t>
        </is>
      </c>
      <c r="B10" t="inlineStr"/>
      <c r="C10" t="inlineStr"/>
      <c r="D10" t="inlineStr"/>
    </row>
    <row r="11">
      <c r="A11" t="inlineStr">
        <is>
          <t>1990 38056 48285 78 0 0 0 0</t>
        </is>
      </c>
      <c r="B11" t="inlineStr"/>
      <c r="C11" t="inlineStr"/>
      <c r="D11" t="inlineStr"/>
    </row>
    <row r="12">
      <c r="A12" t="inlineStr">
        <is>
          <t>1991 49991 8397 450 0 0 0 0</t>
        </is>
      </c>
      <c r="B12" t="inlineStr"/>
      <c r="C12" t="inlineStr"/>
      <c r="D12" t="inlineStr"/>
    </row>
    <row r="13">
      <c r="A13" t="inlineStr">
        <is>
          <t>1992 109795 10024 5 0 0 0 0</t>
        </is>
      </c>
      <c r="B13" t="inlineStr"/>
      <c r="C13" t="inlineStr"/>
      <c r="D13" t="inlineStr"/>
    </row>
    <row r="14">
      <c r="A14" t="inlineStr">
        <is>
          <t>1993 33712 28622 12 0 0 0 0</t>
        </is>
      </c>
      <c r="B14" t="inlineStr"/>
      <c r="C14" t="inlineStr"/>
      <c r="D14" t="inlineStr"/>
    </row>
    <row r="15">
      <c r="A15" t="inlineStr">
        <is>
          <t>1994 323468 16810 160 0 0 0 0</t>
        </is>
      </c>
      <c r="B15" t="inlineStr"/>
      <c r="C15" t="inlineStr"/>
      <c r="D15" t="inlineStr"/>
    </row>
    <row r="16">
      <c r="A16" t="inlineStr">
        <is>
          <t>1995 45381 43490 30 0 0 0 0</t>
        </is>
      </c>
      <c r="B16" t="inlineStr"/>
      <c r="C16" t="inlineStr"/>
      <c r="D16" t="inlineStr"/>
    </row>
    <row r="17">
      <c r="A17" t="inlineStr">
        <is>
          <t>1996 14445 23108 764 0 0 0 0</t>
        </is>
      </c>
      <c r="B17" t="inlineStr"/>
      <c r="C17" t="inlineStr"/>
      <c r="D17" t="inlineStr"/>
    </row>
    <row r="18">
      <c r="A18" t="inlineStr">
        <is>
          <t>112 | ICES SCIENTIFIC REPORTS 6:38 | ICES</t>
        </is>
      </c>
      <c r="B18" t="inlineStr"/>
      <c r="C18" t="inlineStr"/>
      <c r="D18" t="inlineStr"/>
    </row>
    <row r="19">
      <c r="A19" t="inlineStr">
        <is>
          <t>Year/Age</t>
        </is>
      </c>
      <c r="B19" t="inlineStr">
        <is>
          <t>1 2 3 4 5 6 7+</t>
        </is>
      </c>
      <c r="C19" t="inlineStr"/>
      <c r="D19" t="inlineStr"/>
    </row>
    <row r="20">
      <c r="A20" t="inlineStr">
        <is>
          <t>1997 87630 13735 40 0 0 0 0</t>
        </is>
      </c>
      <c r="B20" t="inlineStr"/>
      <c r="C20" t="inlineStr"/>
      <c r="D20" t="inlineStr"/>
    </row>
    <row r="21">
      <c r="A21" t="inlineStr">
        <is>
          <t>1998 16248 91231 1500 0 0 0 0</t>
        </is>
      </c>
      <c r="B21" t="inlineStr"/>
      <c r="C21" t="inlineStr"/>
      <c r="D21" t="inlineStr"/>
    </row>
    <row r="22">
      <c r="A22" t="inlineStr">
        <is>
          <t>1999 31192 5635 8280 0 0 0 0</t>
        </is>
      </c>
      <c r="B22" t="inlineStr"/>
      <c r="C22" t="inlineStr"/>
      <c r="D22" t="inlineStr"/>
    </row>
    <row r="23">
      <c r="A23" t="inlineStr">
        <is>
          <t>2000 39913 5542 0 0 0 0 0</t>
        </is>
      </c>
      <c r="B23" t="inlineStr"/>
      <c r="C23" t="inlineStr"/>
      <c r="D23" t="inlineStr"/>
    </row>
    <row r="24">
      <c r="A24" t="inlineStr">
        <is>
          <t>2001 5636 33209 753 0 0 0 0</t>
        </is>
      </c>
      <c r="B24" t="inlineStr"/>
      <c r="C24" t="inlineStr"/>
      <c r="D24" t="inlineStr"/>
    </row>
    <row r="25">
      <c r="A25" t="inlineStr">
        <is>
          <t>2002 27318 13435 3181 17 0 0 0</t>
        </is>
      </c>
      <c r="B25" t="inlineStr"/>
      <c r="C25" t="inlineStr"/>
      <c r="D25" t="inlineStr"/>
    </row>
    <row r="26">
      <c r="A26" t="inlineStr">
        <is>
          <t>2003 5820 6108 782 55 0 0 0</t>
        </is>
      </c>
      <c r="B26" t="inlineStr"/>
      <c r="C26" t="inlineStr"/>
      <c r="D26" t="inlineStr"/>
    </row>
    <row r="27">
      <c r="A27" t="inlineStr">
        <is>
          <t>2004 20574 8964 2007 122 6 0 0</t>
        </is>
      </c>
      <c r="B27" t="inlineStr"/>
      <c r="C27" t="inlineStr"/>
      <c r="D27" t="inlineStr"/>
    </row>
    <row r="28">
      <c r="A28" t="inlineStr">
        <is>
          <t>2005 10340 8325 1795 149 66 12 2</t>
        </is>
      </c>
      <c r="B28" t="inlineStr"/>
      <c r="C28" t="inlineStr"/>
      <c r="D28" t="inlineStr"/>
    </row>
    <row r="29">
      <c r="A29" t="inlineStr">
        <is>
          <t>2006 27948 35387 1990 53 7 1 1</t>
        </is>
      </c>
      <c r="B29" t="inlineStr"/>
      <c r="C29" t="inlineStr"/>
      <c r="D29" t="inlineStr"/>
    </row>
    <row r="30">
      <c r="A30" t="inlineStr">
        <is>
          <t>2007 16453 24368 2703 517 54 27 2</t>
        </is>
      </c>
      <c r="B30" t="inlineStr"/>
      <c r="C30" t="inlineStr"/>
      <c r="D30" t="inlineStr"/>
    </row>
    <row r="31">
      <c r="A31" t="inlineStr">
        <is>
          <t>2008 10911 9482 8008 226 15 11 0</t>
        </is>
      </c>
      <c r="B31" t="inlineStr"/>
      <c r="C31" t="inlineStr"/>
      <c r="D31" t="inlineStr"/>
    </row>
    <row r="32">
      <c r="A32" t="inlineStr">
        <is>
          <t>2009 10199 9211 2771 796 58 24 12</t>
        </is>
      </c>
      <c r="B32" t="inlineStr"/>
      <c r="C32" t="inlineStr"/>
      <c r="D32" t="inlineStr"/>
    </row>
    <row r="33">
      <c r="A33" t="inlineStr">
        <is>
          <t>2010 10277 9960 1403 81 36 0 0</t>
        </is>
      </c>
      <c r="B33" t="inlineStr"/>
      <c r="C33" t="inlineStr"/>
      <c r="D33" t="inlineStr"/>
    </row>
    <row r="34">
      <c r="A34" t="inlineStr">
        <is>
          <t>2011 4239 8430 2180 183 7 8 2</t>
        </is>
      </c>
      <c r="B34" t="inlineStr"/>
      <c r="C34" t="inlineStr"/>
      <c r="D34" t="inlineStr"/>
    </row>
    <row r="35">
      <c r="A35" t="inlineStr">
        <is>
          <t>2012 12178 5370 2028 192 5 1 1</t>
        </is>
      </c>
      <c r="B35" t="inlineStr"/>
      <c r="C35" t="inlineStr"/>
      <c r="D35" t="inlineStr"/>
    </row>
    <row r="36">
      <c r="A36" t="inlineStr">
        <is>
          <t>2013 8363 6402 1076 564 107 40 19</t>
        </is>
      </c>
      <c r="B36" t="inlineStr"/>
      <c r="C36" t="inlineStr"/>
      <c r="D36" t="inlineStr"/>
    </row>
    <row r="37">
      <c r="A37" t="inlineStr">
        <is>
          <t>2014 8669 7452 2078 279 104 7 0</t>
        </is>
      </c>
      <c r="B37" t="inlineStr"/>
      <c r="C37" t="inlineStr"/>
      <c r="D37" t="inlineStr"/>
    </row>
    <row r="38">
      <c r="A38" t="inlineStr">
        <is>
          <t>2015 4244 9506 2586 252 73 66 22</t>
        </is>
      </c>
      <c r="B38" t="inlineStr"/>
      <c r="C38" t="inlineStr"/>
      <c r="D38" t="inlineStr"/>
    </row>
    <row r="39">
      <c r="A39" t="inlineStr">
        <is>
          <t>2016 4320 5318 3299 351 44 1 0</t>
        </is>
      </c>
      <c r="B39" t="inlineStr"/>
      <c r="C39" t="inlineStr"/>
      <c r="D39" t="inlineStr"/>
    </row>
    <row r="40">
      <c r="A40" t="inlineStr">
        <is>
          <t>2017 10007 3244 2183 716 138 14 2</t>
        </is>
      </c>
      <c r="B40" t="inlineStr"/>
      <c r="C40" t="inlineStr"/>
      <c r="D40" t="inlineStr"/>
    </row>
    <row r="41">
      <c r="A41" t="inlineStr">
        <is>
          <t>2018 2858 9485 944 447 62 18 8</t>
        </is>
      </c>
      <c r="B41" t="inlineStr"/>
      <c r="C41" t="inlineStr"/>
      <c r="D41" t="inlineStr"/>
    </row>
    <row r="42">
      <c r="A42" t="inlineStr">
        <is>
          <t>2019 4258 1698 944 22 5 0 0</t>
        </is>
      </c>
      <c r="B42" t="inlineStr"/>
      <c r="C42" t="inlineStr"/>
      <c r="D42" t="inlineStr"/>
    </row>
    <row r="43">
      <c r="A43" t="inlineStr">
        <is>
          <t>2020 11192 4387 296 19 0 0 0</t>
        </is>
      </c>
      <c r="B43" t="inlineStr"/>
      <c r="C43" t="inlineStr"/>
      <c r="D43" t="inlineStr"/>
    </row>
    <row r="44">
      <c r="A44" t="inlineStr">
        <is>
          <t>2021 2907 2852 419 7 10 0 0</t>
        </is>
      </c>
      <c r="B44" t="inlineStr"/>
      <c r="C44" t="inlineStr"/>
      <c r="D44" t="inlineStr"/>
    </row>
    <row r="45">
      <c r="A45" t="inlineStr">
        <is>
          <t>2022 3155 2963 1769 204 19 0 0</t>
        </is>
      </c>
      <c r="B45" t="inlineStr"/>
      <c r="C45" t="inlineStr"/>
      <c r="D45" t="inlineStr"/>
    </row>
    <row r="46">
      <c r="A46" t="inlineStr">
        <is>
          <t>2023 2697 4341 1546 413 29 0 0</t>
        </is>
      </c>
      <c r="B46" t="inlineStr"/>
      <c r="C46" t="inlineStr"/>
      <c r="D46" t="inlineStr"/>
    </row>
    <row r="47">
      <c r="A47" t="inlineStr">
        <is>
          <t>2024 529 2742 1999 230 58 6 1</t>
        </is>
      </c>
      <c r="B47" t="inlineStr"/>
      <c r="C47" t="inlineStr"/>
      <c r="D47" t="inlineStr"/>
    </row>
    <row r="48">
      <c r="A48" t="inlineStr">
        <is>
          <t>ICES</t>
        </is>
      </c>
      <c r="B48" t="inlineStr">
        <is>
          <t>| WGNSSK</t>
        </is>
      </c>
      <c r="C48" t="inlineStr">
        <is>
          <t>2025</t>
        </is>
      </c>
      <c r="D48" t="inlineStr">
        <is>
          <t>| 113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</row>
    <row r="2">
      <c r="A2" t="inlineStr">
        <is>
          <t>Year/Age</t>
        </is>
      </c>
      <c r="B2" t="inlineStr">
        <is>
          <t>1 2 3 4 5 6 7+</t>
        </is>
      </c>
    </row>
    <row r="3">
      <c r="A3" t="inlineStr">
        <is>
          <t>1983 83615 144066 22599 13187 3271 1394 967</t>
        </is>
      </c>
      <c r="B3" t="inlineStr"/>
    </row>
    <row r="4">
      <c r="A4" t="inlineStr">
        <is>
          <t>1984 605110 80915 33656 4686 3970 1197 858</t>
        </is>
      </c>
      <c r="B4" t="inlineStr"/>
    </row>
    <row r="5">
      <c r="A5" t="inlineStr">
        <is>
          <t>1985 78639 159140 20272 8870 1509 1425 746</t>
        </is>
      </c>
      <c r="B5" t="inlineStr"/>
    </row>
    <row r="6">
      <c r="A6" t="inlineStr">
        <is>
          <t>1986 665109 39569 36331 6202 3171 642 890</t>
        </is>
      </c>
      <c r="B6" t="inlineStr"/>
    </row>
    <row r="7">
      <c r="A7" t="inlineStr">
        <is>
          <t>1987 71682 194571 10749 9594 1665 1127 589</t>
        </is>
      </c>
      <c r="B7" t="inlineStr"/>
    </row>
    <row r="8">
      <c r="A8" t="inlineStr">
        <is>
          <t>1988 37977 81504 46124 3395 2754 690 483</t>
        </is>
      </c>
      <c r="B8" t="inlineStr"/>
    </row>
    <row r="9">
      <c r="A9" t="inlineStr">
        <is>
          <t>1989 207252 45856 22403 10500 1107 1097 489</t>
        </is>
      </c>
      <c r="B9" t="inlineStr"/>
    </row>
    <row r="10">
      <c r="A10" t="inlineStr">
        <is>
          <t>1990 50197 106092 12305 5222 2614 331 452</t>
        </is>
      </c>
      <c r="B10" t="inlineStr"/>
    </row>
    <row r="11">
      <c r="A11" t="inlineStr">
        <is>
          <t>1991 64797 33269 18809 3454 1637 1110 423</t>
        </is>
      </c>
      <c r="B11" t="inlineStr"/>
    </row>
    <row r="12">
      <c r="A12" t="inlineStr">
        <is>
          <t>1992 138364 43364 9103 5636 1110 540 463</t>
        </is>
      </c>
      <c r="B12" t="inlineStr"/>
    </row>
    <row r="13">
      <c r="A13" t="inlineStr">
        <is>
          <t>1993 38728 86389 12196 3257 1729 450 382</t>
        </is>
      </c>
      <c r="B13" t="inlineStr"/>
    </row>
    <row r="14">
      <c r="A14" t="inlineStr">
        <is>
          <t>1994 339777 42986 22590 3325 916 564 271</t>
        </is>
      </c>
      <c r="B14" t="inlineStr"/>
    </row>
    <row r="15">
      <c r="A15" t="inlineStr">
        <is>
          <t>1995 61620 108890 13482 5853 860 297 232</t>
        </is>
      </c>
      <c r="B15" t="inlineStr"/>
    </row>
    <row r="16">
      <c r="A16" t="inlineStr">
        <is>
          <t>1996 19656 61741 25019 3372 2038 424 313</t>
        </is>
      </c>
      <c r="B16" t="inlineStr"/>
    </row>
    <row r="17">
      <c r="A17" t="inlineStr">
        <is>
          <t>1997 112487 43595 19419 6690 1287 752 244</t>
        </is>
      </c>
      <c r="B17" t="inlineStr"/>
    </row>
    <row r="18">
      <c r="A18" t="inlineStr">
        <is>
          <t>1998 17801 175497 18586 6084 2435 520 315</t>
        </is>
      </c>
      <c r="B18" t="inlineStr"/>
    </row>
    <row r="19">
      <c r="A19" t="inlineStr">
        <is>
          <t>1999 37155 16069 40950 4023 1466 638 343</t>
        </is>
      </c>
      <c r="B19" t="inlineStr"/>
    </row>
    <row r="20">
      <c r="A20" t="inlineStr">
        <is>
          <t>2000 48764 28531 6521 6760 1011 388 211</t>
        </is>
      </c>
      <c r="B20" t="inlineStr"/>
    </row>
    <row r="21">
      <c r="A21" t="inlineStr">
        <is>
          <t>2001 7895 54759 6952 1176 1104 143 133</t>
        </is>
      </c>
      <c r="B21" t="inlineStr"/>
    </row>
    <row r="22">
      <c r="A22" t="inlineStr">
        <is>
          <t>2002 32080 21805 17534 2845 408 398 123</t>
        </is>
      </c>
      <c r="B22" t="inlineStr"/>
    </row>
    <row r="23">
      <c r="A23" t="inlineStr">
        <is>
          <t>2003 6311 15488 4427 3247 405 70 85</t>
        </is>
      </c>
      <c r="B23" t="inlineStr"/>
    </row>
    <row r="24">
      <c r="A24" t="inlineStr">
        <is>
          <t>2004 22089 12574 7550 1661 971 158 57</t>
        </is>
      </c>
      <c r="B24" t="inlineStr"/>
    </row>
    <row r="25">
      <c r="A25" t="inlineStr">
        <is>
          <t>2005 11385 16624 4876 1903 553 358 80</t>
        </is>
      </c>
      <c r="B25" t="inlineStr"/>
    </row>
    <row r="26">
      <c r="A26" t="inlineStr">
        <is>
          <t>2006 29253 39885 6479 1045 541 190 150</t>
        </is>
      </c>
      <c r="B26" t="inlineStr"/>
    </row>
    <row r="27">
      <c r="A27" t="inlineStr">
        <is>
          <t>2007 17237 30872 5021 2107 455 167 91</t>
        </is>
      </c>
      <c r="B27" t="inlineStr"/>
    </row>
    <row r="28">
      <c r="A28" t="inlineStr">
        <is>
          <t>2008 11249 12770 12244 1392 734 225 113</t>
        </is>
      </c>
      <c r="B28" t="inlineStr"/>
    </row>
    <row r="29">
      <c r="A29" t="inlineStr">
        <is>
          <t>2009 10719 14053 5620 3724 660 263 103</t>
        </is>
      </c>
      <c r="B29" t="inlineStr"/>
    </row>
    <row r="30">
      <c r="A30" t="inlineStr">
        <is>
          <t>2010 11403 15077 6006 1683 1362 199 94</t>
        </is>
      </c>
      <c r="B30" t="inlineStr"/>
    </row>
    <row r="31">
      <c r="A31" t="inlineStr">
        <is>
          <t>2011 5338 12999 6277 1608 621 464 86</t>
        </is>
      </c>
      <c r="B31" t="inlineStr"/>
    </row>
    <row r="32">
      <c r="A32" t="inlineStr">
        <is>
          <t>114 | ICES SCIENTIFIC REPORTS 6:38 | ICES</t>
        </is>
      </c>
      <c r="B32" t="inlineStr"/>
    </row>
    <row r="33">
      <c r="A33" t="inlineStr">
        <is>
          <t>Year/Age</t>
        </is>
      </c>
      <c r="B33" t="inlineStr">
        <is>
          <t>1 2 3 4 5 6 7+</t>
        </is>
      </c>
    </row>
    <row r="34">
      <c r="A34" t="inlineStr">
        <is>
          <t>2012 12845 7600 7412 2178 641 252 166</t>
        </is>
      </c>
      <c r="B34" t="inlineStr"/>
    </row>
    <row r="35">
      <c r="A35" t="inlineStr">
        <is>
          <t>2013 9046 9098 4146 3194 982 231 148</t>
        </is>
      </c>
      <c r="B35" t="inlineStr"/>
    </row>
    <row r="36">
      <c r="A36" t="inlineStr">
        <is>
          <t>2014 10909 11664 6527 1918 1415 342 110</t>
        </is>
      </c>
      <c r="B36" t="inlineStr"/>
    </row>
    <row r="37">
      <c r="A37" t="inlineStr">
        <is>
          <t>2015 4930 15934 7529 2215 839 669 198</t>
        </is>
      </c>
      <c r="B37" t="inlineStr"/>
    </row>
    <row r="38">
      <c r="A38" t="inlineStr">
        <is>
          <t>2016 4488 7371 9025 3553 1074 287 259</t>
        </is>
      </c>
      <c r="B38" t="inlineStr"/>
    </row>
    <row r="39">
      <c r="A39" t="inlineStr">
        <is>
          <t>2017 10358 5496 5467 4257 1845 412 212</t>
        </is>
      </c>
      <c r="B39" t="inlineStr"/>
    </row>
    <row r="40">
      <c r="A40" t="inlineStr">
        <is>
          <t>2018 3030 15500 4571 2564 1889 830 438</t>
        </is>
      </c>
      <c r="B40" t="inlineStr"/>
    </row>
    <row r="41">
      <c r="A41" t="inlineStr">
        <is>
          <t>2019 5129 3568 7082 1187 1075 546 491</t>
        </is>
      </c>
      <c r="B41" t="inlineStr"/>
    </row>
    <row r="42">
      <c r="A42" t="inlineStr">
        <is>
          <t>2020 12037 7286 1944 1549 465 322 215</t>
        </is>
      </c>
      <c r="B42" t="inlineStr"/>
    </row>
    <row r="43">
      <c r="A43" t="inlineStr">
        <is>
          <t>2021 3168 4277 2394 743 637 118 171</t>
        </is>
      </c>
      <c r="B43" t="inlineStr"/>
    </row>
    <row r="44">
      <c r="A44" t="inlineStr">
        <is>
          <t>2022 3324 3801 3498 1494 482 274 147</t>
        </is>
      </c>
      <c r="B44" t="inlineStr"/>
    </row>
    <row r="45">
      <c r="A45" t="inlineStr">
        <is>
          <t>2023 2771 6055 3110 2645 1119 293 195</t>
        </is>
      </c>
      <c r="B45" t="inlineStr"/>
    </row>
    <row r="46">
      <c r="A46" t="inlineStr">
        <is>
          <t>2024 586 3726 4788 1775 1536 461 211</t>
        </is>
      </c>
      <c r="B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</row>
    <row r="2">
      <c r="A2" t="inlineStr">
        <is>
          <t>BMS landings from 2016) and total catch (landings + discards) as SOP values in tonnes. Note any differences in values</t>
        </is>
      </c>
      <c r="B2" t="inlineStr"/>
      <c r="C2" t="inlineStr"/>
      <c r="D2" t="inlineStr"/>
    </row>
    <row r="3">
      <c r="A3" t="inlineStr">
        <is>
          <t>between Table 4.3 and those given in the report and advice are due to SOP correction.</t>
        </is>
      </c>
      <c r="B3" t="inlineStr"/>
      <c r="C3" t="inlineStr"/>
      <c r="D3" t="inlineStr"/>
    </row>
    <row r="4">
      <c r="A4" t="inlineStr">
        <is>
          <t>Year</t>
        </is>
      </c>
      <c r="B4" t="inlineStr">
        <is>
          <t>Landings</t>
        </is>
      </c>
      <c r="C4" t="inlineStr">
        <is>
          <t>Discards</t>
        </is>
      </c>
      <c r="D4" t="inlineStr">
        <is>
          <t>Catch</t>
        </is>
      </c>
    </row>
    <row r="5">
      <c r="A5" t="inlineStr">
        <is>
          <t>1963 129642 12347 141988</t>
        </is>
      </c>
      <c r="B5" t="inlineStr"/>
      <c r="C5" t="inlineStr"/>
      <c r="D5" t="inlineStr"/>
    </row>
    <row r="6">
      <c r="A6" t="inlineStr">
        <is>
          <t>1964 148555 4922 153477</t>
        </is>
      </c>
      <c r="B6" t="inlineStr"/>
      <c r="C6" t="inlineStr"/>
      <c r="D6" t="inlineStr"/>
    </row>
    <row r="7">
      <c r="A7" t="inlineStr">
        <is>
          <t>1965 203152 29526 232677</t>
        </is>
      </c>
      <c r="B7" t="inlineStr"/>
      <c r="C7" t="inlineStr"/>
      <c r="D7" t="inlineStr"/>
    </row>
    <row r="8">
      <c r="A8" t="inlineStr">
        <is>
          <t>1966 237301 37986 275287</t>
        </is>
      </c>
      <c r="B8" t="inlineStr"/>
      <c r="C8" t="inlineStr"/>
      <c r="D8" t="inlineStr"/>
    </row>
    <row r="9">
      <c r="A9" t="inlineStr">
        <is>
          <t>1967 274661 23377 298037</t>
        </is>
      </c>
      <c r="B9" t="inlineStr"/>
      <c r="C9" t="inlineStr"/>
      <c r="D9" t="inlineStr"/>
    </row>
    <row r="10">
      <c r="A10" t="inlineStr">
        <is>
          <t>1968 311283 17563 328846</t>
        </is>
      </c>
      <c r="B10" t="inlineStr"/>
      <c r="C10" t="inlineStr"/>
      <c r="D10" t="inlineStr"/>
    </row>
    <row r="11">
      <c r="A11" t="inlineStr">
        <is>
          <t>1969 221348 4795 226143</t>
        </is>
      </c>
      <c r="B11" t="inlineStr"/>
      <c r="C11" t="inlineStr"/>
      <c r="D11" t="inlineStr"/>
    </row>
    <row r="12">
      <c r="A12" t="inlineStr">
        <is>
          <t>1970 237648 17737 255385</t>
        </is>
      </c>
      <c r="B12" t="inlineStr"/>
      <c r="C12" t="inlineStr"/>
      <c r="D12" t="inlineStr"/>
    </row>
    <row r="13">
      <c r="A13" t="inlineStr">
        <is>
          <t>1971 337142 84089 421230</t>
        </is>
      </c>
      <c r="B13" t="inlineStr"/>
      <c r="C13" t="inlineStr"/>
      <c r="D13" t="inlineStr"/>
    </row>
    <row r="14">
      <c r="A14" t="inlineStr">
        <is>
          <t>1972 366854 33810 400664</t>
        </is>
      </c>
      <c r="B14" t="inlineStr"/>
      <c r="C14" t="inlineStr"/>
      <c r="D14" t="inlineStr"/>
    </row>
    <row r="15">
      <c r="A15" t="inlineStr">
        <is>
          <t>1973 250139 30224 280362</t>
        </is>
      </c>
      <c r="B15" t="inlineStr"/>
      <c r="C15" t="inlineStr"/>
      <c r="D15" t="inlineStr"/>
    </row>
    <row r="16">
      <c r="A16" t="inlineStr">
        <is>
          <t>1974 226843 39759 266602</t>
        </is>
      </c>
      <c r="B16" t="inlineStr"/>
      <c r="C16" t="inlineStr"/>
      <c r="D16" t="inlineStr"/>
    </row>
    <row r="17">
      <c r="A17" t="inlineStr">
        <is>
          <t>1975 217412 37149 254561</t>
        </is>
      </c>
      <c r="B17" t="inlineStr"/>
      <c r="C17" t="inlineStr"/>
      <c r="D17" t="inlineStr"/>
    </row>
    <row r="18">
      <c r="A18" t="inlineStr">
        <is>
          <t>ICES</t>
        </is>
      </c>
      <c r="B18" t="inlineStr">
        <is>
          <t>| WGNSSK</t>
        </is>
      </c>
      <c r="C18" t="inlineStr">
        <is>
          <t>2025</t>
        </is>
      </c>
      <c r="D18" t="inlineStr">
        <is>
          <t>| 115</t>
        </is>
      </c>
    </row>
    <row r="19">
      <c r="A19" t="inlineStr">
        <is>
          <t>Year</t>
        </is>
      </c>
      <c r="B19" t="inlineStr">
        <is>
          <t>Landings</t>
        </is>
      </c>
      <c r="C19" t="inlineStr">
        <is>
          <t>Discards</t>
        </is>
      </c>
      <c r="D19" t="inlineStr">
        <is>
          <t>Catch</t>
        </is>
      </c>
    </row>
    <row r="20">
      <c r="A20" t="inlineStr">
        <is>
          <t>1976 250417 72669 323086</t>
        </is>
      </c>
      <c r="B20" t="inlineStr"/>
      <c r="C20" t="inlineStr"/>
      <c r="D20" t="inlineStr"/>
    </row>
    <row r="21">
      <c r="A21" t="inlineStr">
        <is>
          <t>1977 220942 139341 360284</t>
        </is>
      </c>
      <c r="B21" t="inlineStr"/>
      <c r="C21" t="inlineStr"/>
      <c r="D21" t="inlineStr"/>
    </row>
    <row r="22">
      <c r="A22" t="inlineStr">
        <is>
          <t>1978 308168 32625 340793</t>
        </is>
      </c>
      <c r="B22" t="inlineStr"/>
      <c r="C22" t="inlineStr"/>
      <c r="D22" t="inlineStr"/>
    </row>
    <row r="23">
      <c r="A23" t="inlineStr">
        <is>
          <t>1979 282104 162517 444620</t>
        </is>
      </c>
      <c r="B23" t="inlineStr"/>
      <c r="C23" t="inlineStr"/>
      <c r="D23" t="inlineStr"/>
    </row>
    <row r="24">
      <c r="A24" t="inlineStr">
        <is>
          <t>1980 311634 294529 606163</t>
        </is>
      </c>
      <c r="B24" t="inlineStr"/>
      <c r="C24" t="inlineStr"/>
      <c r="D24" t="inlineStr"/>
    </row>
    <row r="25">
      <c r="A25" t="inlineStr">
        <is>
          <t>1981 357480 57379 414859</t>
        </is>
      </c>
      <c r="B25" t="inlineStr"/>
      <c r="C25" t="inlineStr"/>
      <c r="D25" t="inlineStr"/>
    </row>
    <row r="26">
      <c r="A26" t="inlineStr">
        <is>
          <t>1982 323875 54579 378454</t>
        </is>
      </c>
      <c r="B26" t="inlineStr"/>
      <c r="C26" t="inlineStr"/>
      <c r="D26" t="inlineStr"/>
    </row>
    <row r="27">
      <c r="A27" t="inlineStr">
        <is>
          <t>1983 278939 21628 300567</t>
        </is>
      </c>
      <c r="B27" t="inlineStr"/>
      <c r="C27" t="inlineStr"/>
      <c r="D27" t="inlineStr"/>
    </row>
    <row r="28">
      <c r="A28" t="inlineStr">
        <is>
          <t>1984 248342 151333 399675</t>
        </is>
      </c>
      <c r="B28" t="inlineStr"/>
      <c r="C28" t="inlineStr"/>
      <c r="D28" t="inlineStr"/>
    </row>
    <row r="29">
      <c r="A29" t="inlineStr">
        <is>
          <t>1985 232961 32261 265221</t>
        </is>
      </c>
      <c r="B29" t="inlineStr"/>
      <c r="C29" t="inlineStr"/>
      <c r="D29" t="inlineStr"/>
    </row>
    <row r="30">
      <c r="A30" t="inlineStr">
        <is>
          <t>1986 213099 138867 351966</t>
        </is>
      </c>
      <c r="B30" t="inlineStr"/>
      <c r="C30" t="inlineStr"/>
      <c r="D30" t="inlineStr"/>
    </row>
    <row r="31">
      <c r="A31" t="inlineStr">
        <is>
          <t>1987 235011 30094 265105</t>
        </is>
      </c>
      <c r="B31" t="inlineStr"/>
      <c r="C31" t="inlineStr"/>
      <c r="D31" t="inlineStr"/>
    </row>
    <row r="32">
      <c r="A32" t="inlineStr">
        <is>
          <t>1988 203615 10873 214487</t>
        </is>
      </c>
      <c r="B32" t="inlineStr"/>
      <c r="C32" t="inlineStr"/>
      <c r="D32" t="inlineStr"/>
    </row>
    <row r="33">
      <c r="A33" t="inlineStr">
        <is>
          <t>1989 156747 63732 220479</t>
        </is>
      </c>
      <c r="B33" t="inlineStr"/>
      <c r="C33" t="inlineStr"/>
      <c r="D33" t="inlineStr"/>
    </row>
    <row r="34">
      <c r="A34" t="inlineStr">
        <is>
          <t>1990 137010 27318 164328</t>
        </is>
      </c>
      <c r="B34" t="inlineStr"/>
      <c r="C34" t="inlineStr"/>
      <c r="D34" t="inlineStr"/>
    </row>
    <row r="35">
      <c r="A35" t="inlineStr">
        <is>
          <t>1991 112369 18821 131190</t>
        </is>
      </c>
      <c r="B35" t="inlineStr"/>
      <c r="C35" t="inlineStr"/>
      <c r="D35" t="inlineStr"/>
    </row>
    <row r="36">
      <c r="A36" t="inlineStr">
        <is>
          <t>1992 121826 37972 159798</t>
        </is>
      </c>
      <c r="B36" t="inlineStr"/>
      <c r="C36" t="inlineStr"/>
      <c r="D36" t="inlineStr"/>
    </row>
    <row r="37">
      <c r="A37" t="inlineStr">
        <is>
          <t>1993 130261 21550 151811</t>
        </is>
      </c>
      <c r="B37" t="inlineStr"/>
      <c r="C37" t="inlineStr"/>
      <c r="D37" t="inlineStr"/>
    </row>
    <row r="38">
      <c r="A38" t="inlineStr">
        <is>
          <t>1994 118843 98869 217712</t>
        </is>
      </c>
      <c r="B38" t="inlineStr"/>
      <c r="C38" t="inlineStr"/>
      <c r="D38" t="inlineStr"/>
    </row>
    <row r="39">
      <c r="A39" t="inlineStr">
        <is>
          <t>1995 145836 31848 177684</t>
        </is>
      </c>
      <c r="B39" t="inlineStr"/>
      <c r="C39" t="inlineStr"/>
      <c r="D39" t="inlineStr"/>
    </row>
    <row r="40">
      <c r="A40" t="inlineStr">
        <is>
          <t>1996 134148 14093 148240</t>
        </is>
      </c>
      <c r="B40" t="inlineStr"/>
      <c r="C40" t="inlineStr"/>
      <c r="D40" t="inlineStr"/>
    </row>
    <row r="41">
      <c r="A41" t="inlineStr">
        <is>
          <t>1997 129468 33683 163151</t>
        </is>
      </c>
      <c r="B41" t="inlineStr"/>
      <c r="C41" t="inlineStr"/>
      <c r="D41" t="inlineStr"/>
    </row>
    <row r="42">
      <c r="A42" t="inlineStr">
        <is>
          <t>1998 150351 40641 190992</t>
        </is>
      </c>
      <c r="B42" t="inlineStr"/>
      <c r="C42" t="inlineStr"/>
      <c r="D42" t="inlineStr"/>
    </row>
    <row r="43">
      <c r="A43" t="inlineStr">
        <is>
          <t>1999 98309 13711 112019</t>
        </is>
      </c>
      <c r="B43" t="inlineStr"/>
      <c r="C43" t="inlineStr"/>
      <c r="D43" t="inlineStr"/>
    </row>
    <row r="44">
      <c r="A44" t="inlineStr">
        <is>
          <t>2000 72544 14181 86725</t>
        </is>
      </c>
      <c r="B44" t="inlineStr"/>
      <c r="C44" t="inlineStr"/>
      <c r="D44" t="inlineStr"/>
    </row>
    <row r="45">
      <c r="A45" t="inlineStr">
        <is>
          <t>2001 50787 13611 64398</t>
        </is>
      </c>
      <c r="B45" t="inlineStr"/>
      <c r="C45" t="inlineStr"/>
      <c r="D45" t="inlineStr"/>
    </row>
    <row r="46">
      <c r="A46" t="inlineStr">
        <is>
          <t>2002 55395 12380 67775</t>
        </is>
      </c>
      <c r="B46" t="inlineStr"/>
      <c r="C46" t="inlineStr"/>
      <c r="D46" t="inlineStr"/>
    </row>
    <row r="47">
      <c r="A47" t="inlineStr">
        <is>
          <t>2003 31712 4065 35777</t>
        </is>
      </c>
      <c r="B47" t="inlineStr"/>
      <c r="C47" t="inlineStr"/>
      <c r="D47" t="inlineStr"/>
    </row>
    <row r="48">
      <c r="A48" t="inlineStr">
        <is>
          <t>2004 28318 8796 37114</t>
        </is>
      </c>
      <c r="B48" t="inlineStr"/>
      <c r="C48" t="inlineStr"/>
      <c r="D48" t="inlineStr"/>
    </row>
    <row r="49">
      <c r="A49" t="inlineStr">
        <is>
          <t>116 | ICES SCIENTIFIC REPORTS 6:38 | ICES</t>
        </is>
      </c>
      <c r="B49" t="inlineStr"/>
      <c r="C49" t="inlineStr"/>
      <c r="D49" t="inlineStr"/>
    </row>
    <row r="50">
      <c r="A50" t="inlineStr">
        <is>
          <t>Year</t>
        </is>
      </c>
      <c r="B50" t="inlineStr">
        <is>
          <t>Landings</t>
        </is>
      </c>
      <c r="C50" t="inlineStr">
        <is>
          <t>Discards</t>
        </is>
      </c>
      <c r="D50" t="inlineStr">
        <is>
          <t>Catch</t>
        </is>
      </c>
    </row>
    <row r="51">
      <c r="A51" t="inlineStr">
        <is>
          <t>2005 28679 9973 38652</t>
        </is>
      </c>
      <c r="B51" t="inlineStr"/>
      <c r="C51" t="inlineStr"/>
      <c r="D51" t="inlineStr"/>
    </row>
    <row r="52">
      <c r="A52" t="inlineStr">
        <is>
          <t>2006 26167 12380 38547</t>
        </is>
      </c>
      <c r="B52" t="inlineStr"/>
      <c r="C52" t="inlineStr"/>
      <c r="D52" t="inlineStr"/>
    </row>
    <row r="53">
      <c r="A53" t="inlineStr">
        <is>
          <t>2007 24730 32070 56800</t>
        </is>
      </c>
      <c r="B53" t="inlineStr"/>
      <c r="C53" t="inlineStr"/>
      <c r="D53" t="inlineStr"/>
    </row>
    <row r="54">
      <c r="A54" t="inlineStr">
        <is>
          <t>2008 27376 26021 53396</t>
        </is>
      </c>
      <c r="B54" t="inlineStr"/>
      <c r="C54" t="inlineStr"/>
      <c r="D54" t="inlineStr"/>
    </row>
    <row r="55">
      <c r="A55" t="inlineStr">
        <is>
          <t>2009 33469 22131 55600</t>
        </is>
      </c>
      <c r="B55" t="inlineStr"/>
      <c r="C55" t="inlineStr"/>
      <c r="D55" t="inlineStr"/>
    </row>
    <row r="56">
      <c r="A56" t="inlineStr">
        <is>
          <t>2010 37115 13899 51014</t>
        </is>
      </c>
      <c r="B56" t="inlineStr"/>
      <c r="C56" t="inlineStr"/>
      <c r="D56" t="inlineStr"/>
    </row>
    <row r="57">
      <c r="A57" t="inlineStr">
        <is>
          <t>2011 32323 12515 44839</t>
        </is>
      </c>
      <c r="B57" t="inlineStr"/>
      <c r="C57" t="inlineStr"/>
      <c r="D57" t="inlineStr"/>
    </row>
    <row r="58">
      <c r="A58" t="inlineStr">
        <is>
          <t>2012 32363 10554 42916</t>
        </is>
      </c>
      <c r="B58" t="inlineStr"/>
      <c r="C58" t="inlineStr"/>
      <c r="D58" t="inlineStr"/>
    </row>
    <row r="59">
      <c r="A59" t="inlineStr">
        <is>
          <t>2013 30744 12073 42817</t>
        </is>
      </c>
      <c r="B59" t="inlineStr"/>
      <c r="C59" t="inlineStr"/>
      <c r="D59" t="inlineStr"/>
    </row>
    <row r="60">
      <c r="A60" t="inlineStr">
        <is>
          <t>2014 35048 13906 48954</t>
        </is>
      </c>
      <c r="B60" t="inlineStr"/>
      <c r="C60" t="inlineStr"/>
      <c r="D60" t="inlineStr"/>
    </row>
    <row r="61">
      <c r="A61" t="inlineStr">
        <is>
          <t>2015 37938 15038 52976</t>
        </is>
      </c>
      <c r="B61" t="inlineStr"/>
      <c r="C61" t="inlineStr"/>
      <c r="D61" t="inlineStr"/>
    </row>
    <row r="62">
      <c r="A62" t="inlineStr">
        <is>
          <t>2016 38754 13702 52456</t>
        </is>
      </c>
      <c r="B62" t="inlineStr"/>
      <c r="C62" t="inlineStr"/>
      <c r="D62" t="inlineStr"/>
    </row>
    <row r="63">
      <c r="A63" t="inlineStr">
        <is>
          <t>2017 38355 12202 50557</t>
        </is>
      </c>
      <c r="B63" t="inlineStr"/>
      <c r="C63" t="inlineStr"/>
      <c r="D63" t="inlineStr"/>
    </row>
    <row r="64">
      <c r="A64" t="inlineStr">
        <is>
          <t>2018 41147 10170 51317</t>
        </is>
      </c>
      <c r="B64" t="inlineStr"/>
      <c r="C64" t="inlineStr"/>
      <c r="D64" t="inlineStr"/>
    </row>
    <row r="65">
      <c r="A65" t="inlineStr">
        <is>
          <t>2019 33995 3677 37672</t>
        </is>
      </c>
      <c r="B65" t="inlineStr"/>
      <c r="C65" t="inlineStr"/>
      <c r="D65" t="inlineStr"/>
    </row>
    <row r="66">
      <c r="A66" t="inlineStr">
        <is>
          <t>2020 20185 4905 25090</t>
        </is>
      </c>
      <c r="B66" t="inlineStr"/>
      <c r="C66" t="inlineStr"/>
      <c r="D66" t="inlineStr"/>
    </row>
    <row r="67">
      <c r="A67" t="inlineStr">
        <is>
          <t>2021 15754 4405 20159</t>
        </is>
      </c>
      <c r="B67" t="inlineStr"/>
      <c r="C67" t="inlineStr"/>
      <c r="D67" t="inlineStr"/>
    </row>
    <row r="68">
      <c r="A68" t="inlineStr">
        <is>
          <t>2022 16150 6761 22911</t>
        </is>
      </c>
      <c r="B68" t="inlineStr"/>
      <c r="C68" t="inlineStr"/>
      <c r="D68" t="inlineStr"/>
    </row>
    <row r="69">
      <c r="A69" t="inlineStr">
        <is>
          <t>2023 24634 7783 32418</t>
        </is>
      </c>
      <c r="B69" t="inlineStr"/>
      <c r="C69" t="inlineStr"/>
      <c r="D69" t="inlineStr"/>
    </row>
    <row r="70">
      <c r="A70" t="inlineStr">
        <is>
          <t>2024 26232 6167 32399</t>
        </is>
      </c>
      <c r="B70" t="inlineStr"/>
      <c r="C70" t="inlineStr"/>
      <c r="D7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</row>
    <row r="2">
      <c r="A2" t="inlineStr">
        <is>
          <t>Year/Age</t>
        </is>
      </c>
      <c r="B2" t="inlineStr">
        <is>
          <t>1 2 3 4 5 6 7+</t>
        </is>
      </c>
      <c r="C2" t="inlineStr"/>
      <c r="D2" t="inlineStr"/>
    </row>
    <row r="3">
      <c r="A3" t="inlineStr">
        <is>
          <t>1983 0.628 0.931 1.892 3.935 6.464 8.387 10.667</t>
        </is>
      </c>
      <c r="B3" t="inlineStr"/>
      <c r="C3" t="inlineStr"/>
      <c r="D3" t="inlineStr"/>
    </row>
    <row r="4">
      <c r="A4" t="inlineStr">
        <is>
          <t>1984 0.599 1.021 2.233 4.106 6.247 8.400 11.063</t>
        </is>
      </c>
      <c r="B4" t="inlineStr"/>
      <c r="C4" t="inlineStr"/>
      <c r="D4" t="inlineStr"/>
    </row>
    <row r="5">
      <c r="A5" t="inlineStr">
        <is>
          <t>1985 0.595 0.942 2.170 4.254 6.375 8.420 11.319</t>
        </is>
      </c>
      <c r="B5" t="inlineStr"/>
      <c r="C5" t="inlineStr"/>
      <c r="D5" t="inlineStr"/>
    </row>
    <row r="6">
      <c r="A6" t="inlineStr">
        <is>
          <t>1986 0.584 0.872 1.888 3.580 6.236 8.149 10.829</t>
        </is>
      </c>
      <c r="B6" t="inlineStr"/>
      <c r="C6" t="inlineStr"/>
      <c r="D6" t="inlineStr"/>
    </row>
    <row r="7">
      <c r="A7" t="inlineStr">
        <is>
          <t>1987 0.610 0.988 2.031 3.737 6.061 8.291 11.700</t>
        </is>
      </c>
      <c r="B7" t="inlineStr"/>
      <c r="C7" t="inlineStr"/>
      <c r="D7" t="inlineStr"/>
    </row>
    <row r="8">
      <c r="A8" t="inlineStr">
        <is>
          <t>1988 0.595 0.921 2.025 3.347 6.068 7.930 11.303</t>
        </is>
      </c>
      <c r="B8" t="inlineStr"/>
      <c r="C8" t="inlineStr"/>
      <c r="D8" t="inlineStr"/>
    </row>
    <row r="9">
      <c r="A9" t="inlineStr">
        <is>
          <t>1989 0.676 1.059 1.948 3.663 5.452 7.896 10.766</t>
        </is>
      </c>
      <c r="B9" t="inlineStr"/>
      <c r="C9" t="inlineStr"/>
      <c r="D9" t="inlineStr"/>
    </row>
    <row r="10">
      <c r="A10" t="inlineStr">
        <is>
          <t>ICES</t>
        </is>
      </c>
      <c r="B10" t="inlineStr">
        <is>
          <t>| WGNSSK</t>
        </is>
      </c>
      <c r="C10" t="inlineStr">
        <is>
          <t>2025</t>
        </is>
      </c>
      <c r="D10" t="inlineStr">
        <is>
          <t>| 117</t>
        </is>
      </c>
    </row>
    <row r="11">
      <c r="A11" t="inlineStr">
        <is>
          <t>Year/Age</t>
        </is>
      </c>
      <c r="B11" t="inlineStr">
        <is>
          <t>1 2 3 4 5 6 7+</t>
        </is>
      </c>
      <c r="C11" t="inlineStr"/>
      <c r="D11" t="inlineStr"/>
    </row>
    <row r="12">
      <c r="A12" t="inlineStr">
        <is>
          <t>1990 0.732 0.997 2.199 3.884 6.002 7.970 11.092</t>
        </is>
      </c>
      <c r="B12" t="inlineStr"/>
      <c r="C12" t="inlineStr"/>
      <c r="D12" t="inlineStr"/>
    </row>
    <row r="13">
      <c r="A13" t="inlineStr">
        <is>
          <t>1991 0.667 1.079 2.095 3.991 6.146 8.039 10.442</t>
        </is>
      </c>
      <c r="B13" t="inlineStr"/>
      <c r="C13" t="inlineStr"/>
      <c r="D13" t="inlineStr"/>
    </row>
    <row r="14">
      <c r="A14" t="inlineStr">
        <is>
          <t>1992 0.698 1.154 2.550 4.229 6.243 8.414 10.566</t>
        </is>
      </c>
      <c r="B14" t="inlineStr"/>
      <c r="C14" t="inlineStr"/>
      <c r="D14" t="inlineStr"/>
    </row>
    <row r="15">
      <c r="A15" t="inlineStr">
        <is>
          <t>1993 0.704 1.081 2.519 4.555 6.509 8.078 10.194</t>
        </is>
      </c>
      <c r="B15" t="inlineStr"/>
      <c r="C15" t="inlineStr"/>
      <c r="D15" t="inlineStr"/>
    </row>
    <row r="16">
      <c r="A16" t="inlineStr">
        <is>
          <t>1994 0.675 1.085 2.249 4.491 7.119 8.435 10.216</t>
        </is>
      </c>
      <c r="B16" t="inlineStr"/>
      <c r="C16" t="inlineStr"/>
      <c r="D16" t="inlineStr"/>
    </row>
    <row r="17">
      <c r="A17" t="inlineStr">
        <is>
          <t>1995 0.716 1.026 2.244 4.364 7.183 8.958 10.859</t>
        </is>
      </c>
      <c r="B17" t="inlineStr"/>
      <c r="C17" t="inlineStr"/>
      <c r="D17" t="inlineStr"/>
    </row>
    <row r="18">
      <c r="A18" t="inlineStr">
        <is>
          <t>1996 0.697 1.123 2.176 4.109 6.662 8.464 10.566</t>
        </is>
      </c>
      <c r="B18" t="inlineStr"/>
      <c r="C18" t="inlineStr"/>
      <c r="D18" t="inlineStr"/>
    </row>
    <row r="19">
      <c r="A19" t="inlineStr">
        <is>
          <t>1997 0.653 0.969 2.143 3.862 6.265 8.347 10.688</t>
        </is>
      </c>
      <c r="B19" t="inlineStr"/>
      <c r="C19" t="inlineStr"/>
      <c r="D19" t="inlineStr"/>
    </row>
    <row r="20">
      <c r="A20" t="inlineStr">
        <is>
          <t>1998 0.555 0.927 1.733 3.524 5.404 7.577 10.104</t>
        </is>
      </c>
      <c r="B20" t="inlineStr"/>
      <c r="C20" t="inlineStr"/>
      <c r="D20" t="inlineStr"/>
    </row>
    <row r="21">
      <c r="A21" t="inlineStr">
        <is>
          <t>1999 0.641 0.944 1.680 3.327 5.751 7.435 9.318</t>
        </is>
      </c>
      <c r="B21" t="inlineStr"/>
      <c r="C21" t="inlineStr"/>
      <c r="D21" t="inlineStr"/>
    </row>
    <row r="22">
      <c r="A22" t="inlineStr">
        <is>
          <t>2000 0.618 1.027 1.770 3.247 4.930 7.502 9.918</t>
        </is>
      </c>
      <c r="B22" t="inlineStr"/>
      <c r="C22" t="inlineStr"/>
      <c r="D22" t="inlineStr"/>
    </row>
    <row r="23">
      <c r="A23" t="inlineStr">
        <is>
          <t>2001 0.722 1.003 2.312 3.711 5.870 7.341 9.837</t>
        </is>
      </c>
      <c r="B23" t="inlineStr"/>
      <c r="C23" t="inlineStr"/>
      <c r="D23" t="inlineStr"/>
    </row>
    <row r="24">
      <c r="A24" t="inlineStr">
        <is>
          <t>2002 0.629 1.002 1.862 3.751 5.558 7.978 10.101</t>
        </is>
      </c>
      <c r="B24" t="inlineStr"/>
      <c r="C24" t="inlineStr"/>
      <c r="D24" t="inlineStr"/>
    </row>
    <row r="25">
      <c r="A25" t="inlineStr">
        <is>
          <t>2003 0.582 1.077 1.905 3.365 5.760 6.731 9.751</t>
        </is>
      </c>
      <c r="B25" t="inlineStr"/>
      <c r="C25" t="inlineStr"/>
      <c r="D25" t="inlineStr"/>
    </row>
    <row r="26">
      <c r="A26" t="inlineStr">
        <is>
          <t>2004 0.722 1.071 2.091 3.261 5.208 7.451 9.714</t>
        </is>
      </c>
      <c r="B26" t="inlineStr"/>
      <c r="C26" t="inlineStr"/>
      <c r="D26" t="inlineStr"/>
    </row>
    <row r="27">
      <c r="A27" t="inlineStr">
        <is>
          <t>2005 0.747 1.159 1.959 3.654 5.237 7.214 10.170</t>
        </is>
      </c>
      <c r="B27" t="inlineStr"/>
      <c r="C27" t="inlineStr"/>
      <c r="D27" t="inlineStr"/>
    </row>
    <row r="28">
      <c r="A28" t="inlineStr">
        <is>
          <t>2006 0.791 1.199 2.239 3.892 5.688 7.239 9.575</t>
        </is>
      </c>
      <c r="B28" t="inlineStr"/>
      <c r="C28" t="inlineStr"/>
      <c r="D28" t="inlineStr"/>
    </row>
    <row r="29">
      <c r="A29" t="inlineStr">
        <is>
          <t>2007 0.829 1.181 2.370 4.055 6.055 8.239 9.939</t>
        </is>
      </c>
      <c r="B29" t="inlineStr"/>
      <c r="C29" t="inlineStr"/>
      <c r="D29" t="inlineStr"/>
    </row>
    <row r="30">
      <c r="A30" t="inlineStr">
        <is>
          <t>2008 1.067 1.388 2.471 4.077 6.225 7.396 10.330</t>
        </is>
      </c>
      <c r="B30" t="inlineStr"/>
      <c r="C30" t="inlineStr"/>
      <c r="D30" t="inlineStr"/>
    </row>
    <row r="31">
      <c r="A31" t="inlineStr">
        <is>
          <t>2009 0.788 1.413 2.675 4.154 6.118 7.495 10.515</t>
        </is>
      </c>
      <c r="B31" t="inlineStr"/>
      <c r="C31" t="inlineStr"/>
      <c r="D31" t="inlineStr"/>
    </row>
    <row r="32">
      <c r="A32" t="inlineStr">
        <is>
          <t>2010 0.716 1.295 2.672 4.221 6.047 8.302 10.194</t>
        </is>
      </c>
      <c r="B32" t="inlineStr"/>
      <c r="C32" t="inlineStr"/>
      <c r="D32" t="inlineStr"/>
    </row>
    <row r="33">
      <c r="A33" t="inlineStr">
        <is>
          <t>2011 0.862 1.331 2.529 4.595 6.476 7.827 9.902</t>
        </is>
      </c>
      <c r="B33" t="inlineStr"/>
      <c r="C33" t="inlineStr"/>
      <c r="D33" t="inlineStr"/>
    </row>
    <row r="34">
      <c r="A34" t="inlineStr">
        <is>
          <t>2012 0.938 1.369 2.357 4.189 6.391 8.110 9.554</t>
        </is>
      </c>
      <c r="B34" t="inlineStr"/>
      <c r="C34" t="inlineStr"/>
      <c r="D34" t="inlineStr"/>
    </row>
    <row r="35">
      <c r="A35" t="inlineStr">
        <is>
          <t>2013 0.883 1.240 2.462 4.163 6.186 8.335 9.907</t>
        </is>
      </c>
      <c r="B35" t="inlineStr"/>
      <c r="C35" t="inlineStr"/>
      <c r="D35" t="inlineStr"/>
    </row>
    <row r="36">
      <c r="A36" t="inlineStr">
        <is>
          <t>2014 0.699 1.213 2.385 4.157 5.659 7.421 9.524</t>
        </is>
      </c>
      <c r="B36" t="inlineStr"/>
      <c r="C36" t="inlineStr"/>
      <c r="D36" t="inlineStr"/>
    </row>
    <row r="37">
      <c r="A37" t="inlineStr">
        <is>
          <t>2015 0.596 1.214 2.296 4.108 5.922 6.877 9.221</t>
        </is>
      </c>
      <c r="B37" t="inlineStr"/>
      <c r="C37" t="inlineStr"/>
      <c r="D37" t="inlineStr"/>
    </row>
    <row r="38">
      <c r="A38" t="inlineStr">
        <is>
          <t>2016 0.800 1.316 2.342 3.863 5.734 7.319 8.284</t>
        </is>
      </c>
      <c r="B38" t="inlineStr"/>
      <c r="C38" t="inlineStr"/>
      <c r="D38" t="inlineStr"/>
    </row>
    <row r="39">
      <c r="A39" t="inlineStr">
        <is>
          <t>2017 0.753 1.120 2.374 3.914 5.399 6.836 9.388</t>
        </is>
      </c>
      <c r="B39" t="inlineStr"/>
      <c r="C39" t="inlineStr"/>
      <c r="D39" t="inlineStr"/>
    </row>
    <row r="40">
      <c r="A40" t="inlineStr">
        <is>
          <t>2018 0.609 1.066 1.949 3.850 5.627 6.813 8.358</t>
        </is>
      </c>
      <c r="B40" t="inlineStr"/>
      <c r="C40" t="inlineStr"/>
      <c r="D40" t="inlineStr"/>
    </row>
    <row r="41">
      <c r="A41" t="inlineStr">
        <is>
          <t>118 | ICES SCIENTIFIC REPORTS 6:38 | ICES</t>
        </is>
      </c>
      <c r="B41" t="inlineStr"/>
      <c r="C41" t="inlineStr"/>
      <c r="D41" t="inlineStr"/>
    </row>
    <row r="42">
      <c r="A42" t="inlineStr">
        <is>
          <t>Year/Age</t>
        </is>
      </c>
      <c r="B42" t="inlineStr">
        <is>
          <t>1 2 3 4 5 6 7+</t>
        </is>
      </c>
      <c r="C42" t="inlineStr"/>
      <c r="D42" t="inlineStr"/>
    </row>
    <row r="43">
      <c r="A43" t="inlineStr">
        <is>
          <t>2019 0.769 1.120 2.150 3.721 5.482 7.123 8.011</t>
        </is>
      </c>
      <c r="B43" t="inlineStr"/>
      <c r="C43" t="inlineStr"/>
      <c r="D43" t="inlineStr"/>
    </row>
    <row r="44">
      <c r="A44" t="inlineStr">
        <is>
          <t>2020 0.756 1.358 1.928 3.842 5.448 6.609 8.777</t>
        </is>
      </c>
      <c r="B44" t="inlineStr"/>
      <c r="C44" t="inlineStr"/>
      <c r="D44" t="inlineStr"/>
    </row>
    <row r="45">
      <c r="A45" t="inlineStr">
        <is>
          <t>2021 0.746 1.328 2.570 3.902 5.389 7.110 8.780</t>
        </is>
      </c>
      <c r="B45" t="inlineStr"/>
      <c r="C45" t="inlineStr"/>
      <c r="D45" t="inlineStr"/>
    </row>
    <row r="46">
      <c r="A46" t="inlineStr">
        <is>
          <t>2022 0.692 1.315 2.583 3.904 4.862 6.744 9.058</t>
        </is>
      </c>
      <c r="B46" t="inlineStr"/>
      <c r="C46" t="inlineStr"/>
      <c r="D46" t="inlineStr"/>
    </row>
    <row r="47">
      <c r="A47" t="inlineStr">
        <is>
          <t>2023 0.639 1.199 2.207 4.124 5.566 6.659 9.544</t>
        </is>
      </c>
      <c r="B47" t="inlineStr"/>
      <c r="C47" t="inlineStr"/>
      <c r="D47" t="inlineStr"/>
    </row>
    <row r="48">
      <c r="A48" t="inlineStr">
        <is>
          <t>2024 0.713 1.226 2.143 3.714 5.582 7.072 8.610</t>
        </is>
      </c>
      <c r="B48" t="inlineStr"/>
      <c r="C48" t="inlineStr"/>
      <c r="D4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</row>
    <row r="2">
      <c r="A2" t="inlineStr">
        <is>
          <t>from 2016; kg).</t>
        </is>
      </c>
      <c r="B2" t="inlineStr"/>
      <c r="C2" t="inlineStr"/>
      <c r="D2" t="inlineStr"/>
    </row>
    <row r="3">
      <c r="A3" t="inlineStr">
        <is>
          <t>Year/Age</t>
        </is>
      </c>
      <c r="B3" t="inlineStr">
        <is>
          <t>1 2 3 4 5 6 7+</t>
        </is>
      </c>
      <c r="C3" t="inlineStr"/>
      <c r="D3" t="inlineStr"/>
    </row>
    <row r="4">
      <c r="A4" t="inlineStr">
        <is>
          <t>1983 0.296 0.458 0.534 0.000 0.000 0.000 0.000</t>
        </is>
      </c>
      <c r="B4" t="inlineStr"/>
      <c r="C4" t="inlineStr"/>
      <c r="D4" t="inlineStr"/>
    </row>
    <row r="5">
      <c r="A5" t="inlineStr">
        <is>
          <t>1984 0.270 0.469 0.509 0.000 0.000 0.000 0.000</t>
        </is>
      </c>
      <c r="B5" t="inlineStr"/>
      <c r="C5" t="inlineStr"/>
      <c r="D5" t="inlineStr"/>
    </row>
    <row r="6">
      <c r="A6" t="inlineStr">
        <is>
          <t>1985 0.269 0.376 0.652 0.000 0.000 0.000 0.000</t>
        </is>
      </c>
      <c r="B6" t="inlineStr"/>
      <c r="C6" t="inlineStr"/>
      <c r="D6" t="inlineStr"/>
    </row>
    <row r="7">
      <c r="A7" t="inlineStr">
        <is>
          <t>1986 0.242 0.365 0.437 0.000 0.000 0.000 0.000</t>
        </is>
      </c>
      <c r="B7" t="inlineStr"/>
      <c r="C7" t="inlineStr"/>
      <c r="D7" t="inlineStr"/>
    </row>
    <row r="8">
      <c r="A8" t="inlineStr">
        <is>
          <t>1987 0.211 0.353 0.000 0.000 0.000 0.000 0.000</t>
        </is>
      </c>
      <c r="B8" t="inlineStr"/>
      <c r="C8" t="inlineStr"/>
      <c r="D8" t="inlineStr"/>
    </row>
    <row r="9">
      <c r="A9" t="inlineStr">
        <is>
          <t>1988 0.300 0.336 0.459 0.000 0.000 0.000 0.000</t>
        </is>
      </c>
      <c r="B9" t="inlineStr"/>
      <c r="C9" t="inlineStr"/>
      <c r="D9" t="inlineStr"/>
    </row>
    <row r="10">
      <c r="A10" t="inlineStr">
        <is>
          <t>1989 0.326 0.431 0.484 0.000 0.000 0.000 0.000</t>
        </is>
      </c>
      <c r="B10" t="inlineStr"/>
      <c r="C10" t="inlineStr"/>
      <c r="D10" t="inlineStr"/>
    </row>
    <row r="11">
      <c r="A11" t="inlineStr">
        <is>
          <t>1990 0.246 0.371 0.526 0.000 0.000 0.000 0.000</t>
        </is>
      </c>
      <c r="B11" t="inlineStr"/>
      <c r="C11" t="inlineStr"/>
      <c r="D11" t="inlineStr"/>
    </row>
    <row r="12">
      <c r="A12" t="inlineStr">
        <is>
          <t>1991 0.311 0.366 0.393 0.000 0.000 0.000 0.000</t>
        </is>
      </c>
      <c r="B12" t="inlineStr"/>
      <c r="C12" t="inlineStr"/>
      <c r="D12" t="inlineStr"/>
    </row>
    <row r="13">
      <c r="A13" t="inlineStr">
        <is>
          <t>1992 0.308 0.417 2.353 0.000 0.000 0.000 0.000</t>
        </is>
      </c>
      <c r="B13" t="inlineStr"/>
      <c r="C13" t="inlineStr"/>
      <c r="D13" t="inlineStr"/>
    </row>
    <row r="14">
      <c r="A14" t="inlineStr">
        <is>
          <t>1993 0.274 0.430 0.947 0.000 0.000 0.000 0.000</t>
        </is>
      </c>
      <c r="B14" t="inlineStr"/>
      <c r="C14" t="inlineStr"/>
      <c r="D14" t="inlineStr"/>
    </row>
    <row r="15">
      <c r="A15" t="inlineStr">
        <is>
          <t>1994 0.287 0.362 0.483 0.000 0.000 0.000 0.000</t>
        </is>
      </c>
      <c r="B15" t="inlineStr"/>
      <c r="C15" t="inlineStr"/>
      <c r="D15" t="inlineStr"/>
    </row>
    <row r="16">
      <c r="A16" t="inlineStr">
        <is>
          <t>1995 0.314 0.404 0.553 0.000 0.000 0.000 0.000</t>
        </is>
      </c>
      <c r="B16" t="inlineStr"/>
      <c r="C16" t="inlineStr"/>
      <c r="D16" t="inlineStr"/>
    </row>
    <row r="17">
      <c r="A17" t="inlineStr">
        <is>
          <t>1996 0.340 0.380 0.515 0.000 0.000 0.000 0.000</t>
        </is>
      </c>
      <c r="B17" t="inlineStr"/>
      <c r="C17" t="inlineStr"/>
      <c r="D17" t="inlineStr"/>
    </row>
    <row r="18">
      <c r="A18" t="inlineStr">
        <is>
          <t>1997 0.313 0.453 0.616 0.000 0.000 0.000 0.000</t>
        </is>
      </c>
      <c r="B18" t="inlineStr"/>
      <c r="C18" t="inlineStr"/>
      <c r="D18" t="inlineStr"/>
    </row>
    <row r="19">
      <c r="A19" t="inlineStr">
        <is>
          <t>1998 0.352 0.375 0.481 0.000 0.000 0.000 0.000</t>
        </is>
      </c>
      <c r="B19" t="inlineStr"/>
      <c r="C19" t="inlineStr"/>
      <c r="D19" t="inlineStr"/>
    </row>
    <row r="20">
      <c r="A20" t="inlineStr">
        <is>
          <t>1999 0.257 0.389 0.422 0.000 0.000 0.000 0.000</t>
        </is>
      </c>
      <c r="B20" t="inlineStr"/>
      <c r="C20" t="inlineStr"/>
      <c r="D20" t="inlineStr"/>
    </row>
    <row r="21">
      <c r="A21" t="inlineStr">
        <is>
          <t>2000 0.297 0.422 0.000 0.000 0.000 0.000 0.000</t>
        </is>
      </c>
      <c r="B21" t="inlineStr"/>
      <c r="C21" t="inlineStr"/>
      <c r="D21" t="inlineStr"/>
    </row>
    <row r="22">
      <c r="A22" t="inlineStr">
        <is>
          <t>2001 0.232 0.361 0.406 0.000 0.000 0.000 0.000</t>
        </is>
      </c>
      <c r="B22" t="inlineStr"/>
      <c r="C22" t="inlineStr"/>
      <c r="D22" t="inlineStr"/>
    </row>
    <row r="23">
      <c r="A23" t="inlineStr">
        <is>
          <t>2002 0.244 0.324 0.413 2.205 0.000 0.000 0.000</t>
        </is>
      </c>
      <c r="B23" t="inlineStr"/>
      <c r="C23" t="inlineStr"/>
      <c r="D23" t="inlineStr"/>
    </row>
    <row r="24">
      <c r="A24" t="inlineStr">
        <is>
          <t>2003 0.263 0.346 0.497 0.528 0.000 0.000 0.000</t>
        </is>
      </c>
      <c r="B24" t="inlineStr"/>
      <c r="C24" t="inlineStr"/>
      <c r="D24" t="inlineStr"/>
    </row>
    <row r="25">
      <c r="A25" t="inlineStr">
        <is>
          <t>ICES</t>
        </is>
      </c>
      <c r="B25" t="inlineStr">
        <is>
          <t>| WGNSSK</t>
        </is>
      </c>
      <c r="C25" t="inlineStr">
        <is>
          <t>2025</t>
        </is>
      </c>
      <c r="D25" t="inlineStr">
        <is>
          <t>| 119</t>
        </is>
      </c>
    </row>
    <row r="26">
      <c r="A26" t="inlineStr">
        <is>
          <t>Year/Age</t>
        </is>
      </c>
      <c r="B26" t="inlineStr">
        <is>
          <t>1 2 3 4 5 6 7+</t>
        </is>
      </c>
      <c r="C26" t="inlineStr"/>
      <c r="D26" t="inlineStr"/>
    </row>
    <row r="27">
      <c r="A27" t="inlineStr">
        <is>
          <t>2004 0.236 0.271 0.686 0.864 3.852 11.300 0.000</t>
        </is>
      </c>
      <c r="B27" t="inlineStr"/>
      <c r="C27" t="inlineStr"/>
      <c r="D27" t="inlineStr"/>
    </row>
    <row r="28">
      <c r="A28" t="inlineStr">
        <is>
          <t>2005 0.301 0.565 0.814 2.223 4.255 6.509 8.100</t>
        </is>
      </c>
      <c r="B28" t="inlineStr"/>
      <c r="C28" t="inlineStr"/>
      <c r="D28" t="inlineStr"/>
    </row>
    <row r="29">
      <c r="A29" t="inlineStr">
        <is>
          <t>2006 0.226 0.118 0.852 2.593 5.093 5.527 11.061</t>
        </is>
      </c>
      <c r="B29" t="inlineStr"/>
      <c r="C29" t="inlineStr"/>
      <c r="D29" t="inlineStr"/>
    </row>
    <row r="30">
      <c r="A30" t="inlineStr">
        <is>
          <t>2007 0.286 0.821 1.713 3.984 6.540 10.245 15.507</t>
        </is>
      </c>
      <c r="B30" t="inlineStr"/>
      <c r="C30" t="inlineStr"/>
      <c r="D30" t="inlineStr"/>
    </row>
    <row r="31">
      <c r="A31" t="inlineStr">
        <is>
          <t>2008 0.403 0.739 1.717 3.014 5.303 9.341 5.128</t>
        </is>
      </c>
      <c r="B31" t="inlineStr"/>
      <c r="C31" t="inlineStr"/>
      <c r="D31" t="inlineStr"/>
    </row>
    <row r="32">
      <c r="A32" t="inlineStr">
        <is>
          <t>2009 0.378 0.990 2.025 3.549 6.498 8.084 13.047</t>
        </is>
      </c>
      <c r="B32" t="inlineStr"/>
      <c r="C32" t="inlineStr"/>
      <c r="D32" t="inlineStr"/>
    </row>
    <row r="33">
      <c r="A33" t="inlineStr">
        <is>
          <t>2010 0.291 0.825 1.611 3.153 4.933 8.369 6.728</t>
        </is>
      </c>
      <c r="B33" t="inlineStr"/>
      <c r="C33" t="inlineStr"/>
      <c r="D33" t="inlineStr"/>
    </row>
    <row r="34">
      <c r="A34" t="inlineStr">
        <is>
          <t>2011 0.276 0.704 2.147 3.483 5.511 5.047 7.102</t>
        </is>
      </c>
      <c r="B34" t="inlineStr"/>
      <c r="C34" t="inlineStr"/>
      <c r="D34" t="inlineStr"/>
    </row>
    <row r="35">
      <c r="A35" t="inlineStr">
        <is>
          <t>2012 0.226 0.575 1.960 3.569 6.456 8.579 11.610</t>
        </is>
      </c>
      <c r="B35" t="inlineStr"/>
      <c r="C35" t="inlineStr"/>
      <c r="D35" t="inlineStr"/>
    </row>
    <row r="36">
      <c r="A36" t="inlineStr">
        <is>
          <t>2013 0.280 0.815 1.619 3.279 4.267 8.419 7.065</t>
        </is>
      </c>
      <c r="B36" t="inlineStr"/>
      <c r="C36" t="inlineStr"/>
      <c r="D36" t="inlineStr"/>
    </row>
    <row r="37">
      <c r="A37" t="inlineStr">
        <is>
          <t>2014 0.294 0.802 1.964 3.102 3.901 4.561 4.423</t>
        </is>
      </c>
      <c r="B37" t="inlineStr"/>
      <c r="C37" t="inlineStr"/>
      <c r="D37" t="inlineStr"/>
    </row>
    <row r="38">
      <c r="A38" t="inlineStr">
        <is>
          <t>2015 0.331 0.777 1.788 3.236 4.091 5.328 6.896</t>
        </is>
      </c>
      <c r="B38" t="inlineStr"/>
      <c r="C38" t="inlineStr"/>
      <c r="D38" t="inlineStr"/>
    </row>
    <row r="39">
      <c r="A39" t="inlineStr">
        <is>
          <t>2016 0.318 0.950 1.793 3.270 4.613 5.439 0.000</t>
        </is>
      </c>
      <c r="B39" t="inlineStr"/>
      <c r="C39" t="inlineStr"/>
      <c r="D39" t="inlineStr"/>
    </row>
    <row r="40">
      <c r="A40" t="inlineStr">
        <is>
          <t>2017 0.232 0.808 2.007 3.149 3.865 6.008 5.036</t>
        </is>
      </c>
      <c r="B40" t="inlineStr"/>
      <c r="C40" t="inlineStr"/>
      <c r="D40" t="inlineStr"/>
    </row>
    <row r="41">
      <c r="A41" t="inlineStr">
        <is>
          <t>2018 0.279 0.628 1.587 3.325 5.078 4.980 4.359</t>
        </is>
      </c>
      <c r="B41" t="inlineStr"/>
      <c r="C41" t="inlineStr"/>
      <c r="D41" t="inlineStr"/>
    </row>
    <row r="42">
      <c r="A42" t="inlineStr">
        <is>
          <t>2019 0.322 0.554 1.381 2.295 2.805 0.000 0.000</t>
        </is>
      </c>
      <c r="B42" t="inlineStr"/>
      <c r="C42" t="inlineStr"/>
      <c r="D42" t="inlineStr"/>
    </row>
    <row r="43">
      <c r="A43" t="inlineStr">
        <is>
          <t>2020 0.219 0.477 0.976 3.709 0.000 0.000 0.000</t>
        </is>
      </c>
      <c r="B43" t="inlineStr"/>
      <c r="C43" t="inlineStr"/>
      <c r="D43" t="inlineStr"/>
    </row>
    <row r="44">
      <c r="A44" t="inlineStr">
        <is>
          <t>2021 0.290 0.928 1.972 5.079 4.754 0.000 0.000</t>
        </is>
      </c>
      <c r="B44" t="inlineStr"/>
      <c r="C44" t="inlineStr"/>
      <c r="D44" t="inlineStr"/>
    </row>
    <row r="45">
      <c r="A45" t="inlineStr">
        <is>
          <t>2022 0.278 0.775 1.645 2.906 4.110 0.000 11.371</t>
        </is>
      </c>
      <c r="B45" t="inlineStr"/>
      <c r="C45" t="inlineStr"/>
      <c r="D45" t="inlineStr"/>
    </row>
    <row r="46">
      <c r="A46" t="inlineStr">
        <is>
          <t>2023 0.249 0.802 1.613 2.565 2.593 10.516 11.562</t>
        </is>
      </c>
      <c r="B46" t="inlineStr"/>
      <c r="C46" t="inlineStr"/>
      <c r="D46" t="inlineStr"/>
    </row>
    <row r="47">
      <c r="A47" t="inlineStr">
        <is>
          <t>2024 0.322 0.727 1.479 2.406 3.065 4.788 4.039</t>
        </is>
      </c>
      <c r="B47" t="inlineStr"/>
      <c r="C47" t="inlineStr"/>
      <c r="D4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</row>
    <row r="2">
      <c r="A2" t="inlineStr">
        <is>
          <t>Year/Age</t>
        </is>
      </c>
      <c r="B2" t="inlineStr">
        <is>
          <t>1 2 3 4 5 6 7+</t>
        </is>
      </c>
      <c r="C2" t="inlineStr"/>
      <c r="D2" t="inlineStr"/>
    </row>
    <row r="3">
      <c r="A3" t="inlineStr">
        <is>
          <t>1983 0.406 0.894 1.891 3.935 6.464 8.387 10.667</t>
        </is>
      </c>
      <c r="B3" t="inlineStr"/>
      <c r="C3" t="inlineStr"/>
      <c r="D3" t="inlineStr"/>
    </row>
    <row r="4">
      <c r="A4" t="inlineStr">
        <is>
          <t>1984 0.307 0.935 2.233 4.106 6.247 8.400 11.063</t>
        </is>
      </c>
      <c r="B4" t="inlineStr"/>
      <c r="C4" t="inlineStr"/>
      <c r="D4" t="inlineStr"/>
    </row>
    <row r="5">
      <c r="A5" t="inlineStr">
        <is>
          <t>1985 0.310 0.812 2.161 4.254 6.375 8.420 11.319</t>
        </is>
      </c>
      <c r="B5" t="inlineStr"/>
      <c r="C5" t="inlineStr"/>
      <c r="D5" t="inlineStr"/>
    </row>
    <row r="6">
      <c r="A6" t="inlineStr">
        <is>
          <t>1986 0.293 0.798 1.876 3.580 6.236 8.149 10.829</t>
        </is>
      </c>
      <c r="B6" t="inlineStr"/>
      <c r="C6" t="inlineStr"/>
      <c r="D6" t="inlineStr"/>
    </row>
    <row r="7">
      <c r="A7" t="inlineStr">
        <is>
          <t>1987 0.393 0.786 2.031 3.737 6.061 8.291 11.700</t>
        </is>
      </c>
      <c r="B7" t="inlineStr"/>
      <c r="C7" t="inlineStr"/>
      <c r="D7" t="inlineStr"/>
    </row>
    <row r="8">
      <c r="A8" t="inlineStr">
        <is>
          <t>1988 0.474 0.791 2.018 3.347 6.068 7.930 11.303</t>
        </is>
      </c>
      <c r="B8" t="inlineStr"/>
      <c r="C8" t="inlineStr"/>
      <c r="D8" t="inlineStr"/>
    </row>
    <row r="9">
      <c r="A9" t="inlineStr">
        <is>
          <t>120 | ICES SCIENTIFIC REPORTS 6:38 | ICES</t>
        </is>
      </c>
      <c r="B9" t="inlineStr"/>
      <c r="C9" t="inlineStr"/>
      <c r="D9" t="inlineStr"/>
    </row>
    <row r="10">
      <c r="A10" t="inlineStr">
        <is>
          <t>Year/Age</t>
        </is>
      </c>
      <c r="B10" t="inlineStr">
        <is>
          <t>1 2 3 4 5 6 7+</t>
        </is>
      </c>
      <c r="C10" t="inlineStr"/>
      <c r="D10" t="inlineStr"/>
    </row>
    <row r="11">
      <c r="A11" t="inlineStr">
        <is>
          <t>1989 0.366 0.941 1.916 3.663 5.452 7.896 10.766</t>
        </is>
      </c>
      <c r="B11" t="inlineStr"/>
      <c r="C11" t="inlineStr"/>
      <c r="D11" t="inlineStr"/>
    </row>
    <row r="12">
      <c r="A12" t="inlineStr">
        <is>
          <t>1990 0.364 0.712 2.188 3.884 6.002 7.970 11.092</t>
        </is>
      </c>
      <c r="B12" t="inlineStr"/>
      <c r="C12" t="inlineStr"/>
      <c r="D12" t="inlineStr"/>
    </row>
    <row r="13">
      <c r="A13" t="inlineStr">
        <is>
          <t>1991 0.393 0.899 2.055 3.991 6.146 8.039 10.442</t>
        </is>
      </c>
      <c r="B13" t="inlineStr"/>
      <c r="C13" t="inlineStr"/>
      <c r="D13" t="inlineStr"/>
    </row>
    <row r="14">
      <c r="A14" t="inlineStr">
        <is>
          <t>1992 0.389 0.984 2.550 4.229 6.243 8.414 10.566</t>
        </is>
      </c>
      <c r="B14" t="inlineStr"/>
      <c r="C14" t="inlineStr"/>
      <c r="D14" t="inlineStr"/>
    </row>
    <row r="15">
      <c r="A15" t="inlineStr">
        <is>
          <t>1993 0.329 0.866 2.517 4.555 6.509 8.078 10.194</t>
        </is>
      </c>
      <c r="B15" t="inlineStr"/>
      <c r="C15" t="inlineStr"/>
      <c r="D15" t="inlineStr"/>
    </row>
    <row r="16">
      <c r="A16" t="inlineStr">
        <is>
          <t>1994 0.305 0.802 2.237 4.491 7.119 8.435 10.216</t>
        </is>
      </c>
      <c r="B16" t="inlineStr"/>
      <c r="C16" t="inlineStr"/>
      <c r="D16" t="inlineStr"/>
    </row>
    <row r="17">
      <c r="A17" t="inlineStr">
        <is>
          <t>1995 0.420 0.777 2.240 4.364 7.183 8.958 10.859</t>
        </is>
      </c>
      <c r="B17" t="inlineStr"/>
      <c r="C17" t="inlineStr"/>
      <c r="D17" t="inlineStr"/>
    </row>
    <row r="18">
      <c r="A18" t="inlineStr">
        <is>
          <t>1996 0.435 0.845 2.126 4.109 6.662 8.464 10.566</t>
        </is>
      </c>
      <c r="B18" t="inlineStr"/>
      <c r="C18" t="inlineStr"/>
      <c r="D18" t="inlineStr"/>
    </row>
    <row r="19">
      <c r="A19" t="inlineStr">
        <is>
          <t>1997 0.388 0.807 2.140 3.862 6.265 8.347 10.688</t>
        </is>
      </c>
      <c r="B19" t="inlineStr"/>
      <c r="C19" t="inlineStr"/>
      <c r="D19" t="inlineStr"/>
    </row>
    <row r="20">
      <c r="A20" t="inlineStr">
        <is>
          <t>1998 0.370 0.641 1.632 3.524 5.404 7.577 10.104</t>
        </is>
      </c>
      <c r="B20" t="inlineStr"/>
      <c r="C20" t="inlineStr"/>
      <c r="D20" t="inlineStr"/>
    </row>
    <row r="21">
      <c r="A21" t="inlineStr">
        <is>
          <t>1999 0.319 0.749 1.425 3.327 5.751 7.435 9.318</t>
        </is>
      </c>
      <c r="B21" t="inlineStr"/>
      <c r="C21" t="inlineStr"/>
      <c r="D21" t="inlineStr"/>
    </row>
    <row r="22">
      <c r="A22" t="inlineStr">
        <is>
          <t>2000 0.355 0.909 1.770 3.247 4.930 7.502 9.918</t>
        </is>
      </c>
      <c r="B22" t="inlineStr"/>
      <c r="C22" t="inlineStr"/>
      <c r="D22" t="inlineStr"/>
    </row>
    <row r="23">
      <c r="A23" t="inlineStr">
        <is>
          <t>2001 0.373 0.614 2.106 3.711 5.870 7.341 9.837</t>
        </is>
      </c>
      <c r="B23" t="inlineStr"/>
      <c r="C23" t="inlineStr"/>
      <c r="D23" t="inlineStr"/>
    </row>
    <row r="24">
      <c r="A24" t="inlineStr">
        <is>
          <t>2002 0.301 0.585 1.598 3.742 5.558 7.978 10.101</t>
        </is>
      </c>
      <c r="B24" t="inlineStr"/>
      <c r="C24" t="inlineStr"/>
      <c r="D24" t="inlineStr"/>
    </row>
    <row r="25">
      <c r="A25" t="inlineStr">
        <is>
          <t>2003 0.289 0.789 1.656 3.317 5.760 6.731 9.751</t>
        </is>
      </c>
      <c r="B25" t="inlineStr"/>
      <c r="C25" t="inlineStr"/>
      <c r="D25" t="inlineStr"/>
    </row>
    <row r="26">
      <c r="A26" t="inlineStr">
        <is>
          <t>2004 0.270 0.500 1.718 3.084 5.199 7.462 9.714</t>
        </is>
      </c>
      <c r="B26" t="inlineStr"/>
      <c r="C26" t="inlineStr"/>
      <c r="D26" t="inlineStr"/>
    </row>
    <row r="27">
      <c r="A27" t="inlineStr">
        <is>
          <t>2005 0.342 0.861 1.537 3.542 5.119 7.191 10.123</t>
        </is>
      </c>
      <c r="B27" t="inlineStr"/>
      <c r="C27" t="inlineStr"/>
      <c r="D27" t="inlineStr"/>
    </row>
    <row r="28">
      <c r="A28" t="inlineStr">
        <is>
          <t>2006 0.251 0.240 1.813 3.827 5.681 7.226 9.589</t>
        </is>
      </c>
      <c r="B28" t="inlineStr"/>
      <c r="C28" t="inlineStr"/>
      <c r="D28" t="inlineStr"/>
    </row>
    <row r="29">
      <c r="A29" t="inlineStr">
        <is>
          <t>2007 0.311 0.897 2.017 4.037 6.113 8.565 10.061</t>
        </is>
      </c>
      <c r="B29" t="inlineStr"/>
      <c r="C29" t="inlineStr"/>
      <c r="D29" t="inlineStr"/>
    </row>
    <row r="30">
      <c r="A30" t="inlineStr">
        <is>
          <t>2008 0.423 0.906 1.978 3.904 6.207 7.493 10.325</t>
        </is>
      </c>
      <c r="B30" t="inlineStr"/>
      <c r="C30" t="inlineStr"/>
      <c r="D30" t="inlineStr"/>
    </row>
    <row r="31">
      <c r="A31" t="inlineStr">
        <is>
          <t>2009 0.398 1.136 2.355 4.024 6.151 7.549 10.803</t>
        </is>
      </c>
      <c r="B31" t="inlineStr"/>
      <c r="C31" t="inlineStr"/>
      <c r="D31" t="inlineStr"/>
    </row>
    <row r="32">
      <c r="A32" t="inlineStr">
        <is>
          <t>2010 0.333 0.984 2.424 4.169 6.017 8.302 10.194</t>
        </is>
      </c>
      <c r="B32" t="inlineStr"/>
      <c r="C32" t="inlineStr"/>
      <c r="D32" t="inlineStr"/>
    </row>
    <row r="33">
      <c r="A33" t="inlineStr">
        <is>
          <t>2011 0.397 0.924 2.396 4.469 6.466 7.780 9.827</t>
        </is>
      </c>
      <c r="B33" t="inlineStr"/>
      <c r="C33" t="inlineStr"/>
      <c r="D33" t="inlineStr"/>
    </row>
    <row r="34">
      <c r="A34" t="inlineStr">
        <is>
          <t>2012 0.263 0.808 2.248 4.134 6.392 8.112 9.565</t>
        </is>
      </c>
      <c r="B34" t="inlineStr"/>
      <c r="C34" t="inlineStr"/>
      <c r="D34" t="inlineStr"/>
    </row>
    <row r="35">
      <c r="A35" t="inlineStr">
        <is>
          <t>2013 0.325 0.941 2.243 4.007 5.977 8.350 9.547</t>
        </is>
      </c>
      <c r="B35" t="inlineStr"/>
      <c r="C35" t="inlineStr"/>
      <c r="D35" t="inlineStr"/>
    </row>
    <row r="36">
      <c r="A36" t="inlineStr">
        <is>
          <t>2014 0.377 0.950 2.251 4.004 5.531 7.361 9.523</t>
        </is>
      </c>
      <c r="B36" t="inlineStr"/>
      <c r="C36" t="inlineStr"/>
      <c r="D36" t="inlineStr"/>
    </row>
    <row r="37">
      <c r="A37" t="inlineStr">
        <is>
          <t>2015 0.368 0.953 2.122 4.009 5.763 6.724 8.960</t>
        </is>
      </c>
      <c r="B37" t="inlineStr"/>
      <c r="C37" t="inlineStr"/>
      <c r="D37" t="inlineStr"/>
    </row>
    <row r="38">
      <c r="A38" t="inlineStr">
        <is>
          <t>2016 0.336 1.052 2.142 3.804 5.687 7.310 8.284</t>
        </is>
      </c>
      <c r="B38" t="inlineStr"/>
      <c r="C38" t="inlineStr"/>
      <c r="D38" t="inlineStr"/>
    </row>
    <row r="39">
      <c r="A39" t="inlineStr">
        <is>
          <t>2017 0.249 0.935 2.227 3.785 5.283 6.809 9.339</t>
        </is>
      </c>
      <c r="B39" t="inlineStr"/>
      <c r="C39" t="inlineStr"/>
      <c r="D39" t="inlineStr"/>
    </row>
    <row r="40">
      <c r="A40" t="inlineStr">
        <is>
          <t>ICES</t>
        </is>
      </c>
      <c r="B40" t="inlineStr">
        <is>
          <t>| WGNSSK</t>
        </is>
      </c>
      <c r="C40" t="inlineStr">
        <is>
          <t>2025</t>
        </is>
      </c>
      <c r="D40" t="inlineStr">
        <is>
          <t>| 121</t>
        </is>
      </c>
    </row>
    <row r="41">
      <c r="A41" t="inlineStr">
        <is>
          <t>Year/Age</t>
        </is>
      </c>
      <c r="B41" t="inlineStr">
        <is>
          <t>1 2 3 4 5 6 7+</t>
        </is>
      </c>
      <c r="C41" t="inlineStr"/>
      <c r="D41" t="inlineStr"/>
    </row>
    <row r="42">
      <c r="A42" t="inlineStr">
        <is>
          <t>2018 0.298 0.798 1.875 3.758 5.609 6.774 8.284</t>
        </is>
      </c>
      <c r="B42" t="inlineStr"/>
      <c r="C42" t="inlineStr"/>
      <c r="D42" t="inlineStr"/>
    </row>
    <row r="43">
      <c r="A43" t="inlineStr">
        <is>
          <t>2019 0.397 0.850 2.048 3.695 5.471 7.123 8.011</t>
        </is>
      </c>
      <c r="B43" t="inlineStr"/>
      <c r="C43" t="inlineStr"/>
      <c r="D43" t="inlineStr"/>
    </row>
    <row r="44">
      <c r="A44" t="inlineStr">
        <is>
          <t>2020 0.257 0.827 1.784 3.841 5.448 6.609 8.777</t>
        </is>
      </c>
      <c r="B44" t="inlineStr"/>
      <c r="C44" t="inlineStr"/>
      <c r="D44" t="inlineStr"/>
    </row>
    <row r="45">
      <c r="A45" t="inlineStr">
        <is>
          <t>2021 0.328 1.062 2.465 3.913 5.379 7.110 8.780</t>
        </is>
      </c>
      <c r="B45" t="inlineStr"/>
      <c r="C45" t="inlineStr"/>
      <c r="D45" t="inlineStr"/>
    </row>
    <row r="46">
      <c r="A46" t="inlineStr">
        <is>
          <t>2022 0.300 0.895 2.109 3.768 4.832 6.744 9.059</t>
        </is>
      </c>
      <c r="B46" t="inlineStr"/>
      <c r="C46" t="inlineStr"/>
      <c r="D46" t="inlineStr"/>
    </row>
    <row r="47">
      <c r="A47" t="inlineStr">
        <is>
          <t>2023 0.259 0.914 1.912 3.880 5.488 6.663 9.546</t>
        </is>
      </c>
      <c r="B47" t="inlineStr"/>
      <c r="C47" t="inlineStr"/>
      <c r="D47" t="inlineStr"/>
    </row>
    <row r="48">
      <c r="A48" t="inlineStr">
        <is>
          <t>2024 0.359 0.859 1.866 3.545 5.486 7.041 8.588</t>
        </is>
      </c>
      <c r="B48" t="inlineStr"/>
      <c r="C48" t="inlineStr"/>
      <c r="D4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</row>
    <row r="2">
      <c r="A2" t="inlineStr">
        <is>
          <t>Northwest ern</t>
        </is>
      </c>
      <c r="B2" t="inlineStr"/>
      <c r="C2" t="inlineStr"/>
      <c r="D2" t="inlineStr"/>
    </row>
    <row r="3">
      <c r="A3" t="inlineStr">
        <is>
          <t>Year/Age</t>
        </is>
      </c>
      <c r="B3" t="inlineStr">
        <is>
          <t>1 2 3 4 5 6 7+</t>
        </is>
      </c>
      <c r="C3" t="inlineStr"/>
      <c r="D3" t="inlineStr"/>
    </row>
    <row r="4">
      <c r="A4" t="inlineStr">
        <is>
          <t>1983 0.071 0.567 1.466 4.184 7.201 11.633 11.911</t>
        </is>
      </c>
      <c r="B4" t="inlineStr"/>
      <c r="C4" t="inlineStr"/>
      <c r="D4" t="inlineStr"/>
    </row>
    <row r="5">
      <c r="A5" t="inlineStr">
        <is>
          <t>1984 0.047 0.433 1.803 4.314 6.958 9.500 13.265</t>
        </is>
      </c>
      <c r="B5" t="inlineStr"/>
      <c r="C5" t="inlineStr"/>
      <c r="D5" t="inlineStr"/>
    </row>
    <row r="6">
      <c r="A6" t="inlineStr">
        <is>
          <t>1985 0.074 0.360 1.840 4.350 5.777 9.384 13.581</t>
        </is>
      </c>
      <c r="B6" t="inlineStr"/>
      <c r="C6" t="inlineStr"/>
      <c r="D6" t="inlineStr"/>
    </row>
    <row r="7">
      <c r="A7" t="inlineStr">
        <is>
          <t>1986 0.051 0.554 1.562 3.489 6.647 8.892 10.836</t>
        </is>
      </c>
      <c r="B7" t="inlineStr"/>
      <c r="C7" t="inlineStr"/>
      <c r="D7" t="inlineStr"/>
    </row>
    <row r="8">
      <c r="A8" t="inlineStr">
        <is>
          <t>1987 0.093 0.340 1.393 4.403 7.239 9.508 12.624</t>
        </is>
      </c>
      <c r="B8" t="inlineStr"/>
      <c r="C8" t="inlineStr"/>
      <c r="D8" t="inlineStr"/>
    </row>
    <row r="9">
      <c r="A9" t="inlineStr">
        <is>
          <t>1988 0.088 0.530 1.555 3.500 7.306 8.656 12.835</t>
        </is>
      </c>
      <c r="B9" t="inlineStr"/>
      <c r="C9" t="inlineStr"/>
      <c r="D9" t="inlineStr"/>
    </row>
    <row r="10">
      <c r="A10" t="inlineStr">
        <is>
          <t>1989 0.074 0.413 1.431 3.594 5.761 9.290 12.523</t>
        </is>
      </c>
      <c r="B10" t="inlineStr"/>
      <c r="C10" t="inlineStr"/>
      <c r="D10" t="inlineStr"/>
    </row>
    <row r="11">
      <c r="A11" t="inlineStr">
        <is>
          <t>1990 0.048 0.382 1.413 4.232 6.950 8.466 11.711</t>
        </is>
      </c>
      <c r="B11" t="inlineStr"/>
      <c r="C11" t="inlineStr"/>
      <c r="D11" t="inlineStr"/>
    </row>
    <row r="12">
      <c r="A12" t="inlineStr">
        <is>
          <t>1991 0.084 0.523 1.665 4.031 7.375 10.536 13.642</t>
        </is>
      </c>
      <c r="B12" t="inlineStr"/>
      <c r="C12" t="inlineStr"/>
      <c r="D12" t="inlineStr"/>
    </row>
    <row r="13">
      <c r="A13" t="inlineStr">
        <is>
          <t>1992 0.051 0.621 2.071 4.731 6.838 10.120 12.466</t>
        </is>
      </c>
      <c r="B13" t="inlineStr"/>
      <c r="C13" t="inlineStr"/>
      <c r="D13" t="inlineStr"/>
    </row>
    <row r="14">
      <c r="A14" t="inlineStr">
        <is>
          <t>1993 0.039 0.468 2.167 5.054 7.677 9.879 15.264</t>
        </is>
      </c>
      <c r="B14" t="inlineStr"/>
      <c r="C14" t="inlineStr"/>
      <c r="D14" t="inlineStr"/>
    </row>
    <row r="15">
      <c r="A15" t="inlineStr">
        <is>
          <t>1994 0.041 0.402 1.727 5.396 8.546 9.440 12.805</t>
        </is>
      </c>
      <c r="B15" t="inlineStr"/>
      <c r="C15" t="inlineStr"/>
      <c r="D15" t="inlineStr"/>
    </row>
    <row r="16">
      <c r="A16" t="inlineStr">
        <is>
          <t>1995 0.061 0.269 1.223 4.384 6.451 10.229 15.943</t>
        </is>
      </c>
      <c r="B16" t="inlineStr"/>
      <c r="C16" t="inlineStr"/>
      <c r="D16" t="inlineStr"/>
    </row>
    <row r="17">
      <c r="A17" t="inlineStr">
        <is>
          <t>1996 0.089 0.552 1.442 4.306 6.762 8.077 12.755</t>
        </is>
      </c>
      <c r="B17" t="inlineStr"/>
      <c r="C17" t="inlineStr"/>
      <c r="D17" t="inlineStr"/>
    </row>
    <row r="18">
      <c r="A18" t="inlineStr">
        <is>
          <t>1997 0.023 0.375 1.688 4.160 7.396 9.581 11.919</t>
        </is>
      </c>
      <c r="B18" t="inlineStr"/>
      <c r="C18" t="inlineStr"/>
      <c r="D18" t="inlineStr"/>
    </row>
    <row r="19">
      <c r="A19" t="inlineStr">
        <is>
          <t>1998 0.110 0.307 1.830 4.522 7.196 9.747 10.863</t>
        </is>
      </c>
      <c r="B19" t="inlineStr"/>
      <c r="C19" t="inlineStr"/>
      <c r="D19" t="inlineStr"/>
    </row>
    <row r="20">
      <c r="A20" t="inlineStr">
        <is>
          <t>1999 0.099 0.464 0.657 2.519 7.310 9.314 12.127</t>
        </is>
      </c>
      <c r="B20" t="inlineStr"/>
      <c r="C20" t="inlineStr"/>
      <c r="D20" t="inlineStr"/>
    </row>
    <row r="21">
      <c r="A21" t="inlineStr">
        <is>
          <t>2000 0.079 0.546 1.983 2.551 5.165 8.473 13.458</t>
        </is>
      </c>
      <c r="B21" t="inlineStr"/>
      <c r="C21" t="inlineStr"/>
      <c r="D21" t="inlineStr"/>
    </row>
    <row r="22">
      <c r="A22" t="inlineStr">
        <is>
          <t>2001 0.099 0.383 1.489 4.401 5.688 6.640 11.018</t>
        </is>
      </c>
      <c r="B22" t="inlineStr"/>
      <c r="C22" t="inlineStr"/>
      <c r="D22" t="inlineStr"/>
    </row>
    <row r="23">
      <c r="A23" t="inlineStr">
        <is>
          <t>122 | ICES SCIENTIFIC REPORTS 6:38 | ICES</t>
        </is>
      </c>
      <c r="B23" t="inlineStr"/>
      <c r="C23" t="inlineStr"/>
      <c r="D23" t="inlineStr"/>
    </row>
    <row r="24">
      <c r="A24" t="inlineStr">
        <is>
          <t>Year/Age</t>
        </is>
      </c>
      <c r="B24" t="inlineStr">
        <is>
          <t>1 2 3 4 5 6 7+</t>
        </is>
      </c>
      <c r="C24" t="inlineStr"/>
      <c r="D24" t="inlineStr"/>
    </row>
    <row r="25">
      <c r="A25" t="inlineStr">
        <is>
          <t>2002 0.089 0.370 1.338 4.173 5.390 9.246 11.270</t>
        </is>
      </c>
      <c r="B25" t="inlineStr"/>
      <c r="C25" t="inlineStr"/>
      <c r="D25" t="inlineStr"/>
    </row>
    <row r="26">
      <c r="A26" t="inlineStr">
        <is>
          <t>2003 0.094 0.495 0.905 2.896 5.847 8.926 13.490</t>
        </is>
      </c>
      <c r="B26" t="inlineStr"/>
      <c r="C26" t="inlineStr"/>
      <c r="D26" t="inlineStr"/>
    </row>
    <row r="27">
      <c r="A27" t="inlineStr">
        <is>
          <t>2004 0.071 0.343 1.389 3.975 6.485 11.962 #N/A</t>
        </is>
      </c>
      <c r="B27" t="inlineStr"/>
      <c r="C27" t="inlineStr"/>
      <c r="D27" t="inlineStr"/>
    </row>
    <row r="28">
      <c r="A28" t="inlineStr">
        <is>
          <t>2005 0.086 0.391 1.283 2.452 5.596 9.850 13.198</t>
        </is>
      </c>
      <c r="B28" t="inlineStr"/>
      <c r="C28" t="inlineStr"/>
      <c r="D28" t="inlineStr"/>
    </row>
    <row r="29">
      <c r="A29" t="inlineStr">
        <is>
          <t>2006 0.067 0.484 1.377 2.696 5.341 4.622 10.934</t>
        </is>
      </c>
      <c r="B29" t="inlineStr"/>
      <c r="C29" t="inlineStr"/>
      <c r="D29" t="inlineStr"/>
    </row>
    <row r="30">
      <c r="A30" t="inlineStr">
        <is>
          <t>2007 0.065 0.396 1.683 4.005 6.212 8.406 #N/A</t>
        </is>
      </c>
      <c r="B30" t="inlineStr"/>
      <c r="C30" t="inlineStr"/>
      <c r="D30" t="inlineStr"/>
    </row>
    <row r="31">
      <c r="A31" t="inlineStr">
        <is>
          <t>2008 0.075 0.572 1.793 5.081 7.015 #N/A</t>
        </is>
      </c>
      <c r="B31" t="inlineStr">
        <is>
          <t>8.908</t>
        </is>
      </c>
      <c r="C31" t="inlineStr"/>
      <c r="D31" t="inlineStr"/>
    </row>
    <row r="32">
      <c r="A32" t="inlineStr">
        <is>
          <t>2009 0.070 0.493 1.533 3.546 6.699 #N/A</t>
        </is>
      </c>
      <c r="B32" t="inlineStr">
        <is>
          <t>10.909</t>
        </is>
      </c>
      <c r="C32" t="inlineStr"/>
      <c r="D32" t="inlineStr"/>
    </row>
    <row r="33">
      <c r="A33" t="inlineStr">
        <is>
          <t>2010 0.089 0.625 1.994 3.512 6.005 7.177 11.639</t>
        </is>
      </c>
      <c r="B33" t="inlineStr"/>
      <c r="C33" t="inlineStr"/>
      <c r="D33" t="inlineStr"/>
    </row>
    <row r="34">
      <c r="A34" t="inlineStr">
        <is>
          <t>2011 0.093 0.512 1.999 4.211 5.789 8.388 10.098</t>
        </is>
      </c>
      <c r="B34" t="inlineStr"/>
      <c r="C34" t="inlineStr"/>
      <c r="D34" t="inlineStr"/>
    </row>
    <row r="35">
      <c r="A35" t="inlineStr">
        <is>
          <t>2012 0.113 0.679 1.545 3.659 6.153 8.216 10.998</t>
        </is>
      </c>
      <c r="B35" t="inlineStr"/>
      <c r="C35" t="inlineStr"/>
      <c r="D35" t="inlineStr"/>
    </row>
    <row r="36">
      <c r="A36" t="inlineStr">
        <is>
          <t>2013 0.098 0.773 2.004 3.645 5.599 6.548 8.825</t>
        </is>
      </c>
      <c r="B36" t="inlineStr"/>
      <c r="C36" t="inlineStr"/>
      <c r="D36" t="inlineStr"/>
    </row>
    <row r="37">
      <c r="A37" t="inlineStr">
        <is>
          <t>2014 0.065 0.607 1.881 3.604 5.188 6.951 8.912</t>
        </is>
      </c>
      <c r="B37" t="inlineStr"/>
      <c r="C37" t="inlineStr"/>
      <c r="D37" t="inlineStr"/>
    </row>
    <row r="38">
      <c r="A38" t="inlineStr">
        <is>
          <t>2015 0.081 0.577 1.685 3.727 5.934 6.683 7.718</t>
        </is>
      </c>
      <c r="B38" t="inlineStr"/>
      <c r="C38" t="inlineStr"/>
      <c r="D38" t="inlineStr"/>
    </row>
    <row r="39">
      <c r="A39" t="inlineStr">
        <is>
          <t>2016 0.072 0.722 1.751 3.507 5.803 7.618 9.560</t>
        </is>
      </c>
      <c r="B39" t="inlineStr"/>
      <c r="C39" t="inlineStr"/>
      <c r="D39" t="inlineStr"/>
    </row>
    <row r="40">
      <c r="A40" t="inlineStr">
        <is>
          <t>2017 0.065 0.627 1.937 4.032 5.816 6.723 8.662</t>
        </is>
      </c>
      <c r="B40" t="inlineStr"/>
      <c r="C40" t="inlineStr"/>
      <c r="D40" t="inlineStr"/>
    </row>
    <row r="41">
      <c r="A41" t="inlineStr">
        <is>
          <t>2018 0.071 0.394 1.752 3.319 5.361 5.867 7.933</t>
        </is>
      </c>
      <c r="B41" t="inlineStr"/>
      <c r="C41" t="inlineStr"/>
      <c r="D41" t="inlineStr"/>
    </row>
    <row r="42">
      <c r="A42" t="inlineStr">
        <is>
          <t>2019 0.064 0.442 1.289 3.818 5.346 7.754 9.007</t>
        </is>
      </c>
      <c r="B42" t="inlineStr"/>
      <c r="C42" t="inlineStr"/>
      <c r="D42" t="inlineStr"/>
    </row>
    <row r="43">
      <c r="A43" t="inlineStr">
        <is>
          <t>2020 0.077 0.512 1.876 3.383 5.028 8.198 12.796</t>
        </is>
      </c>
      <c r="B43" t="inlineStr"/>
      <c r="C43" t="inlineStr"/>
      <c r="D43" t="inlineStr"/>
    </row>
    <row r="44">
      <c r="A44" t="inlineStr">
        <is>
          <t>2021 0.098 0.485 2.003 4.015 5.783 6.874 9.521</t>
        </is>
      </c>
      <c r="B44" t="inlineStr"/>
      <c r="C44" t="inlineStr"/>
      <c r="D44" t="inlineStr"/>
    </row>
    <row r="45">
      <c r="A45" t="inlineStr">
        <is>
          <t>2022 0.126 0.430 1.315 4.686 6.057 8.330 11.334</t>
        </is>
      </c>
      <c r="B45" t="inlineStr"/>
      <c r="C45" t="inlineStr"/>
      <c r="D45" t="inlineStr"/>
    </row>
    <row r="46">
      <c r="A46" t="inlineStr">
        <is>
          <t>2023 0.108 0.532 1.493 3.188 6.227 7.808 8.916</t>
        </is>
      </c>
      <c r="B46" t="inlineStr"/>
      <c r="C46" t="inlineStr"/>
      <c r="D46" t="inlineStr"/>
    </row>
    <row r="47">
      <c r="A47" t="inlineStr">
        <is>
          <t>2024 0.107 0.437 1.332 2.817 4.833 7.183 9.827</t>
        </is>
      </c>
      <c r="B47" t="inlineStr"/>
      <c r="C47" t="inlineStr"/>
      <c r="D47" t="inlineStr"/>
    </row>
    <row r="48">
      <c r="A48" t="inlineStr">
        <is>
          <t>2025 0.100 0.483 1.138 3.231 5.014 7.459 7.848</t>
        </is>
      </c>
      <c r="B48" t="inlineStr"/>
      <c r="C48" t="inlineStr"/>
      <c r="D48" t="inlineStr"/>
    </row>
    <row r="49">
      <c r="A49" t="inlineStr">
        <is>
          <t>Southern</t>
        </is>
      </c>
      <c r="B49" t="inlineStr"/>
      <c r="C49" t="inlineStr"/>
      <c r="D49" t="inlineStr"/>
    </row>
    <row r="50">
      <c r="A50" t="inlineStr">
        <is>
          <t>Year/Age</t>
        </is>
      </c>
      <c r="B50" t="inlineStr">
        <is>
          <t>1 2 3 4 5 6 7+</t>
        </is>
      </c>
      <c r="C50" t="inlineStr"/>
      <c r="D50" t="inlineStr"/>
    </row>
    <row r="51">
      <c r="A51" t="inlineStr">
        <is>
          <t>1983 0.078 0.700 2.209 4.786 7.350 10.698 11.623</t>
        </is>
      </c>
      <c r="B51" t="inlineStr"/>
      <c r="C51" t="inlineStr"/>
      <c r="D51" t="inlineStr"/>
    </row>
    <row r="52">
      <c r="A52" t="inlineStr">
        <is>
          <t>1984 0.084 0.590 1.847 3.458 7.455 9.949 12.599</t>
        </is>
      </c>
      <c r="B52" t="inlineStr"/>
      <c r="C52" t="inlineStr"/>
      <c r="D52" t="inlineStr"/>
    </row>
    <row r="53">
      <c r="A53" t="inlineStr">
        <is>
          <t>1985 0.049 0.558 2.295 4.977 7.164 10.634 12.040</t>
        </is>
      </c>
      <c r="B53" t="inlineStr"/>
      <c r="C53" t="inlineStr"/>
      <c r="D53" t="inlineStr"/>
    </row>
    <row r="54">
      <c r="A54" t="inlineStr">
        <is>
          <t>ICES</t>
        </is>
      </c>
      <c r="B54" t="inlineStr">
        <is>
          <t>| WGNSSK</t>
        </is>
      </c>
      <c r="C54" t="inlineStr">
        <is>
          <t>2025</t>
        </is>
      </c>
      <c r="D54" t="inlineStr">
        <is>
          <t>| 123</t>
        </is>
      </c>
    </row>
    <row r="55">
      <c r="A55" t="inlineStr">
        <is>
          <t>Year/Age</t>
        </is>
      </c>
      <c r="B55" t="inlineStr">
        <is>
          <t>1 2 3 4 5 6 7+</t>
        </is>
      </c>
      <c r="C55" t="inlineStr"/>
      <c r="D55" t="inlineStr"/>
    </row>
    <row r="56">
      <c r="A56" t="inlineStr">
        <is>
          <t>1986 0.068 0.319 1.768 3.849 7.282 10.302 11.912</t>
        </is>
      </c>
      <c r="B56" t="inlineStr"/>
      <c r="C56" t="inlineStr"/>
      <c r="D56" t="inlineStr"/>
    </row>
    <row r="57">
      <c r="A57" t="inlineStr">
        <is>
          <t>1987 0.083 0.455 1.100 5.043 7.478 11.120 12.349</t>
        </is>
      </c>
      <c r="B57" t="inlineStr"/>
      <c r="C57" t="inlineStr"/>
      <c r="D57" t="inlineStr"/>
    </row>
    <row r="58">
      <c r="A58" t="inlineStr">
        <is>
          <t>1988 0.058 0.716 2.131 3.489 7.682 10.829 12.951</t>
        </is>
      </c>
      <c r="B58" t="inlineStr"/>
      <c r="C58" t="inlineStr"/>
      <c r="D58" t="inlineStr"/>
    </row>
    <row r="59">
      <c r="A59" t="inlineStr">
        <is>
          <t>1989 0.062 0.795 2.238 3.900 6.995 10.078 13.240</t>
        </is>
      </c>
      <c r="B59" t="inlineStr"/>
      <c r="C59" t="inlineStr"/>
      <c r="D59" t="inlineStr"/>
    </row>
    <row r="60">
      <c r="A60" t="inlineStr">
        <is>
          <t>1990 0.076 0.626 2.477 4.388 7.209 10.961 12.423</t>
        </is>
      </c>
      <c r="B60" t="inlineStr"/>
      <c r="C60" t="inlineStr"/>
      <c r="D60" t="inlineStr"/>
    </row>
    <row r="61">
      <c r="A61" t="inlineStr">
        <is>
          <t>1991 0.059 0.737 1.940 4.866 7.591 10.320 14.458</t>
        </is>
      </c>
      <c r="B61" t="inlineStr"/>
      <c r="C61" t="inlineStr"/>
      <c r="D61" t="inlineStr"/>
    </row>
    <row r="62">
      <c r="A62" t="inlineStr">
        <is>
          <t>1992 0.066 0.279 1.938 5.542 7.556 11.225 12.021</t>
        </is>
      </c>
      <c r="B62" t="inlineStr"/>
      <c r="C62" t="inlineStr"/>
      <c r="D62" t="inlineStr"/>
    </row>
    <row r="63">
      <c r="A63" t="inlineStr">
        <is>
          <t>1993 0.043 0.607 2.398 5.371 8.338 12.761 13.195</t>
        </is>
      </c>
      <c r="B63" t="inlineStr"/>
      <c r="C63" t="inlineStr"/>
      <c r="D63" t="inlineStr"/>
    </row>
    <row r="64">
      <c r="A64" t="inlineStr">
        <is>
          <t>1994 0.039 0.410 1.986 5.250 8.633 9.960 13.022</t>
        </is>
      </c>
      <c r="B64" t="inlineStr"/>
      <c r="C64" t="inlineStr"/>
      <c r="D64" t="inlineStr"/>
    </row>
    <row r="65">
      <c r="A65" t="inlineStr">
        <is>
          <t>1995 0.045 0.336 1.323 4.475 6.996 10.303 12.699</t>
        </is>
      </c>
      <c r="B65" t="inlineStr"/>
      <c r="C65" t="inlineStr"/>
      <c r="D65" t="inlineStr"/>
    </row>
    <row r="66">
      <c r="A66" t="inlineStr">
        <is>
          <t>1996 0.044 0.500 1.494 2.859 6.704 10.545 15.837</t>
        </is>
      </c>
      <c r="B66" t="inlineStr"/>
      <c r="C66" t="inlineStr"/>
      <c r="D66" t="inlineStr"/>
    </row>
    <row r="67">
      <c r="A67" t="inlineStr">
        <is>
          <t>1997 0.029 0.198 2.200 3.556 7.025 7.576 10.411</t>
        </is>
      </c>
      <c r="B67" t="inlineStr"/>
      <c r="C67" t="inlineStr"/>
      <c r="D67" t="inlineStr"/>
    </row>
    <row r="68">
      <c r="A68" t="inlineStr">
        <is>
          <t>1998 0.040 0.378 0.919 3.468 8.764 9.427 14.976</t>
        </is>
      </c>
      <c r="B68" t="inlineStr"/>
      <c r="C68" t="inlineStr"/>
      <c r="D68" t="inlineStr"/>
    </row>
    <row r="69">
      <c r="A69" t="inlineStr">
        <is>
          <t>1999 0.145 0.612 1.566 3.524 7.860 9.430 11.875</t>
        </is>
      </c>
      <c r="B69" t="inlineStr"/>
      <c r="C69" t="inlineStr"/>
      <c r="D69" t="inlineStr"/>
    </row>
    <row r="70">
      <c r="A70" t="inlineStr">
        <is>
          <t>2000 0.060 0.524 1.650 3.728 4.588 9.251 12.892</t>
        </is>
      </c>
      <c r="B70" t="inlineStr"/>
      <c r="C70" t="inlineStr"/>
      <c r="D70" t="inlineStr"/>
    </row>
    <row r="71">
      <c r="A71" t="inlineStr">
        <is>
          <t>2001 0.146 0.327 1.206 2.996 7.411 8.985 10.495</t>
        </is>
      </c>
      <c r="B71" t="inlineStr"/>
      <c r="C71" t="inlineStr"/>
      <c r="D71" t="inlineStr"/>
    </row>
    <row r="72">
      <c r="A72" t="inlineStr">
        <is>
          <t>2002 0.087 0.430 1.763 5.129 8.198 10.682 12.220</t>
        </is>
      </c>
      <c r="B72" t="inlineStr"/>
      <c r="C72" t="inlineStr"/>
      <c r="D72" t="inlineStr"/>
    </row>
    <row r="73">
      <c r="A73" t="inlineStr">
        <is>
          <t>2003 0.091 0.641 1.207 4.666 7.276 11.853 12.927</t>
        </is>
      </c>
      <c r="B73" t="inlineStr"/>
      <c r="C73" t="inlineStr"/>
      <c r="D73" t="inlineStr"/>
    </row>
    <row r="74">
      <c r="A74" t="inlineStr">
        <is>
          <t>2004 0.052 0.185 2.023 3.519 7.810 8.787 15.263</t>
        </is>
      </c>
      <c r="B74" t="inlineStr"/>
      <c r="C74" t="inlineStr"/>
      <c r="D74" t="inlineStr"/>
    </row>
    <row r="75">
      <c r="A75" t="inlineStr">
        <is>
          <t>2005 0.055 0.545 1.619 3.524 6.572 11.271 13.692</t>
        </is>
      </c>
      <c r="B75" t="inlineStr"/>
      <c r="C75" t="inlineStr"/>
      <c r="D75" t="inlineStr"/>
    </row>
    <row r="76">
      <c r="A76" t="inlineStr">
        <is>
          <t>2006 0.070 0.742 2.374 4.137 8.845 7.495 11.939</t>
        </is>
      </c>
      <c r="B76" t="inlineStr"/>
      <c r="C76" t="inlineStr"/>
      <c r="D76" t="inlineStr"/>
    </row>
    <row r="77">
      <c r="A77" t="inlineStr">
        <is>
          <t>2007 0.078 0.364 2.245 4.464 6.662 12.414 11.649</t>
        </is>
      </c>
      <c r="B77" t="inlineStr"/>
      <c r="C77" t="inlineStr"/>
      <c r="D77" t="inlineStr"/>
    </row>
    <row r="78">
      <c r="A78" t="inlineStr">
        <is>
          <t>2008 0.110 1.032 2.043 3.816 6.242 9.212 13.879</t>
        </is>
      </c>
      <c r="B78" t="inlineStr"/>
      <c r="C78" t="inlineStr"/>
      <c r="D78" t="inlineStr"/>
    </row>
    <row r="79">
      <c r="A79" t="inlineStr">
        <is>
          <t>2009 0.075 0.924 2.713 4.490 6.629 9.142 14.330</t>
        </is>
      </c>
      <c r="B79" t="inlineStr"/>
      <c r="C79" t="inlineStr"/>
      <c r="D79" t="inlineStr"/>
    </row>
    <row r="80">
      <c r="A80" t="inlineStr">
        <is>
          <t>2010 0.078 0.682 2.862 5.280 6.635 10.434 13.406</t>
        </is>
      </c>
      <c r="B80" t="inlineStr"/>
      <c r="C80" t="inlineStr"/>
      <c r="D80" t="inlineStr"/>
    </row>
    <row r="81">
      <c r="A81" t="inlineStr">
        <is>
          <t>2011 0.071 0.566 2.139 5.517 7.959 9.249 11.537</t>
        </is>
      </c>
      <c r="B81" t="inlineStr"/>
      <c r="C81" t="inlineStr"/>
      <c r="D81" t="inlineStr"/>
    </row>
    <row r="82">
      <c r="A82" t="inlineStr">
        <is>
          <t>2012 0.067 1.073 2.369 4.007 8.653 10.913 9.145</t>
        </is>
      </c>
      <c r="B82" t="inlineStr"/>
      <c r="C82" t="inlineStr"/>
      <c r="D82" t="inlineStr"/>
    </row>
    <row r="83">
      <c r="A83" t="inlineStr">
        <is>
          <t>2013 0.063 0.559 2.599 3.758 5.693 8.540 13.043</t>
        </is>
      </c>
      <c r="B83" t="inlineStr"/>
      <c r="C83" t="inlineStr"/>
      <c r="D83" t="inlineStr"/>
    </row>
    <row r="84">
      <c r="A84" t="inlineStr">
        <is>
          <t>2014 0.068 0.857 2.414 4.243 7.234 5.533 8.552</t>
        </is>
      </c>
      <c r="B84" t="inlineStr"/>
      <c r="C84" t="inlineStr"/>
      <c r="D84" t="inlineStr"/>
    </row>
    <row r="85">
      <c r="A85" t="inlineStr">
        <is>
          <t>124 | ICES SCIENTIFIC REPORTS 6:38 | ICES</t>
        </is>
      </c>
      <c r="B85" t="inlineStr"/>
      <c r="C85" t="inlineStr"/>
      <c r="D85" t="inlineStr"/>
    </row>
    <row r="86">
      <c r="A86" t="inlineStr">
        <is>
          <t>Year/Age</t>
        </is>
      </c>
      <c r="B86" t="inlineStr">
        <is>
          <t>1 2 3 4 5 6 7+</t>
        </is>
      </c>
      <c r="C86" t="inlineStr"/>
      <c r="D86" t="inlineStr"/>
    </row>
    <row r="87">
      <c r="A87" t="inlineStr">
        <is>
          <t>2015 0.113 0.871 1.868 3.857 6.698 10.979 16.229</t>
        </is>
      </c>
      <c r="B87" t="inlineStr"/>
      <c r="C87" t="inlineStr"/>
      <c r="D87" t="inlineStr"/>
    </row>
    <row r="88">
      <c r="A88" t="inlineStr">
        <is>
          <t>2016 0.100 0.878 2.609 3.831 7.424 7.998 10.019</t>
        </is>
      </c>
      <c r="B88" t="inlineStr"/>
      <c r="C88" t="inlineStr"/>
      <c r="D88" t="inlineStr"/>
    </row>
    <row r="89">
      <c r="A89" t="inlineStr">
        <is>
          <t>2017 0.060 0.559 1.599 3.346 4.863 10.242 13.070</t>
        </is>
      </c>
      <c r="B89" t="inlineStr"/>
      <c r="C89" t="inlineStr"/>
      <c r="D89" t="inlineStr"/>
    </row>
    <row r="90">
      <c r="A90" t="inlineStr">
        <is>
          <t>2018 0.106 0.498 1.155 2.693 6.533 8.330 12.606</t>
        </is>
      </c>
      <c r="B90" t="inlineStr"/>
      <c r="C90" t="inlineStr"/>
      <c r="D90" t="inlineStr"/>
    </row>
    <row r="91">
      <c r="A91" t="inlineStr">
        <is>
          <t>2019 0.060 0.510 1.790 2.765 4.525 8.870 10.378</t>
        </is>
      </c>
      <c r="B91" t="inlineStr"/>
      <c r="C91" t="inlineStr"/>
      <c r="D91" t="inlineStr"/>
    </row>
    <row r="92">
      <c r="A92" t="inlineStr">
        <is>
          <t>2020 0.070 0.508 1.621 3.591 3.650 #N/A</t>
        </is>
      </c>
      <c r="B92" t="inlineStr">
        <is>
          <t>9.765</t>
        </is>
      </c>
      <c r="C92" t="inlineStr"/>
      <c r="D92" t="inlineStr"/>
    </row>
    <row r="93">
      <c r="A93" t="inlineStr">
        <is>
          <t>2021 0.087 0.649 1.549 2.377 8.281 10.747 7.185</t>
        </is>
      </c>
      <c r="B93" t="inlineStr"/>
      <c r="C93" t="inlineStr"/>
      <c r="D93" t="inlineStr"/>
    </row>
    <row r="94">
      <c r="A94" t="inlineStr">
        <is>
          <t>2022 0.079 0.721 1.975 3.701 6.441 9.451 #N/A</t>
        </is>
      </c>
      <c r="B94" t="inlineStr"/>
      <c r="C94" t="inlineStr"/>
      <c r="D94" t="inlineStr"/>
    </row>
    <row r="95">
      <c r="A95" t="inlineStr">
        <is>
          <t>2023 0.097 0.573 1.535 3.700 6.477 9.432 #N/A</t>
        </is>
      </c>
      <c r="B95" t="inlineStr"/>
      <c r="C95" t="inlineStr"/>
      <c r="D95" t="inlineStr"/>
    </row>
    <row r="96">
      <c r="A96" t="inlineStr">
        <is>
          <t>2024 0.116 0.497 1.654 2.638 6.750 9.359 11.439</t>
        </is>
      </c>
      <c r="B96" t="inlineStr"/>
      <c r="C96" t="inlineStr"/>
      <c r="D96" t="inlineStr"/>
    </row>
    <row r="97">
      <c r="A97" t="inlineStr">
        <is>
          <t>2025 0.091 0.674 1.530 3.305 #N/A</t>
        </is>
      </c>
      <c r="B97" t="inlineStr">
        <is>
          <t>6.683 #N/A</t>
        </is>
      </c>
      <c r="C97" t="inlineStr"/>
      <c r="D97" t="inlineStr"/>
    </row>
    <row r="98">
      <c r="A98" t="inlineStr">
        <is>
          <t>Viking</t>
        </is>
      </c>
      <c r="B98" t="inlineStr"/>
      <c r="C98" t="inlineStr"/>
      <c r="D98" t="inlineStr"/>
    </row>
    <row r="99">
      <c r="A99" t="inlineStr">
        <is>
          <t>Year/Age</t>
        </is>
      </c>
      <c r="B99" t="inlineStr">
        <is>
          <t>1 2 3 4 5 6 7+</t>
        </is>
      </c>
      <c r="C99" t="inlineStr"/>
      <c r="D99" t="inlineStr"/>
    </row>
    <row r="100">
      <c r="A100" t="inlineStr">
        <is>
          <t>1983 0.059 0.463 1.580 3.276 5.215 8.273 9.396</t>
        </is>
      </c>
      <c r="B100" t="inlineStr"/>
      <c r="C100" t="inlineStr"/>
      <c r="D100" t="inlineStr"/>
    </row>
    <row r="101">
      <c r="A101" t="inlineStr">
        <is>
          <t>1984 0.040 0.374 1.561 2.673 4.760 7.621 14.965</t>
        </is>
      </c>
      <c r="B101" t="inlineStr"/>
      <c r="C101" t="inlineStr"/>
      <c r="D101" t="inlineStr"/>
    </row>
    <row r="102">
      <c r="A102" t="inlineStr">
        <is>
          <t>1985 0.047 0.311 1.189 3.162 4.717 7.513 7.156</t>
        </is>
      </c>
      <c r="B102" t="inlineStr"/>
      <c r="C102" t="inlineStr"/>
      <c r="D102" t="inlineStr"/>
    </row>
    <row r="103">
      <c r="A103" t="inlineStr">
        <is>
          <t>1986 0.045 0.296 1.042 2.630 4.079 5.141 10.310</t>
        </is>
      </c>
      <c r="B103" t="inlineStr"/>
      <c r="C103" t="inlineStr"/>
      <c r="D103" t="inlineStr"/>
    </row>
    <row r="104">
      <c r="A104" t="inlineStr">
        <is>
          <t>1987 0.064 0.341 1.103 3.146 4.452 6.571 11.091</t>
        </is>
      </c>
      <c r="B104" t="inlineStr"/>
      <c r="C104" t="inlineStr"/>
      <c r="D104" t="inlineStr"/>
    </row>
    <row r="105">
      <c r="A105" t="inlineStr">
        <is>
          <t>1988 0.076 0.190 1.076 2.718 4.524 6.269 6.781</t>
        </is>
      </c>
      <c r="B105" t="inlineStr"/>
      <c r="C105" t="inlineStr"/>
      <c r="D105" t="inlineStr"/>
    </row>
    <row r="106">
      <c r="A106" t="inlineStr">
        <is>
          <t>1989 0.060 0.317 0.799 2.914 4.017 7.512 10.086</t>
        </is>
      </c>
      <c r="B106" t="inlineStr"/>
      <c r="C106" t="inlineStr"/>
      <c r="D106" t="inlineStr"/>
    </row>
    <row r="107">
      <c r="A107" t="inlineStr">
        <is>
          <t>1990 0.060 0.347 1.190 3.119 5.062 7.390 10.107</t>
        </is>
      </c>
      <c r="B107" t="inlineStr"/>
      <c r="C107" t="inlineStr"/>
      <c r="D107" t="inlineStr"/>
    </row>
    <row r="108">
      <c r="A108" t="inlineStr">
        <is>
          <t>1991 0.052 0.422 1.380 2.817 5.422 6.791 9.603</t>
        </is>
      </c>
      <c r="B108" t="inlineStr"/>
      <c r="C108" t="inlineStr"/>
      <c r="D108" t="inlineStr"/>
    </row>
    <row r="109">
      <c r="A109" t="inlineStr">
        <is>
          <t>1992 0.054 0.540 1.631 3.884 4.861 7.930 9.325</t>
        </is>
      </c>
      <c r="B109" t="inlineStr"/>
      <c r="C109" t="inlineStr"/>
      <c r="D109" t="inlineStr"/>
    </row>
    <row r="110">
      <c r="A110" t="inlineStr">
        <is>
          <t>1993 0.054 0.333 1.340 3.360 4.529 7.917 11.076</t>
        </is>
      </c>
      <c r="B110" t="inlineStr"/>
      <c r="C110" t="inlineStr"/>
      <c r="D110" t="inlineStr"/>
    </row>
    <row r="111">
      <c r="A111" t="inlineStr">
        <is>
          <t>1994 0.036 0.359 1.262 3.961 6.210 8.839 11.078</t>
        </is>
      </c>
      <c r="B111" t="inlineStr"/>
      <c r="C111" t="inlineStr"/>
      <c r="D111" t="inlineStr"/>
    </row>
    <row r="112">
      <c r="A112" t="inlineStr">
        <is>
          <t>1995 0.043 0.345 1.115 3.177 5.473 7.840 12.136</t>
        </is>
      </c>
      <c r="B112" t="inlineStr"/>
      <c r="C112" t="inlineStr"/>
      <c r="D112" t="inlineStr"/>
    </row>
    <row r="113">
      <c r="A113" t="inlineStr">
        <is>
          <t>1996 0.031 0.317 1.230 3.642 5.243 7.711 12.405</t>
        </is>
      </c>
      <c r="B113" t="inlineStr"/>
      <c r="C113" t="inlineStr"/>
      <c r="D113" t="inlineStr"/>
    </row>
    <row r="114">
      <c r="A114" t="inlineStr">
        <is>
          <t>1997 0.040 0.312 1.185 3.327 5.073 7.633 11.883</t>
        </is>
      </c>
      <c r="B114" t="inlineStr"/>
      <c r="C114" t="inlineStr"/>
      <c r="D114" t="inlineStr"/>
    </row>
    <row r="115">
      <c r="A115" t="inlineStr">
        <is>
          <t>1998 0.064 0.241 1.180 3.423 5.409 7.374 12.027</t>
        </is>
      </c>
      <c r="B115" t="inlineStr"/>
      <c r="C115" t="inlineStr"/>
      <c r="D115" t="inlineStr"/>
    </row>
    <row r="116">
      <c r="A116" t="inlineStr">
        <is>
          <t>ICES</t>
        </is>
      </c>
      <c r="B116" t="inlineStr">
        <is>
          <t>| WGNSSK</t>
        </is>
      </c>
      <c r="C116" t="inlineStr">
        <is>
          <t>2025</t>
        </is>
      </c>
      <c r="D116" t="inlineStr">
        <is>
          <t>| 125</t>
        </is>
      </c>
    </row>
    <row r="117">
      <c r="A117" t="inlineStr">
        <is>
          <t>Year/Age</t>
        </is>
      </c>
      <c r="B117" t="inlineStr">
        <is>
          <t>1 2 3 4 5 6 7+</t>
        </is>
      </c>
      <c r="C117" t="inlineStr"/>
      <c r="D117" t="inlineStr"/>
    </row>
    <row r="118">
      <c r="A118" t="inlineStr">
        <is>
          <t>1999 0.048 0.270 0.815 2.690 4.961 6.883 9.611</t>
        </is>
      </c>
      <c r="B118" t="inlineStr"/>
      <c r="C118" t="inlineStr"/>
      <c r="D118" t="inlineStr"/>
    </row>
    <row r="119">
      <c r="A119" t="inlineStr">
        <is>
          <t>2000 0.040 0.380 1.172 2.739 4.840 5.931 9.383</t>
        </is>
      </c>
      <c r="B119" t="inlineStr"/>
      <c r="C119" t="inlineStr"/>
      <c r="D119" t="inlineStr"/>
    </row>
    <row r="120">
      <c r="A120" t="inlineStr">
        <is>
          <t>2001 0.070 0.349 1.496 3.034 4.325 5.282 10.367</t>
        </is>
      </c>
      <c r="B120" t="inlineStr"/>
      <c r="C120" t="inlineStr"/>
      <c r="D120" t="inlineStr"/>
    </row>
    <row r="121">
      <c r="A121" t="inlineStr">
        <is>
          <t>2002 0.051 0.299 0.830 3.054 6.139 9.108 9.279</t>
        </is>
      </c>
      <c r="B121" t="inlineStr"/>
      <c r="C121" t="inlineStr"/>
      <c r="D121" t="inlineStr"/>
    </row>
    <row r="122">
      <c r="A122" t="inlineStr">
        <is>
          <t>2003 0.051 0.384 0.946 2.423 5.307 5.370 11.599</t>
        </is>
      </c>
      <c r="B122" t="inlineStr"/>
      <c r="C122" t="inlineStr"/>
      <c r="D122" t="inlineStr"/>
    </row>
    <row r="123">
      <c r="A123" t="inlineStr">
        <is>
          <t>2004 0.058 0.367 1.373 3.238 4.653 6.246 14.712</t>
        </is>
      </c>
      <c r="B123" t="inlineStr"/>
      <c r="C123" t="inlineStr"/>
      <c r="D123" t="inlineStr"/>
    </row>
    <row r="124">
      <c r="A124" t="inlineStr">
        <is>
          <t>2005 0.060 0.449 1.273 2.950 5.009 7.427 9.342</t>
        </is>
      </c>
      <c r="B124" t="inlineStr"/>
      <c r="C124" t="inlineStr"/>
      <c r="D124" t="inlineStr"/>
    </row>
    <row r="125">
      <c r="A125" t="inlineStr">
        <is>
          <t>2006 0.054 0.439 1.464 3.132 4.378 7.136 10.172</t>
        </is>
      </c>
      <c r="B125" t="inlineStr"/>
      <c r="C125" t="inlineStr"/>
      <c r="D125" t="inlineStr"/>
    </row>
    <row r="126">
      <c r="A126" t="inlineStr">
        <is>
          <t>2007 0.048 0.445 0.943 3.456 5.348 5.928 10.304</t>
        </is>
      </c>
      <c r="B126" t="inlineStr"/>
      <c r="C126" t="inlineStr"/>
      <c r="D126" t="inlineStr"/>
    </row>
    <row r="127">
      <c r="A127" t="inlineStr">
        <is>
          <t>2008 0.050 0.529 1.501 3.231 5.516 7.085 11.410</t>
        </is>
      </c>
      <c r="B127" t="inlineStr"/>
      <c r="C127" t="inlineStr"/>
      <c r="D127" t="inlineStr"/>
    </row>
    <row r="128">
      <c r="A128" t="inlineStr">
        <is>
          <t>2009 0.051 0.477 1.589 3.684 4.613 6.169 9.986</t>
        </is>
      </c>
      <c r="B128" t="inlineStr"/>
      <c r="C128" t="inlineStr"/>
      <c r="D128" t="inlineStr"/>
    </row>
    <row r="129">
      <c r="A129" t="inlineStr">
        <is>
          <t>2010 0.049 0.524 1.584 3.413 4.696 5.928 10.105</t>
        </is>
      </c>
      <c r="B129" t="inlineStr"/>
      <c r="C129" t="inlineStr"/>
      <c r="D129" t="inlineStr"/>
    </row>
    <row r="130">
      <c r="A130" t="inlineStr">
        <is>
          <t>2011 0.045 0.403 1.448 3.672 4.390 7.234 11.510</t>
        </is>
      </c>
      <c r="B130" t="inlineStr"/>
      <c r="C130" t="inlineStr"/>
      <c r="D130" t="inlineStr"/>
    </row>
    <row r="131">
      <c r="A131" t="inlineStr">
        <is>
          <t>2012 0.059 0.470 1.376 3.247 5.412 7.168 9.414</t>
        </is>
      </c>
      <c r="B131" t="inlineStr"/>
      <c r="C131" t="inlineStr"/>
      <c r="D131" t="inlineStr"/>
    </row>
    <row r="132">
      <c r="A132" t="inlineStr">
        <is>
          <t>2013 0.053 0.420 1.277 3.177 4.493 6.298 8.855</t>
        </is>
      </c>
      <c r="B132" t="inlineStr"/>
      <c r="C132" t="inlineStr"/>
      <c r="D132" t="inlineStr"/>
    </row>
    <row r="133">
      <c r="A133" t="inlineStr">
        <is>
          <t>2014 0.045 0.436 1.458 3.466 5.640 8.569 10.675</t>
        </is>
      </c>
      <c r="B133" t="inlineStr"/>
      <c r="C133" t="inlineStr"/>
      <c r="D133" t="inlineStr"/>
    </row>
    <row r="134">
      <c r="A134" t="inlineStr">
        <is>
          <t>2015 0.058 0.463 1.568 3.306 4.545 7.816 7.376</t>
        </is>
      </c>
      <c r="B134" t="inlineStr"/>
      <c r="C134" t="inlineStr"/>
      <c r="D134" t="inlineStr"/>
    </row>
    <row r="135">
      <c r="A135" t="inlineStr">
        <is>
          <t>2016 0.064 0.517 1.566 3.133 4.349 6.570 9.695</t>
        </is>
      </c>
      <c r="B135" t="inlineStr"/>
      <c r="C135" t="inlineStr"/>
      <c r="D135" t="inlineStr"/>
    </row>
    <row r="136">
      <c r="A136" t="inlineStr">
        <is>
          <t>2017 0.050 0.545 1.596 3.317 4.579 6.617 10.254</t>
        </is>
      </c>
      <c r="B136" t="inlineStr"/>
      <c r="C136" t="inlineStr"/>
      <c r="D136" t="inlineStr"/>
    </row>
    <row r="137">
      <c r="A137" t="inlineStr">
        <is>
          <t>2018 0.053 0.484 1.071 3.061 5.520 6.941 10.008</t>
        </is>
      </c>
      <c r="B137" t="inlineStr"/>
      <c r="C137" t="inlineStr"/>
      <c r="D137" t="inlineStr"/>
    </row>
    <row r="138">
      <c r="A138" t="inlineStr">
        <is>
          <t>2019 0.061 0.424 1.229 2.722 6.247 7.516 10.597</t>
        </is>
      </c>
      <c r="B138" t="inlineStr"/>
      <c r="C138" t="inlineStr"/>
      <c r="D138" t="inlineStr"/>
    </row>
    <row r="139">
      <c r="A139" t="inlineStr">
        <is>
          <t>2020 0.057 0.516 1.393 3.668 5.762 5.951 9.822</t>
        </is>
      </c>
      <c r="B139" t="inlineStr"/>
      <c r="C139" t="inlineStr"/>
      <c r="D139" t="inlineStr"/>
    </row>
    <row r="140">
      <c r="A140" t="inlineStr">
        <is>
          <t>2021 0.049 0.429 1.367 2.722 5.455 6.270 9.067</t>
        </is>
      </c>
      <c r="B140" t="inlineStr"/>
      <c r="C140" t="inlineStr"/>
      <c r="D140" t="inlineStr"/>
    </row>
    <row r="141">
      <c r="A141" t="inlineStr">
        <is>
          <t>2022 0.054 0.371 1.425 3.227 4.997 8.202 10.466</t>
        </is>
      </c>
      <c r="B141" t="inlineStr"/>
      <c r="C141" t="inlineStr"/>
      <c r="D141" t="inlineStr"/>
    </row>
    <row r="142">
      <c r="A142" t="inlineStr">
        <is>
          <t>2023 0.054 0.427 1.103 2.889 5.541 7.581 15.101</t>
        </is>
      </c>
      <c r="B142" t="inlineStr"/>
      <c r="C142" t="inlineStr"/>
      <c r="D142" t="inlineStr"/>
    </row>
    <row r="143">
      <c r="A143" t="inlineStr">
        <is>
          <t>2024 0.054 0.299 1.280 2.819 4.756 7.219 9.182</t>
        </is>
      </c>
      <c r="B143" t="inlineStr"/>
      <c r="C143" t="inlineStr"/>
      <c r="D143" t="inlineStr"/>
    </row>
    <row r="144">
      <c r="A144" t="inlineStr">
        <is>
          <t>2025 0.061 0.460 0.985 2.696 4.222 6.596 10.079</t>
        </is>
      </c>
      <c r="B144" t="inlineStr"/>
      <c r="C144" t="inlineStr"/>
      <c r="D144" t="inlineStr"/>
    </row>
    <row r="145">
      <c r="A145" t="inlineStr">
        <is>
          <t>126 | ICES SCIENTIFIC REPORTS 6:38 | ICES</t>
        </is>
      </c>
      <c r="B145" t="inlineStr"/>
      <c r="C145" t="inlineStr"/>
      <c r="D14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</row>
    <row r="2">
      <c r="A2" t="inlineStr">
        <is>
          <t>Northwest ern</t>
        </is>
      </c>
      <c r="B2" t="inlineStr"/>
      <c r="C2" t="inlineStr"/>
      <c r="D2" t="inlineStr"/>
    </row>
    <row r="3">
      <c r="A3" t="inlineStr">
        <is>
          <t>Year/Age</t>
        </is>
      </c>
      <c r="B3" t="inlineStr">
        <is>
          <t>1 2 3 4 5 6 7+</t>
        </is>
      </c>
      <c r="C3" t="inlineStr"/>
      <c r="D3" t="inlineStr"/>
    </row>
    <row r="4">
      <c r="A4" t="inlineStr">
        <is>
          <t>1983 0.003 0.039 0.272 0.304 0.724 0.807 0.906</t>
        </is>
      </c>
      <c r="B4" t="inlineStr"/>
      <c r="C4" t="inlineStr"/>
      <c r="D4" t="inlineStr"/>
    </row>
    <row r="5">
      <c r="A5" t="inlineStr">
        <is>
          <t>1984 0.002 0.021 0.133 0.437 0.648 0.683 0.878</t>
        </is>
      </c>
      <c r="B5" t="inlineStr"/>
      <c r="C5" t="inlineStr"/>
      <c r="D5" t="inlineStr"/>
    </row>
    <row r="6">
      <c r="A6" t="inlineStr">
        <is>
          <t>1985 0.002 0.028 0.144 0.457 0.557 0.786 0.872</t>
        </is>
      </c>
      <c r="B6" t="inlineStr"/>
      <c r="C6" t="inlineStr"/>
      <c r="D6" t="inlineStr"/>
    </row>
    <row r="7">
      <c r="A7" t="inlineStr">
        <is>
          <t>1986 0.002 0.112 0.099 0.185 0.463 0.720 0.853</t>
        </is>
      </c>
      <c r="B7" t="inlineStr"/>
      <c r="C7" t="inlineStr"/>
      <c r="D7" t="inlineStr"/>
    </row>
    <row r="8">
      <c r="A8" t="inlineStr">
        <is>
          <t>1987 0.003 0.019 0.261 0.539 0.741 0.781 0.896</t>
        </is>
      </c>
      <c r="B8" t="inlineStr"/>
      <c r="C8" t="inlineStr"/>
      <c r="D8" t="inlineStr"/>
    </row>
    <row r="9">
      <c r="A9" t="inlineStr">
        <is>
          <t>1988 0.002 0.039 0.169 0.458 0.563 0.759 0.890</t>
        </is>
      </c>
      <c r="B9" t="inlineStr"/>
      <c r="C9" t="inlineStr"/>
      <c r="D9" t="inlineStr"/>
    </row>
    <row r="10">
      <c r="A10" t="inlineStr">
        <is>
          <t>1989 0.130 0.270 0.335 0.641 0.895 0.880 0.973</t>
        </is>
      </c>
      <c r="B10" t="inlineStr"/>
      <c r="C10" t="inlineStr"/>
      <c r="D10" t="inlineStr"/>
    </row>
    <row r="11">
      <c r="A11" t="inlineStr">
        <is>
          <t>1990 0.003 0.082 0.226 0.547 0.749 0.806 0.789</t>
        </is>
      </c>
      <c r="B11" t="inlineStr"/>
      <c r="C11" t="inlineStr"/>
      <c r="D11" t="inlineStr"/>
    </row>
    <row r="12">
      <c r="A12" t="inlineStr">
        <is>
          <t>1991 0.005 0.091 0.403 0.556 0.829 0.892 0.943</t>
        </is>
      </c>
      <c r="B12" t="inlineStr"/>
      <c r="C12" t="inlineStr"/>
      <c r="D12" t="inlineStr"/>
    </row>
    <row r="13">
      <c r="A13" t="inlineStr">
        <is>
          <t>1992 0.016 0.338 0.657 0.895 0.945 0.966 0.983</t>
        </is>
      </c>
      <c r="B13" t="inlineStr"/>
      <c r="C13" t="inlineStr"/>
      <c r="D13" t="inlineStr"/>
    </row>
    <row r="14">
      <c r="A14" t="inlineStr">
        <is>
          <t>1993 0.014 0.115 0.762 0.874 0.943 0.960 0.979</t>
        </is>
      </c>
      <c r="B14" t="inlineStr"/>
      <c r="C14" t="inlineStr"/>
      <c r="D14" t="inlineStr"/>
    </row>
    <row r="15">
      <c r="A15" t="inlineStr">
        <is>
          <t>1994 0.017 0.304 0.688 0.884 0.952 0.968 0.984</t>
        </is>
      </c>
      <c r="B15" t="inlineStr"/>
      <c r="C15" t="inlineStr"/>
      <c r="D15" t="inlineStr"/>
    </row>
    <row r="16">
      <c r="A16" t="inlineStr">
        <is>
          <t>1995 0.008 0.079 0.438 0.806 0.889 0.923 0.960</t>
        </is>
      </c>
      <c r="B16" t="inlineStr"/>
      <c r="C16" t="inlineStr"/>
      <c r="D16" t="inlineStr"/>
    </row>
    <row r="17">
      <c r="A17" t="inlineStr">
        <is>
          <t>1996 0.013 0.181 0.583 0.854 0.938 0.954 0.977</t>
        </is>
      </c>
      <c r="B17" t="inlineStr"/>
      <c r="C17" t="inlineStr"/>
      <c r="D17" t="inlineStr"/>
    </row>
    <row r="18">
      <c r="A18" t="inlineStr">
        <is>
          <t>1997 0.017 0.268 0.821 0.931 0.964 0.976 0.988</t>
        </is>
      </c>
      <c r="B18" t="inlineStr"/>
      <c r="C18" t="inlineStr"/>
      <c r="D18" t="inlineStr"/>
    </row>
    <row r="19">
      <c r="A19" t="inlineStr">
        <is>
          <t>1998 0.013 0.152 0.648 0.834 0.932 0.950 0.972</t>
        </is>
      </c>
      <c r="B19" t="inlineStr"/>
      <c r="C19" t="inlineStr"/>
      <c r="D19" t="inlineStr"/>
    </row>
    <row r="20">
      <c r="A20" t="inlineStr">
        <is>
          <t>1999 0.031 0.576 0.537 0.896 0.960 0.974 0.987</t>
        </is>
      </c>
      <c r="B20" t="inlineStr"/>
      <c r="C20" t="inlineStr"/>
      <c r="D20" t="inlineStr"/>
    </row>
    <row r="21">
      <c r="A21" t="inlineStr">
        <is>
          <t>2000 0.030 0.350 0.814 0.898 0.963 0.976 0.988</t>
        </is>
      </c>
      <c r="B21" t="inlineStr"/>
      <c r="C21" t="inlineStr"/>
      <c r="D21" t="inlineStr"/>
    </row>
    <row r="22">
      <c r="A22" t="inlineStr">
        <is>
          <t>2001 0.015 0.248 0.633 0.869 0.914 0.957 0.979</t>
        </is>
      </c>
      <c r="B22" t="inlineStr"/>
      <c r="C22" t="inlineStr"/>
      <c r="D22" t="inlineStr"/>
    </row>
    <row r="23">
      <c r="A23" t="inlineStr">
        <is>
          <t>2002 0.021 0.263 0.695 0.887 0.947 0.967 0.983</t>
        </is>
      </c>
      <c r="B23" t="inlineStr"/>
      <c r="C23" t="inlineStr"/>
      <c r="D23" t="inlineStr"/>
    </row>
    <row r="24">
      <c r="A24" t="inlineStr">
        <is>
          <t>2003 0.023 0.287 0.649 0.877 0.949 0.966 0.983</t>
        </is>
      </c>
      <c r="B24" t="inlineStr"/>
      <c r="C24" t="inlineStr"/>
      <c r="D24" t="inlineStr"/>
    </row>
    <row r="25">
      <c r="A25" t="inlineStr">
        <is>
          <t>2004 0.018 0.389 0.729 0.898 0.955 0.971 0.986</t>
        </is>
      </c>
      <c r="B25" t="inlineStr"/>
      <c r="C25" t="inlineStr"/>
      <c r="D25" t="inlineStr"/>
    </row>
    <row r="26">
      <c r="A26" t="inlineStr">
        <is>
          <t>2005 0.021 0.380 0.730 0.879 0.950 0.970 0.985</t>
        </is>
      </c>
      <c r="B26" t="inlineStr"/>
      <c r="C26" t="inlineStr"/>
      <c r="D26" t="inlineStr"/>
    </row>
    <row r="27">
      <c r="A27" t="inlineStr">
        <is>
          <t>2006 0.035 0.532 0.848 0.937 0.973 0.983 0.992</t>
        </is>
      </c>
      <c r="B27" t="inlineStr"/>
      <c r="C27" t="inlineStr"/>
      <c r="D27" t="inlineStr"/>
    </row>
    <row r="28">
      <c r="A28" t="inlineStr">
        <is>
          <t>2007 0.017 0.238 0.701 0.883 0.942 0.964 0.982</t>
        </is>
      </c>
      <c r="B28" t="inlineStr"/>
      <c r="C28" t="inlineStr"/>
      <c r="D28" t="inlineStr"/>
    </row>
    <row r="29">
      <c r="A29" t="inlineStr">
        <is>
          <t>2008 0.023 0.469 0.689 0.916 0.961 0.975 0.988</t>
        </is>
      </c>
      <c r="B29" t="inlineStr"/>
      <c r="C29" t="inlineStr"/>
      <c r="D29" t="inlineStr"/>
    </row>
    <row r="30">
      <c r="A30" t="inlineStr">
        <is>
          <t>2009 0.016 0.269 0.708 0.885 0.936 0.964 0.982</t>
        </is>
      </c>
      <c r="B30" t="inlineStr"/>
      <c r="C30" t="inlineStr"/>
      <c r="D30" t="inlineStr"/>
    </row>
    <row r="31">
      <c r="A31" t="inlineStr">
        <is>
          <t>2010 0.013 0.382 0.812 0.904 0.959 0.973 0.986</t>
        </is>
      </c>
      <c r="B31" t="inlineStr"/>
      <c r="C31" t="inlineStr"/>
      <c r="D31" t="inlineStr"/>
    </row>
    <row r="32">
      <c r="A32" t="inlineStr">
        <is>
          <t>ICES</t>
        </is>
      </c>
      <c r="B32" t="inlineStr">
        <is>
          <t>| WGNSSK</t>
        </is>
      </c>
      <c r="C32" t="inlineStr">
        <is>
          <t>2025</t>
        </is>
      </c>
      <c r="D32" t="inlineStr">
        <is>
          <t>| 127</t>
        </is>
      </c>
    </row>
    <row r="33">
      <c r="A33" t="inlineStr">
        <is>
          <t>Year/Age</t>
        </is>
      </c>
      <c r="B33" t="inlineStr">
        <is>
          <t>1 2 3 4 5 6 7+</t>
        </is>
      </c>
      <c r="C33" t="inlineStr"/>
      <c r="D33" t="inlineStr"/>
    </row>
    <row r="34">
      <c r="A34" t="inlineStr">
        <is>
          <t>2011 0.027 0.268 0.779 0.934 0.968 0.979 0.988</t>
        </is>
      </c>
      <c r="B34" t="inlineStr"/>
      <c r="C34" t="inlineStr"/>
      <c r="D34" t="inlineStr"/>
    </row>
    <row r="35">
      <c r="A35" t="inlineStr">
        <is>
          <t>2012 0.028 0.533 0.722 0.898 0.968 0.978 0.989</t>
        </is>
      </c>
      <c r="B35" t="inlineStr"/>
      <c r="C35" t="inlineStr"/>
      <c r="D35" t="inlineStr"/>
    </row>
    <row r="36">
      <c r="A36" t="inlineStr">
        <is>
          <t>2013 0.037 0.637 0.794 0.971 0.978 0.987 0.993</t>
        </is>
      </c>
      <c r="B36" t="inlineStr"/>
      <c r="C36" t="inlineStr"/>
      <c r="D36" t="inlineStr"/>
    </row>
    <row r="37">
      <c r="A37" t="inlineStr">
        <is>
          <t>2014 0.028 0.194 0.609 0.901 0.937 0.966 0.982</t>
        </is>
      </c>
      <c r="B37" t="inlineStr"/>
      <c r="C37" t="inlineStr"/>
      <c r="D37" t="inlineStr"/>
    </row>
    <row r="38">
      <c r="A38" t="inlineStr">
        <is>
          <t>2015 0.022 0.367 0.617 0.864 0.930 0.960 0.983</t>
        </is>
      </c>
      <c r="B38" t="inlineStr"/>
      <c r="C38" t="inlineStr"/>
      <c r="D38" t="inlineStr"/>
    </row>
    <row r="39">
      <c r="A39" t="inlineStr">
        <is>
          <t>2016 0.010 0.298 0.464 0.813 0.931 0.954 0.970</t>
        </is>
      </c>
      <c r="B39" t="inlineStr"/>
      <c r="C39" t="inlineStr"/>
      <c r="D39" t="inlineStr"/>
    </row>
    <row r="40">
      <c r="A40" t="inlineStr">
        <is>
          <t>2017 0.016 0.500 0.696 0.862 0.895 0.969 0.975</t>
        </is>
      </c>
      <c r="B40" t="inlineStr"/>
      <c r="C40" t="inlineStr"/>
      <c r="D40" t="inlineStr"/>
    </row>
    <row r="41">
      <c r="A41" t="inlineStr">
        <is>
          <t>2018 0.012 0.239 0.688 0.786 0.942 0.945 0.980</t>
        </is>
      </c>
      <c r="B41" t="inlineStr"/>
      <c r="C41" t="inlineStr"/>
      <c r="D41" t="inlineStr"/>
    </row>
    <row r="42">
      <c r="A42" t="inlineStr">
        <is>
          <t>2019 0.026 0.450 0.716 0.912 0.956 0.976 0.988</t>
        </is>
      </c>
      <c r="B42" t="inlineStr"/>
      <c r="C42" t="inlineStr"/>
      <c r="D42" t="inlineStr"/>
    </row>
    <row r="43">
      <c r="A43" t="inlineStr">
        <is>
          <t>2020 0.035 0.251 0.819 0.921 0.964 0.977 0.988</t>
        </is>
      </c>
      <c r="B43" t="inlineStr"/>
      <c r="C43" t="inlineStr"/>
      <c r="D43" t="inlineStr"/>
    </row>
    <row r="44">
      <c r="A44" t="inlineStr">
        <is>
          <t>2021 0.022 0.279 0.509 0.884 0.899 0.960 0.979</t>
        </is>
      </c>
      <c r="B44" t="inlineStr"/>
      <c r="C44" t="inlineStr"/>
      <c r="D44" t="inlineStr"/>
    </row>
    <row r="45">
      <c r="A45" t="inlineStr">
        <is>
          <t>2022 0.041 0.555 0.789 0.938 0.972 0.977 0.991</t>
        </is>
      </c>
      <c r="B45" t="inlineStr"/>
      <c r="C45" t="inlineStr"/>
      <c r="D45" t="inlineStr"/>
    </row>
    <row r="46">
      <c r="A46" t="inlineStr">
        <is>
          <t>2023 0.023 0.398 0.690 0.841 0.945 0.967 0.985</t>
        </is>
      </c>
      <c r="B46" t="inlineStr"/>
      <c r="C46" t="inlineStr"/>
      <c r="D46" t="inlineStr"/>
    </row>
    <row r="47">
      <c r="A47" t="inlineStr">
        <is>
          <t>2024 0.014 0.177 0.637 0.806 0.951 0.961 0.979</t>
        </is>
      </c>
      <c r="B47" t="inlineStr"/>
      <c r="C47" t="inlineStr"/>
      <c r="D47" t="inlineStr"/>
    </row>
    <row r="48">
      <c r="A48" t="inlineStr">
        <is>
          <t>2025 0.017 0.383 0.718 0.814 0.937 0.962 0.983</t>
        </is>
      </c>
      <c r="B48" t="inlineStr"/>
      <c r="C48" t="inlineStr"/>
      <c r="D48" t="inlineStr"/>
    </row>
    <row r="49">
      <c r="A49" t="inlineStr">
        <is>
          <t>Southern</t>
        </is>
      </c>
      <c r="B49" t="inlineStr"/>
      <c r="C49" t="inlineStr"/>
      <c r="D49" t="inlineStr"/>
    </row>
    <row r="50">
      <c r="A50" t="inlineStr">
        <is>
          <t>Year/Age</t>
        </is>
      </c>
      <c r="B50" t="inlineStr">
        <is>
          <t>1 2 3 4 5 6 7+</t>
        </is>
      </c>
      <c r="C50" t="inlineStr"/>
      <c r="D50" t="inlineStr"/>
    </row>
    <row r="51">
      <c r="A51" t="inlineStr">
        <is>
          <t>1983 0.001 0.021 0.218 0.468 0.692 0.629 0.973</t>
        </is>
      </c>
      <c r="B51" t="inlineStr"/>
      <c r="C51" t="inlineStr"/>
      <c r="D51" t="inlineStr"/>
    </row>
    <row r="52">
      <c r="A52" t="inlineStr">
        <is>
          <t>1984 0.000 0.033 0.264 0.581 0.383 0.852 0.978</t>
        </is>
      </c>
      <c r="B52" t="inlineStr"/>
      <c r="C52" t="inlineStr"/>
      <c r="D52" t="inlineStr"/>
    </row>
    <row r="53">
      <c r="A53" t="inlineStr">
        <is>
          <t>1985 0.001 0.023 0.319 0.698 0.767 0.775 0.975</t>
        </is>
      </c>
      <c r="B53" t="inlineStr"/>
      <c r="C53" t="inlineStr"/>
      <c r="D53" t="inlineStr"/>
    </row>
    <row r="54">
      <c r="A54" t="inlineStr">
        <is>
          <t>1986 0.001 0.067 0.342 0.561 0.653 0.521 0.976</t>
        </is>
      </c>
      <c r="B54" t="inlineStr"/>
      <c r="C54" t="inlineStr"/>
      <c r="D54" t="inlineStr"/>
    </row>
    <row r="55">
      <c r="A55" t="inlineStr">
        <is>
          <t>1987 0.000 0.010 0.263 0.567 0.790 0.647 0.977</t>
        </is>
      </c>
      <c r="B55" t="inlineStr"/>
      <c r="C55" t="inlineStr"/>
      <c r="D55" t="inlineStr"/>
    </row>
    <row r="56">
      <c r="A56" t="inlineStr">
        <is>
          <t>1988 0.001 0.065 0.195 0.602 0.623 0.738 0.966</t>
        </is>
      </c>
      <c r="B56" t="inlineStr"/>
      <c r="C56" t="inlineStr"/>
      <c r="D56" t="inlineStr"/>
    </row>
    <row r="57">
      <c r="A57" t="inlineStr">
        <is>
          <t>1989 0.038 0.158 0.376 0.585 0.908 0.747 0.993</t>
        </is>
      </c>
      <c r="B57" t="inlineStr"/>
      <c r="C57" t="inlineStr"/>
      <c r="D57" t="inlineStr"/>
    </row>
    <row r="58">
      <c r="A58" t="inlineStr">
        <is>
          <t>1990 0.002 0.207 0.279 0.559 0.739 0.841 0.979</t>
        </is>
      </c>
      <c r="B58" t="inlineStr"/>
      <c r="C58" t="inlineStr"/>
      <c r="D58" t="inlineStr"/>
    </row>
    <row r="59">
      <c r="A59" t="inlineStr">
        <is>
          <t>1991 0.002 0.154 0.627 0.751 0.920 0.937 0.994</t>
        </is>
      </c>
      <c r="B59" t="inlineStr"/>
      <c r="C59" t="inlineStr"/>
      <c r="D59" t="inlineStr"/>
    </row>
    <row r="60">
      <c r="A60" t="inlineStr">
        <is>
          <t>1992 0.002 0.224 0.709 0.909 0.943 0.945 0.996</t>
        </is>
      </c>
      <c r="B60" t="inlineStr"/>
      <c r="C60" t="inlineStr"/>
      <c r="D60" t="inlineStr"/>
    </row>
    <row r="61">
      <c r="A61" t="inlineStr">
        <is>
          <t>1993 0.002 0.079 0.442 0.808 0.899 0.900 0.991</t>
        </is>
      </c>
      <c r="B61" t="inlineStr"/>
      <c r="C61" t="inlineStr"/>
      <c r="D61" t="inlineStr"/>
    </row>
    <row r="62">
      <c r="A62" t="inlineStr">
        <is>
          <t>1994 0.002 0.098 0.614 0.827 0.880 0.899 0.992</t>
        </is>
      </c>
      <c r="B62" t="inlineStr"/>
      <c r="C62" t="inlineStr"/>
      <c r="D62" t="inlineStr"/>
    </row>
    <row r="63">
      <c r="A63" t="inlineStr">
        <is>
          <t>128 | ICES SCIENTIFIC REPORTS 6:38 | ICES</t>
        </is>
      </c>
      <c r="B63" t="inlineStr"/>
      <c r="C63" t="inlineStr"/>
      <c r="D63" t="inlineStr"/>
    </row>
    <row r="64">
      <c r="A64" t="inlineStr">
        <is>
          <t>Year/Age</t>
        </is>
      </c>
      <c r="B64" t="inlineStr">
        <is>
          <t>1 2 3 4 5 6 7+</t>
        </is>
      </c>
      <c r="C64" t="inlineStr"/>
      <c r="D64" t="inlineStr"/>
    </row>
    <row r="65">
      <c r="A65" t="inlineStr">
        <is>
          <t>1995 0.003 0.093 0.457 0.834 0.894 0.903 0.992</t>
        </is>
      </c>
      <c r="B65" t="inlineStr"/>
      <c r="C65" t="inlineStr"/>
      <c r="D65" t="inlineStr"/>
    </row>
    <row r="66">
      <c r="A66" t="inlineStr">
        <is>
          <t>1996 0.002 0.065 0.460 0.766 0.883 0.892 0.990</t>
        </is>
      </c>
      <c r="B66" t="inlineStr"/>
      <c r="C66" t="inlineStr"/>
      <c r="D66" t="inlineStr"/>
    </row>
    <row r="67">
      <c r="A67" t="inlineStr">
        <is>
          <t>1997 0.002 0.139 0.582 0.691 0.860 0.861 0.991</t>
        </is>
      </c>
      <c r="B67" t="inlineStr"/>
      <c r="C67" t="inlineStr"/>
      <c r="D67" t="inlineStr"/>
    </row>
    <row r="68">
      <c r="A68" t="inlineStr">
        <is>
          <t>1998 0.002 0.054 0.405 0.719 0.842 0.861 0.988</t>
        </is>
      </c>
      <c r="B68" t="inlineStr"/>
      <c r="C68" t="inlineStr"/>
      <c r="D68" t="inlineStr"/>
    </row>
    <row r="69">
      <c r="A69" t="inlineStr">
        <is>
          <t>1999 0.004 0.328 0.650 0.838 0.948 0.948 0.995</t>
        </is>
      </c>
      <c r="B69" t="inlineStr"/>
      <c r="C69" t="inlineStr"/>
      <c r="D69" t="inlineStr"/>
    </row>
    <row r="70">
      <c r="A70" t="inlineStr">
        <is>
          <t>2000 0.010 0.285 0.646 0.928 0.962 0.964 0.997</t>
        </is>
      </c>
      <c r="B70" t="inlineStr"/>
      <c r="C70" t="inlineStr"/>
      <c r="D70" t="inlineStr"/>
    </row>
    <row r="71">
      <c r="A71" t="inlineStr">
        <is>
          <t>2001 0.003 0.240 0.635 0.909 0.948 0.947 0.996</t>
        </is>
      </c>
      <c r="B71" t="inlineStr"/>
      <c r="C71" t="inlineStr"/>
      <c r="D71" t="inlineStr"/>
    </row>
    <row r="72">
      <c r="A72" t="inlineStr">
        <is>
          <t>2002 0.009 0.514 0.836 0.949 0.974 0.977 0.998</t>
        </is>
      </c>
      <c r="B72" t="inlineStr"/>
      <c r="C72" t="inlineStr"/>
      <c r="D72" t="inlineStr"/>
    </row>
    <row r="73">
      <c r="A73" t="inlineStr">
        <is>
          <t>2003 0.007 0.342 0.669 0.915 0.960 0.961 0.997</t>
        </is>
      </c>
      <c r="B73" t="inlineStr"/>
      <c r="C73" t="inlineStr"/>
      <c r="D73" t="inlineStr"/>
    </row>
    <row r="74">
      <c r="A74" t="inlineStr">
        <is>
          <t>2004 0.004 0.160 0.872 0.931 0.951 0.960 0.997</t>
        </is>
      </c>
      <c r="B74" t="inlineStr"/>
      <c r="C74" t="inlineStr"/>
      <c r="D74" t="inlineStr"/>
    </row>
    <row r="75">
      <c r="A75" t="inlineStr">
        <is>
          <t>2005 0.015 0.544 0.826 0.932 0.976 0.977 0.998</t>
        </is>
      </c>
      <c r="B75" t="inlineStr"/>
      <c r="C75" t="inlineStr"/>
      <c r="D75" t="inlineStr"/>
    </row>
    <row r="76">
      <c r="A76" t="inlineStr">
        <is>
          <t>2006 0.009 0.342 0.856 0.937 0.970 0.971 0.998</t>
        </is>
      </c>
      <c r="B76" t="inlineStr"/>
      <c r="C76" t="inlineStr"/>
      <c r="D76" t="inlineStr"/>
    </row>
    <row r="77">
      <c r="A77" t="inlineStr">
        <is>
          <t>2007 0.007 0.272 0.844 0.943 0.967 0.969 0.998</t>
        </is>
      </c>
      <c r="B77" t="inlineStr"/>
      <c r="C77" t="inlineStr"/>
      <c r="D77" t="inlineStr"/>
    </row>
    <row r="78">
      <c r="A78" t="inlineStr">
        <is>
          <t>2008 0.041 0.565 0.933 0.969 0.986 0.988 0.999</t>
        </is>
      </c>
      <c r="B78" t="inlineStr"/>
      <c r="C78" t="inlineStr"/>
      <c r="D78" t="inlineStr"/>
    </row>
    <row r="79">
      <c r="A79" t="inlineStr">
        <is>
          <t>2009 0.011 0.327 0.815 0.952 0.973 0.974 0.998</t>
        </is>
      </c>
      <c r="B79" t="inlineStr"/>
      <c r="C79" t="inlineStr"/>
      <c r="D79" t="inlineStr"/>
    </row>
    <row r="80">
      <c r="A80" t="inlineStr">
        <is>
          <t>2010 0.007 0.234 0.785 0.939 0.954 0.963 0.997</t>
        </is>
      </c>
      <c r="B80" t="inlineStr"/>
      <c r="C80" t="inlineStr"/>
      <c r="D80" t="inlineStr"/>
    </row>
    <row r="81">
      <c r="A81" t="inlineStr">
        <is>
          <t>2011 0.021 0.140 0.840 0.948 0.971 0.971 0.998</t>
        </is>
      </c>
      <c r="B81" t="inlineStr"/>
      <c r="C81" t="inlineStr"/>
      <c r="D81" t="inlineStr"/>
    </row>
    <row r="82">
      <c r="A82" t="inlineStr">
        <is>
          <t>2012 0.017 0.560 0.884 0.964 0.983 0.984 0.999</t>
        </is>
      </c>
      <c r="B82" t="inlineStr"/>
      <c r="C82" t="inlineStr"/>
      <c r="D82" t="inlineStr"/>
    </row>
    <row r="83">
      <c r="A83" t="inlineStr">
        <is>
          <t>2013 0.017 0.397 0.877 0.958 0.978 0.980 0.999</t>
        </is>
      </c>
      <c r="B83" t="inlineStr"/>
      <c r="C83" t="inlineStr"/>
      <c r="D83" t="inlineStr"/>
    </row>
    <row r="84">
      <c r="A84" t="inlineStr">
        <is>
          <t>2014 0.009 0.548 0.911 0.965 0.981 0.982 0.999</t>
        </is>
      </c>
      <c r="B84" t="inlineStr"/>
      <c r="C84" t="inlineStr"/>
      <c r="D84" t="inlineStr"/>
    </row>
    <row r="85">
      <c r="A85" t="inlineStr">
        <is>
          <t>2015 0.057 0.818 0.951 0.983 0.993 0.994 1.000</t>
        </is>
      </c>
      <c r="B85" t="inlineStr"/>
      <c r="C85" t="inlineStr"/>
      <c r="D85" t="inlineStr"/>
    </row>
    <row r="86">
      <c r="A86" t="inlineStr">
        <is>
          <t>2016 0.019 0.503 0.903 0.966 0.983 0.984 0.999</t>
        </is>
      </c>
      <c r="B86" t="inlineStr"/>
      <c r="C86" t="inlineStr"/>
      <c r="D86" t="inlineStr"/>
    </row>
    <row r="87">
      <c r="A87" t="inlineStr">
        <is>
          <t>2017 0.014 0.432 0.877 0.958 0.978 0.979 0.999</t>
        </is>
      </c>
      <c r="B87" t="inlineStr"/>
      <c r="C87" t="inlineStr"/>
      <c r="D87" t="inlineStr"/>
    </row>
    <row r="88">
      <c r="A88" t="inlineStr">
        <is>
          <t>2018 0.013 0.488 0.850 0.955 0.977 0.978 0.998</t>
        </is>
      </c>
      <c r="B88" t="inlineStr"/>
      <c r="C88" t="inlineStr"/>
      <c r="D88" t="inlineStr"/>
    </row>
    <row r="89">
      <c r="A89" t="inlineStr">
        <is>
          <t>2019 0.009 0.331 0.829 0.936 0.967 0.969 0.998</t>
        </is>
      </c>
      <c r="B89" t="inlineStr"/>
      <c r="C89" t="inlineStr"/>
      <c r="D89" t="inlineStr"/>
    </row>
    <row r="90">
      <c r="A90" t="inlineStr">
        <is>
          <t>2020 0.006 0.272 0.742 0.913 0.954 0.957 0.997</t>
        </is>
      </c>
      <c r="B90" t="inlineStr"/>
      <c r="C90" t="inlineStr"/>
      <c r="D90" t="inlineStr"/>
    </row>
    <row r="91">
      <c r="A91" t="inlineStr">
        <is>
          <t>2021 0.025 0.596 0.912 0.972 0.986 0.987 0.999</t>
        </is>
      </c>
      <c r="B91" t="inlineStr"/>
      <c r="C91" t="inlineStr"/>
      <c r="D91" t="inlineStr"/>
    </row>
    <row r="92">
      <c r="A92" t="inlineStr">
        <is>
          <t>2022 0.027 0.579 0.912 0.970 0.986 0.987 0.999</t>
        </is>
      </c>
      <c r="B92" t="inlineStr"/>
      <c r="C92" t="inlineStr"/>
      <c r="D92" t="inlineStr"/>
    </row>
    <row r="93">
      <c r="A93" t="inlineStr">
        <is>
          <t>2023 0.015 0.556 0.883 0.961 0.981 0.982 0.999</t>
        </is>
      </c>
      <c r="B93" t="inlineStr"/>
      <c r="C93" t="inlineStr"/>
      <c r="D93" t="inlineStr"/>
    </row>
    <row r="94">
      <c r="A94" t="inlineStr">
        <is>
          <t>ICES</t>
        </is>
      </c>
      <c r="B94" t="inlineStr">
        <is>
          <t>| WGNSSK</t>
        </is>
      </c>
      <c r="C94" t="inlineStr">
        <is>
          <t>2025</t>
        </is>
      </c>
      <c r="D94" t="inlineStr">
        <is>
          <t>| 129</t>
        </is>
      </c>
    </row>
    <row r="95">
      <c r="A95" t="inlineStr">
        <is>
          <t>Year/Age</t>
        </is>
      </c>
      <c r="B95" t="inlineStr">
        <is>
          <t>1 2 3 4 5 6 7+</t>
        </is>
      </c>
      <c r="C95" t="inlineStr"/>
      <c r="D95" t="inlineStr"/>
    </row>
    <row r="96">
      <c r="A96" t="inlineStr">
        <is>
          <t>2024 0.017 0.557 0.890 0.965 0.982 0.984 0.999</t>
        </is>
      </c>
      <c r="B96" t="inlineStr"/>
      <c r="C96" t="inlineStr"/>
      <c r="D96" t="inlineStr"/>
    </row>
    <row r="97">
      <c r="A97" t="inlineStr">
        <is>
          <t>2025 0.031 0.763 0.940 0.982 0.991 0.992 0.999</t>
        </is>
      </c>
      <c r="B97" t="inlineStr"/>
      <c r="C97" t="inlineStr"/>
      <c r="D97" t="inlineStr"/>
    </row>
    <row r="98">
      <c r="A98" t="inlineStr">
        <is>
          <t>Viking</t>
        </is>
      </c>
      <c r="B98" t="inlineStr"/>
      <c r="C98" t="inlineStr"/>
      <c r="D98" t="inlineStr"/>
    </row>
    <row r="99">
      <c r="A99" t="inlineStr">
        <is>
          <t>Year/Age</t>
        </is>
      </c>
      <c r="B99" t="inlineStr">
        <is>
          <t>1 2 3 4 5 6 7+</t>
        </is>
      </c>
      <c r="C99" t="inlineStr"/>
      <c r="D99" t="inlineStr"/>
    </row>
    <row r="100">
      <c r="A100" t="inlineStr">
        <is>
          <t>1983 0.003 0.025 0.066 0.230 0.560 0.848 0.917</t>
        </is>
      </c>
      <c r="B100" t="inlineStr"/>
      <c r="C100" t="inlineStr"/>
      <c r="D100" t="inlineStr"/>
    </row>
    <row r="101">
      <c r="A101" t="inlineStr">
        <is>
          <t>1984 0.005 0.033 0.204 0.440 0.701 0.916 0.954</t>
        </is>
      </c>
      <c r="B101" t="inlineStr"/>
      <c r="C101" t="inlineStr"/>
      <c r="D101" t="inlineStr"/>
    </row>
    <row r="102">
      <c r="A102" t="inlineStr">
        <is>
          <t>1985 0.003 0.012 0.102 0.332 0.631 0.883 0.913</t>
        </is>
      </c>
      <c r="B102" t="inlineStr"/>
      <c r="C102" t="inlineStr"/>
      <c r="D102" t="inlineStr"/>
    </row>
    <row r="103">
      <c r="A103" t="inlineStr">
        <is>
          <t>1986 0.002 0.024 0.042 0.200 0.547 0.845 0.910</t>
        </is>
      </c>
      <c r="B103" t="inlineStr"/>
      <c r="C103" t="inlineStr"/>
      <c r="D103" t="inlineStr"/>
    </row>
    <row r="104">
      <c r="A104" t="inlineStr">
        <is>
          <t>1987 0.004 0.027 0.146 0.378 0.710 0.897 0.946</t>
        </is>
      </c>
      <c r="B104" t="inlineStr"/>
      <c r="C104" t="inlineStr"/>
      <c r="D104" t="inlineStr"/>
    </row>
    <row r="105">
      <c r="A105" t="inlineStr">
        <is>
          <t>1988 0.002 0.021 0.077 0.327 0.343 0.810 0.897</t>
        </is>
      </c>
      <c r="B105" t="inlineStr"/>
      <c r="C105" t="inlineStr"/>
      <c r="D105" t="inlineStr"/>
    </row>
    <row r="106">
      <c r="A106" t="inlineStr">
        <is>
          <t>1989 0.140 0.040 0.082 0.288 0.704 0.906 0.966</t>
        </is>
      </c>
      <c r="B106" t="inlineStr"/>
      <c r="C106" t="inlineStr"/>
      <c r="D106" t="inlineStr"/>
    </row>
    <row r="107">
      <c r="A107" t="inlineStr">
        <is>
          <t>1990 0.003 0.027 0.129 0.295 0.535 0.871 0.910</t>
        </is>
      </c>
      <c r="B107" t="inlineStr"/>
      <c r="C107" t="inlineStr"/>
      <c r="D107" t="inlineStr"/>
    </row>
    <row r="108">
      <c r="A108" t="inlineStr">
        <is>
          <t>1991 0.003 0.017 0.153 0.327 0.706 0.884 0.936</t>
        </is>
      </c>
      <c r="B108" t="inlineStr"/>
      <c r="C108" t="inlineStr"/>
      <c r="D108" t="inlineStr"/>
    </row>
    <row r="109">
      <c r="A109" t="inlineStr">
        <is>
          <t>1992 0.045 0.090 0.416 0.734 0.851 0.972 0.983</t>
        </is>
      </c>
      <c r="B109" t="inlineStr"/>
      <c r="C109" t="inlineStr"/>
      <c r="D109" t="inlineStr"/>
    </row>
    <row r="110">
      <c r="A110" t="inlineStr">
        <is>
          <t>1993 0.003 0.027 0.121 0.432 0.594 0.889 0.922</t>
        </is>
      </c>
      <c r="B110" t="inlineStr"/>
      <c r="C110" t="inlineStr"/>
      <c r="D110" t="inlineStr"/>
    </row>
    <row r="111">
      <c r="A111" t="inlineStr">
        <is>
          <t>1994 0.007 0.045 0.260 0.643 0.811 0.950 0.971</t>
        </is>
      </c>
      <c r="B111" t="inlineStr"/>
      <c r="C111" t="inlineStr"/>
      <c r="D111" t="inlineStr"/>
    </row>
    <row r="112">
      <c r="A112" t="inlineStr">
        <is>
          <t>1995 0.004 0.027 0.231 0.614 0.731 0.871 0.946</t>
        </is>
      </c>
      <c r="B112" t="inlineStr"/>
      <c r="C112" t="inlineStr"/>
      <c r="D112" t="inlineStr"/>
    </row>
    <row r="113">
      <c r="A113" t="inlineStr">
        <is>
          <t>1996 0.012 0.129 0.407 0.830 0.852 0.971 0.984</t>
        </is>
      </c>
      <c r="B113" t="inlineStr"/>
      <c r="C113" t="inlineStr"/>
      <c r="D113" t="inlineStr"/>
    </row>
    <row r="114">
      <c r="A114" t="inlineStr">
        <is>
          <t>1997 0.010 0.121 0.440 0.644 0.826 0.965 0.980</t>
        </is>
      </c>
      <c r="B114" t="inlineStr"/>
      <c r="C114" t="inlineStr"/>
      <c r="D114" t="inlineStr"/>
    </row>
    <row r="115">
      <c r="A115" t="inlineStr">
        <is>
          <t>1998 0.026 0.103 0.478 0.824 0.914 0.978 0.988</t>
        </is>
      </c>
      <c r="B115" t="inlineStr"/>
      <c r="C115" t="inlineStr"/>
      <c r="D115" t="inlineStr"/>
    </row>
    <row r="116">
      <c r="A116" t="inlineStr">
        <is>
          <t>1999 0.016 0.273 0.327 0.752 0.928 0.977 0.987</t>
        </is>
      </c>
      <c r="B116" t="inlineStr"/>
      <c r="C116" t="inlineStr"/>
      <c r="D116" t="inlineStr"/>
    </row>
    <row r="117">
      <c r="A117" t="inlineStr">
        <is>
          <t>2000 0.010 0.218 0.597 0.696 0.839 0.968 0.978</t>
        </is>
      </c>
      <c r="B117" t="inlineStr"/>
      <c r="C117" t="inlineStr"/>
      <c r="D117" t="inlineStr"/>
    </row>
    <row r="118">
      <c r="A118" t="inlineStr">
        <is>
          <t>2001 0.019 0.124 0.349 0.646 0.894 0.969 0.983</t>
        </is>
      </c>
      <c r="B118" t="inlineStr"/>
      <c r="C118" t="inlineStr"/>
      <c r="D118" t="inlineStr"/>
    </row>
    <row r="119">
      <c r="A119" t="inlineStr">
        <is>
          <t>2002 0.018 0.233 0.402 0.755 0.925 0.977 0.987</t>
        </is>
      </c>
      <c r="B119" t="inlineStr"/>
      <c r="C119" t="inlineStr"/>
      <c r="D119" t="inlineStr"/>
    </row>
    <row r="120">
      <c r="A120" t="inlineStr">
        <is>
          <t>2003 0.008 0.052 0.289 0.540 0.851 0.949 0.972</t>
        </is>
      </c>
      <c r="B120" t="inlineStr"/>
      <c r="C120" t="inlineStr"/>
      <c r="D120" t="inlineStr"/>
    </row>
    <row r="121">
      <c r="A121" t="inlineStr">
        <is>
          <t>2004 0.011 0.127 0.652 0.642 0.850 0.955 0.982</t>
        </is>
      </c>
      <c r="B121" t="inlineStr"/>
      <c r="C121" t="inlineStr"/>
      <c r="D121" t="inlineStr"/>
    </row>
    <row r="122">
      <c r="A122" t="inlineStr">
        <is>
          <t>2005 0.012 0.091 0.517 0.823 0.913 0.972 0.983</t>
        </is>
      </c>
      <c r="B122" t="inlineStr"/>
      <c r="C122" t="inlineStr"/>
      <c r="D122" t="inlineStr"/>
    </row>
    <row r="123">
      <c r="A123" t="inlineStr">
        <is>
          <t>2006 0.007 0.109 0.286 0.684 0.816 0.962 0.978</t>
        </is>
      </c>
      <c r="B123" t="inlineStr"/>
      <c r="C123" t="inlineStr"/>
      <c r="D123" t="inlineStr"/>
    </row>
    <row r="124">
      <c r="A124" t="inlineStr">
        <is>
          <t>2007 0.037 0.186 0.381 0.718 0.933 0.973 0.988</t>
        </is>
      </c>
      <c r="B124" t="inlineStr"/>
      <c r="C124" t="inlineStr"/>
      <c r="D124" t="inlineStr"/>
    </row>
    <row r="125">
      <c r="A125" t="inlineStr">
        <is>
          <t>130 | ICES SCIENTIFIC REPORTS 6:38 | ICES</t>
        </is>
      </c>
      <c r="B125" t="inlineStr"/>
      <c r="C125" t="inlineStr"/>
      <c r="D125" t="inlineStr"/>
    </row>
    <row r="126">
      <c r="A126" t="inlineStr">
        <is>
          <t>Year/Age</t>
        </is>
      </c>
      <c r="B126" t="inlineStr">
        <is>
          <t>1 2 3 4 5 6 7+</t>
        </is>
      </c>
      <c r="C126" t="inlineStr"/>
      <c r="D126" t="inlineStr"/>
    </row>
    <row r="127">
      <c r="A127" t="inlineStr">
        <is>
          <t>2008 0.017 0.280 0.527 0.720 0.909 0.978 0.988</t>
        </is>
      </c>
      <c r="B127" t="inlineStr"/>
      <c r="C127" t="inlineStr"/>
      <c r="D127" t="inlineStr"/>
    </row>
    <row r="128">
      <c r="A128" t="inlineStr">
        <is>
          <t>2009 0.015 0.086 0.414 0.752 0.883 0.965 0.983</t>
        </is>
      </c>
      <c r="B128" t="inlineStr"/>
      <c r="C128" t="inlineStr"/>
      <c r="D128" t="inlineStr"/>
    </row>
    <row r="129">
      <c r="A129" t="inlineStr">
        <is>
          <t>2010 0.011 0.082 0.428 0.677 0.908 0.954 0.981</t>
        </is>
      </c>
      <c r="B129" t="inlineStr"/>
      <c r="C129" t="inlineStr"/>
      <c r="D129" t="inlineStr"/>
    </row>
    <row r="130">
      <c r="A130" t="inlineStr">
        <is>
          <t>2011 0.014 0.077 0.471 0.716 0.884 0.968 0.982</t>
        </is>
      </c>
      <c r="B130" t="inlineStr"/>
      <c r="C130" t="inlineStr"/>
      <c r="D130" t="inlineStr"/>
    </row>
    <row r="131">
      <c r="A131" t="inlineStr">
        <is>
          <t>2012 0.008 0.072 0.210 0.649 0.856 0.954 0.974</t>
        </is>
      </c>
      <c r="B131" t="inlineStr"/>
      <c r="C131" t="inlineStr"/>
      <c r="D131" t="inlineStr"/>
    </row>
    <row r="132">
      <c r="A132" t="inlineStr">
        <is>
          <t>2013 0.008 0.069 0.261 0.693 0.816 0.961 0.976</t>
        </is>
      </c>
      <c r="B132" t="inlineStr"/>
      <c r="C132" t="inlineStr"/>
      <c r="D132" t="inlineStr"/>
    </row>
    <row r="133">
      <c r="A133" t="inlineStr">
        <is>
          <t>2014 0.010 0.055 0.300 0.709 0.847 0.960 0.976</t>
        </is>
      </c>
      <c r="B133" t="inlineStr"/>
      <c r="C133" t="inlineStr"/>
      <c r="D133" t="inlineStr"/>
    </row>
    <row r="134">
      <c r="A134" t="inlineStr">
        <is>
          <t>2015 0.009 0.120 0.285 0.700 0.833 0.957 0.978</t>
        </is>
      </c>
      <c r="B134" t="inlineStr"/>
      <c r="C134" t="inlineStr"/>
      <c r="D134" t="inlineStr"/>
    </row>
    <row r="135">
      <c r="A135" t="inlineStr">
        <is>
          <t>2016 0.006 0.068 0.173 0.580 0.766 0.931 0.969</t>
        </is>
      </c>
      <c r="B135" t="inlineStr"/>
      <c r="C135" t="inlineStr"/>
      <c r="D135" t="inlineStr"/>
    </row>
    <row r="136">
      <c r="A136" t="inlineStr">
        <is>
          <t>2017 0.008 0.062 0.394 0.697 0.796 0.958 0.973</t>
        </is>
      </c>
      <c r="B136" t="inlineStr"/>
      <c r="C136" t="inlineStr"/>
      <c r="D136" t="inlineStr"/>
    </row>
    <row r="137">
      <c r="A137" t="inlineStr">
        <is>
          <t>2018 0.010 0.060 0.275 0.689 0.894 0.961 0.977</t>
        </is>
      </c>
      <c r="B137" t="inlineStr"/>
      <c r="C137" t="inlineStr"/>
      <c r="D137" t="inlineStr"/>
    </row>
    <row r="138">
      <c r="A138" t="inlineStr">
        <is>
          <t>2019 0.015 0.213 0.427 0.757 0.908 0.975 0.984</t>
        </is>
      </c>
      <c r="B138" t="inlineStr"/>
      <c r="C138" t="inlineStr"/>
      <c r="D138" t="inlineStr"/>
    </row>
    <row r="139">
      <c r="A139" t="inlineStr">
        <is>
          <t>2020 0.009 0.077 0.459 0.791 0.874 0.967 0.982</t>
        </is>
      </c>
      <c r="B139" t="inlineStr"/>
      <c r="C139" t="inlineStr"/>
      <c r="D139" t="inlineStr"/>
    </row>
    <row r="140">
      <c r="A140" t="inlineStr">
        <is>
          <t>2021 0.006 0.065 0.241 0.453 0.794 0.939 0.968</t>
        </is>
      </c>
      <c r="B140" t="inlineStr"/>
      <c r="C140" t="inlineStr"/>
      <c r="D140" t="inlineStr"/>
    </row>
    <row r="141">
      <c r="A141" t="inlineStr">
        <is>
          <t>2022 0.006 0.043 0.175 0.532 0.835 0.937 0.966</t>
        </is>
      </c>
      <c r="B141" t="inlineStr"/>
      <c r="C141" t="inlineStr"/>
      <c r="D141" t="inlineStr"/>
    </row>
    <row r="142">
      <c r="A142" t="inlineStr">
        <is>
          <t>2023 0.006 0.059 0.233 0.485 0.773 0.939 0.965</t>
        </is>
      </c>
      <c r="B142" t="inlineStr"/>
      <c r="C142" t="inlineStr"/>
      <c r="D142" t="inlineStr"/>
    </row>
    <row r="143">
      <c r="A143" t="inlineStr">
        <is>
          <t>2024 0.006 0.052 0.232 0.461 0.719 0.926 0.962</t>
        </is>
      </c>
      <c r="B143" t="inlineStr"/>
      <c r="C143" t="inlineStr"/>
      <c r="D143" t="inlineStr"/>
    </row>
    <row r="144">
      <c r="A144" t="inlineStr">
        <is>
          <t>2025 0.008 0.098 0.334 0.562 0.784 0.938 0.974</t>
        </is>
      </c>
      <c r="B144" t="inlineStr"/>
      <c r="C144" t="inlineStr"/>
      <c r="D14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</row>
    <row r="2">
      <c r="A2" t="inlineStr">
        <is>
          <t>sumed to apply to all substocks.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Year/Age</t>
        </is>
      </c>
      <c r="B3" t="inlineStr">
        <is>
          <t>1 2 3 4 5 6 7+</t>
        </is>
      </c>
      <c r="C3" t="inlineStr"/>
      <c r="D3" t="inlineStr"/>
      <c r="E3" t="inlineStr"/>
      <c r="F3" t="inlineStr"/>
      <c r="G3" t="inlineStr"/>
    </row>
    <row r="4">
      <c r="A4" t="inlineStr">
        <is>
          <t>1983 1.112 0.770 0.277 0.210 0.2 0.2 0.2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1984 0.982 0.711 0.257 0.201 0.2 0.2 0.2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1985 1.090 0.731 0.265 0.201 0.2 0.2 0.2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1986 0.944 0.694 0.268 0.211 0.2 0.2 0.2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1987 0.989 0.696 0.268 0.212 0.2 0.2 0.2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1988 1.047 0.721 0.269 0.229 0.2 0.2 0.2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1989 0.953 0.753 0.286 0.215 0.2 0.2 0.2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1990 1.009 0.769 0.285 0.220 0.2 0.2 0.2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1991 1.006 0.771 0.290 0.201 0.2 0.2 0.2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ICES</t>
        </is>
      </c>
      <c r="B13" t="inlineStr">
        <is>
          <t>| WGNSSK</t>
        </is>
      </c>
      <c r="C13" t="inlineStr">
        <is>
          <t>2025</t>
        </is>
      </c>
      <c r="D13" t="inlineStr">
        <is>
          <t>| 131</t>
        </is>
      </c>
      <c r="E13" t="inlineStr"/>
      <c r="F13" t="inlineStr"/>
      <c r="G13" t="inlineStr"/>
    </row>
    <row r="14">
      <c r="A14" t="inlineStr">
        <is>
          <t>Year/Age</t>
        </is>
      </c>
      <c r="B14" t="inlineStr">
        <is>
          <t>1 2 3 4 5 6 7+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1992 0.916 0.742 0.254 0.200 0.2 0.2 0.2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1993 0.990 0.729 0.249 0.200 0.2 0.2 0.2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1994 0.985 0.726 0.269 0.200 0.2 0.2 0.2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1995 0.980 0.733 0.277 0.200 0.2 0.2 0.2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1996 1.074 0.764 0.280 0.200 0.2 0.2 0.2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1997 0.965 0.721 0.263 0.211 0.2 0.2 0.2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1998 1.083 0.757 0.296 0.218 0.2 0.2 0.2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1999 1.049 0.829 0.311 0.225 0.2 0.2 0.2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2000 0.899 0.775 0.296 0.236 0.2 0.2 0.2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2001 0.942 0.759 0.322 0.227 0.2 0.2 0.2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2002 1.029 0.857 0.390 0.233 0.2 0.2 0.2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2003 1.115 0.961 0.450 0.258 0.2 0.2 0.2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2004 1.205 1.033 0.484 0.312 0.2 0.2 0.2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2005 1.273 1.085 0.508 0.272 0.2 0.2 0.2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2006 1.251 1.069 0.469 0.262 0.2 0.2 0.2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2007 1.303 1.070 0.466 0.200 0.2 0.2 0.2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2008 1.356 1.121 0.489 0.260 0.2 0.2 0.2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2009 1.291 1.117 0.468 0.201 0.2 0.2 0.2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2010 1.178 0.981 0.437 0.200 0.2 0.2 0.2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2011 1.283 1.054 0.386 0.201 0.2 0.2 0.2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2012 1.350 1.120 0.541 0.201 0.2 0.2 0.2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2013 1.350 1.116 0.502 0.204 0.2 0.2 0.2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2014 1.252 1.046 0.472 0.204 0.202 0.2 0.2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2015 1.289 1.070 0.510 0.207 0.205 0.202 0.2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2016 1.299 1.069 0.474 0.285 0.2 0.2 0.2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2017 1.201 0.988 0.406 0.241 0.204 0.2 0.2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2018 1.350 1.088 0.479 0.260 0.2 0.2 0.2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2019 1.266 1.030 0.454 0.272 0.2 0.2 0.2</t>
        </is>
      </c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2020 1.143 0.926 0.431 0.247 0.2 0.2 0.2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132 | ICES SCIENTIFIC REPORTS 6:38 | ICES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Year/Age</t>
        </is>
      </c>
      <c r="B45" t="inlineStr">
        <is>
          <t>1 2 3 4 5 6 7+</t>
        </is>
      </c>
      <c r="C45" t="inlineStr"/>
      <c r="D45" t="inlineStr"/>
      <c r="E45" t="inlineStr"/>
      <c r="F45" t="inlineStr"/>
      <c r="G45" t="inlineStr"/>
    </row>
    <row r="46">
      <c r="A46" t="inlineStr">
        <is>
          <t>2021 1.223 0.956 0.481 0.205 0.2 0.2 0.2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2022 1.354 1.050 0.546 0.277 0.2 0.2 0.2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2023* #N/A</t>
        </is>
      </c>
      <c r="B48" t="e">
        <v>#N/A</v>
      </c>
      <c r="C48" t="e">
        <v>#N/A</v>
      </c>
      <c r="D48" t="e">
        <v>#N/A</v>
      </c>
      <c r="E48" t="e">
        <v>#N/A</v>
      </c>
      <c r="F48" t="e">
        <v>#N/A</v>
      </c>
      <c r="G48" t="e">
        <v>#N/A</v>
      </c>
    </row>
    <row r="49">
      <c r="A49" t="inlineStr">
        <is>
          <t>2024* #N/A</t>
        </is>
      </c>
      <c r="B49" t="e">
        <v>#N/A</v>
      </c>
      <c r="C49" t="e">
        <v>#N/A</v>
      </c>
      <c r="D49" t="e">
        <v>#N/A</v>
      </c>
      <c r="E49" t="e">
        <v>#N/A</v>
      </c>
      <c r="F49" t="e">
        <v>#N/A</v>
      </c>
      <c r="G49" t="e">
        <v>#N/A</v>
      </c>
    </row>
    <row r="50">
      <c r="A50" t="inlineStr">
        <is>
          <t>2025* #N/A</t>
        </is>
      </c>
      <c r="B50" t="e">
        <v>#N/A</v>
      </c>
      <c r="C50" t="e">
        <v>#N/A</v>
      </c>
      <c r="D50" t="e">
        <v>#N/A</v>
      </c>
      <c r="E50" t="e">
        <v>#N/A</v>
      </c>
      <c r="F50" t="e">
        <v>#N/A</v>
      </c>
      <c r="G50" t="e">
        <v>#N/A</v>
      </c>
    </row>
    <row r="51">
      <c r="A51" t="inlineStr">
        <is>
          <t>*A new SMS run was performed</t>
        </is>
      </c>
      <c r="B51" t="inlineStr">
        <is>
          <t>for cod</t>
        </is>
      </c>
      <c r="C51" t="inlineStr">
        <is>
          <t>in 202 4 with data up to 20 22. Natural mortality is modelled as a GMRF pro-</t>
        </is>
      </c>
      <c r="D51" t="inlineStr"/>
      <c r="E51" t="inlineStr"/>
      <c r="F51" t="inlineStr"/>
      <c r="G51" t="inlineStr"/>
    </row>
    <row r="52">
      <c r="A52" t="inlineStr">
        <is>
          <t>cess in multistock SAM, allowing for estimation of missing values in 202 3–2025 .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ICES</t>
        </is>
      </c>
      <c r="B53" t="inlineStr">
        <is>
          <t>| WGNSSK</t>
        </is>
      </c>
      <c r="C53" t="inlineStr">
        <is>
          <t>2025</t>
        </is>
      </c>
      <c r="D53" t="inlineStr">
        <is>
          <t>| 133</t>
        </is>
      </c>
      <c r="E53" t="inlineStr"/>
      <c r="F53" t="inlineStr"/>
      <c r="G5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</row>
    <row r="2">
      <c r="A2" t="inlineStr">
        <is>
          <t>Northwest ern</t>
        </is>
      </c>
      <c r="B2" t="inlineStr"/>
      <c r="C2" t="inlineStr"/>
      <c r="D2" t="inlineStr"/>
    </row>
    <row r="3">
      <c r="A3" t="inlineStr">
        <is>
          <t>Year/Age</t>
        </is>
      </c>
      <c r="B3" t="inlineStr">
        <is>
          <t>1 2 3 4 5 6 7+ 1 2 3 4 5 6 7+</t>
        </is>
      </c>
      <c r="C3" t="inlineStr"/>
      <c r="D3" t="inlineStr"/>
    </row>
    <row r="4">
      <c r="A4" t="inlineStr">
        <is>
          <t>1983 482.283 6722.989 878.629 529.545 204.260 174.736 35.646 0.258 0.477 0.349 0.320 0.325 0.328 0.278</t>
        </is>
      </c>
      <c r="B4" t="inlineStr"/>
      <c r="C4" t="inlineStr"/>
      <c r="D4" t="inlineStr"/>
    </row>
    <row r="5">
      <c r="A5" t="inlineStr">
        <is>
          <t>1984 1555.500 2323.544 1124.848 216.737 171.233 87.155 45.647 0.603 0.313 0.346 0.332 0.307 0.346 0.389</t>
        </is>
      </c>
      <c r="B5" t="inlineStr"/>
      <c r="C5" t="inlineStr"/>
      <c r="D5" t="inlineStr"/>
    </row>
    <row r="6">
      <c r="A6" t="inlineStr">
        <is>
          <t>1985 90.976 5593.020 748.864 737.072 92.941 88.147 9.922 0.274 0.161 0.159 0.206 0.191 0.198 0.229</t>
        </is>
      </c>
      <c r="B6" t="inlineStr"/>
      <c r="C6" t="inlineStr"/>
      <c r="D6" t="inlineStr"/>
    </row>
    <row r="7">
      <c r="A7" t="inlineStr">
        <is>
          <t>1986 1779.969 1203.986 1916.734 377.815 195.481 62.129 34.516 0.188 0.176 0.159 0.153 0.172 0.169 0.205</t>
        </is>
      </c>
      <c r="B7" t="inlineStr"/>
      <c r="C7" t="inlineStr"/>
      <c r="D7" t="inlineStr"/>
    </row>
    <row r="8">
      <c r="A8" t="inlineStr">
        <is>
          <t>1987 825.336 5505.848 633.156 528.356 91.217 66.677 22.194 0.241 0.149 0.222 0.224 0.174 0.180 0.187</t>
        </is>
      </c>
      <c r="B8" t="inlineStr"/>
      <c r="C8" t="inlineStr"/>
      <c r="D8" t="inlineStr"/>
    </row>
    <row r="9">
      <c r="A9" t="inlineStr">
        <is>
          <t>1988 105.233 3044.181 1627.989 212.795 128.122 52.348 27.706 0.197 0.249 0.153 0.213 0.161 0.180 0.190</t>
        </is>
      </c>
      <c r="B9" t="inlineStr"/>
      <c r="C9" t="inlineStr"/>
      <c r="D9" t="inlineStr"/>
    </row>
    <row r="10">
      <c r="A10" t="inlineStr">
        <is>
          <t>1989 2548.518 1160.417 1641.775 452.992 60.770 74.524 29.256 0.169 0.157 0.184 0.169 0.177 0.178 0.224</t>
        </is>
      </c>
      <c r="B10" t="inlineStr"/>
      <c r="C10" t="inlineStr"/>
      <c r="D10" t="inlineStr"/>
    </row>
    <row r="11">
      <c r="A11" t="inlineStr">
        <is>
          <t>1990 360.423 5139.126 356.594 311.087 135.956 25.665 34.306 0.207 0.171 0.167 0.246 0.208 0.200 0.191</t>
        </is>
      </c>
      <c r="B11" t="inlineStr"/>
      <c r="C11" t="inlineStr"/>
      <c r="D11" t="inlineStr"/>
    </row>
    <row r="12">
      <c r="A12" t="inlineStr">
        <is>
          <t>1991 258.090 988.368 1222.098 164.319 126.529 51.005 18.482 0.247 0.168 0.178 0.215 0.271 0.233 0.209</t>
        </is>
      </c>
      <c r="B12" t="inlineStr"/>
      <c r="C12" t="inlineStr"/>
      <c r="D12" t="inlineStr"/>
    </row>
    <row r="13">
      <c r="A13" t="inlineStr">
        <is>
          <t>1992 1452.986 1573.250 392.388 311.999 51.462 31.720 23.337 0.162 0.191 0.182 0.235 0.244 0.273 0.238</t>
        </is>
      </c>
      <c r="B13" t="inlineStr"/>
      <c r="C13" t="inlineStr"/>
      <c r="D13" t="inlineStr"/>
    </row>
    <row r="14">
      <c r="A14" t="inlineStr">
        <is>
          <t>1993 778.531 5744.552 770.813 131.809 58.664 21.565 7.530 0.199 0.175 0.186 0.194 0.189 0.240 0.276</t>
        </is>
      </c>
      <c r="B14" t="inlineStr"/>
      <c r="C14" t="inlineStr"/>
      <c r="D14" t="inlineStr"/>
    </row>
    <row r="15">
      <c r="A15" t="inlineStr">
        <is>
          <t>1994 1121.356 1563.859 1249.825 283.528 60.069 27.737 15.294 0.171 0.178 0.198 0.200 0.173 0.176 0.219</t>
        </is>
      </c>
      <c r="B15" t="inlineStr"/>
      <c r="C15" t="inlineStr"/>
      <c r="D15" t="inlineStr"/>
    </row>
    <row r="16">
      <c r="A16" t="inlineStr">
        <is>
          <t>1995 849.207 4243.619 1532.448 525.213 103.909 15.431 6.308 0.194 0.168 0.221 0.269 0.239 0.233 0.617</t>
        </is>
      </c>
      <c r="B16" t="inlineStr"/>
      <c r="C16" t="inlineStr"/>
      <c r="D16" t="inlineStr"/>
    </row>
    <row r="17">
      <c r="A17" t="inlineStr">
        <is>
          <t>1996 287.504 2314.765 1180.431 174.244 102.659 20.744 7.007 0.208 0.184 0.192 0.224 0.200 0.213 0.288</t>
        </is>
      </c>
      <c r="B17" t="inlineStr"/>
      <c r="C17" t="inlineStr"/>
      <c r="D17" t="inlineStr"/>
    </row>
    <row r="18">
      <c r="A18" t="inlineStr">
        <is>
          <t>1997 3762.598 1238.214 654.337 296.476 88.632 51.886 12.372 0.169 0.179 0.212 0.223 0.249 0.263 0.241</t>
        </is>
      </c>
      <c r="B18" t="inlineStr"/>
      <c r="C18" t="inlineStr"/>
      <c r="D18" t="inlineStr"/>
    </row>
    <row r="19">
      <c r="A19" t="inlineStr">
        <is>
          <t>1998 110.688 4153.664 408.121 168.244 78.478 17.415 14.031 0.180 0.150 0.170 0.217 0.196 0.202 0.259</t>
        </is>
      </c>
      <c r="B19" t="inlineStr"/>
      <c r="C19" t="inlineStr"/>
      <c r="D19" t="inlineStr"/>
    </row>
    <row r="20">
      <c r="A20" t="inlineStr">
        <is>
          <t>134 | ICES</t>
        </is>
      </c>
      <c r="B20" t="inlineStr">
        <is>
          <t>SCIENTIFIC REPORTS</t>
        </is>
      </c>
      <c r="C20" t="inlineStr">
        <is>
          <t>6:38 | ICES</t>
        </is>
      </c>
      <c r="D20" t="inlineStr"/>
    </row>
    <row r="21">
      <c r="A21" t="inlineStr">
        <is>
          <t>Year/Age</t>
        </is>
      </c>
      <c r="B21" t="inlineStr">
        <is>
          <t>1 2 3 4 5 6 7+ 1 2 3 4 5 6 7+</t>
        </is>
      </c>
      <c r="C21" t="inlineStr"/>
      <c r="D21" t="inlineStr"/>
    </row>
    <row r="22">
      <c r="A22" t="inlineStr">
        <is>
          <t>1999 139.391 475.332 1500.881 105.525 65.372 16.380 18.485 0.238 0.205 0.142 0.191 0.209 0.243 0.247</t>
        </is>
      </c>
      <c r="B22" t="inlineStr"/>
      <c r="C22" t="inlineStr"/>
      <c r="D22" t="inlineStr"/>
    </row>
    <row r="23">
      <c r="A23" t="inlineStr">
        <is>
          <t>2000 902.616 758.664 318.351 290.792 34.811 22.608 14.322 0.198 0.169 0.252 0.180 0.195 0.252 0.273</t>
        </is>
      </c>
      <c r="B23" t="inlineStr"/>
      <c r="C23" t="inlineStr"/>
      <c r="D23" t="inlineStr"/>
    </row>
    <row r="24">
      <c r="A24" t="inlineStr">
        <is>
          <t>2001 203.562 1765.712 321.424 113.074 101.096 14.810 11.621 0.499 0.163 0.179 0.321 0.298 0.340 0.431</t>
        </is>
      </c>
      <c r="B24" t="inlineStr"/>
      <c r="C24" t="inlineStr"/>
      <c r="D24" t="inlineStr"/>
    </row>
    <row r="25">
      <c r="A25" t="inlineStr">
        <is>
          <t>2002 498.757 594.766 970.468 109.739 22.754 18.207 2.279 0.222 0.187 0.187 0.212 0.288 0.351 0.340</t>
        </is>
      </c>
      <c r="B25" t="inlineStr"/>
      <c r="C25" t="inlineStr"/>
      <c r="D25" t="inlineStr"/>
    </row>
    <row r="26">
      <c r="A26" t="inlineStr">
        <is>
          <t>2003 114.967 1204.768 204.375 212.435 59.658 13.863 13.505 0.355 0.196 0.139 0.180 0.215 0.247 0.261</t>
        </is>
      </c>
      <c r="B26" t="inlineStr"/>
      <c r="C26" t="inlineStr"/>
      <c r="D26" t="inlineStr"/>
    </row>
    <row r="27">
      <c r="A27" t="inlineStr">
        <is>
          <t>2004 506.267 437.598 293.611 93.692 76.211 9.745 2.652 0.223 0.194 0.205 0.296 0.273 0.249 0.417</t>
        </is>
      </c>
      <c r="B27" t="inlineStr"/>
      <c r="C27" t="inlineStr"/>
      <c r="D27" t="inlineStr"/>
    </row>
    <row r="28">
      <c r="A28" t="inlineStr">
        <is>
          <t>2005 132.767 558.242 177.511 84.595 17.436 23.453 3.880 0.287 0.178 0.195 0.292 0.304 0.307 0.358</t>
        </is>
      </c>
      <c r="B28" t="inlineStr"/>
      <c r="C28" t="inlineStr"/>
      <c r="D28" t="inlineStr"/>
    </row>
    <row r="29">
      <c r="A29" t="inlineStr">
        <is>
          <t>2006 901.681 287.595 226.987 79.775 22.009 11.988 15.374 0.185 0.233 0.212 0.310 0.301 0.318 0.329</t>
        </is>
      </c>
      <c r="B29" t="inlineStr"/>
      <c r="C29" t="inlineStr"/>
      <c r="D29" t="inlineStr"/>
    </row>
    <row r="30">
      <c r="A30" t="inlineStr">
        <is>
          <t>2007 224.385 1684.591 279.870 105.919 18.525 10.882 5.836 0.221 0.182 0.174 0.245 0.276 0.279 0.374</t>
        </is>
      </c>
      <c r="B30" t="inlineStr"/>
      <c r="C30" t="inlineStr"/>
      <c r="D30" t="inlineStr"/>
    </row>
    <row r="31">
      <c r="A31" t="inlineStr">
        <is>
          <t>2008 187.072 407.169 959.593 96.675 36.091 6.680 2.455 0.256 0.232 0.215 0.231 0.239 0.248 0.307</t>
        </is>
      </c>
      <c r="B31" t="inlineStr"/>
      <c r="C31" t="inlineStr"/>
      <c r="D31" t="inlineStr"/>
    </row>
    <row r="32">
      <c r="A32" t="inlineStr">
        <is>
          <t>2009 247.326 573.062 239.273 162.584 18.437 9.829 6.085 0.293 0.198 0.232 0.275 0.262 0.249 0.357</t>
        </is>
      </c>
      <c r="B32" t="inlineStr"/>
      <c r="C32" t="inlineStr"/>
      <c r="D32" t="inlineStr"/>
    </row>
    <row r="33">
      <c r="A33" t="inlineStr">
        <is>
          <t>2010 771.274 1197.731 324.650 57.855 49.238 12.256 2.530 0.217 0.200 0.200 0.260 0.226 0.243 0.330</t>
        </is>
      </c>
      <c r="B33" t="inlineStr"/>
      <c r="C33" t="inlineStr"/>
      <c r="D33" t="inlineStr"/>
    </row>
    <row r="34">
      <c r="A34" t="inlineStr">
        <is>
          <t>2011 120.288 1832.464 659.803 129.712 69.768 42.191 8.204 0.218 0.166 0.185 0.202 0.210 0.239 0.269</t>
        </is>
      </c>
      <c r="B34" t="inlineStr"/>
      <c r="C34" t="inlineStr"/>
      <c r="D34" t="inlineStr"/>
    </row>
    <row r="35">
      <c r="A35" t="inlineStr">
        <is>
          <t>2012 359.398 747.006 1471.675 356.821 105.260 29.513 31.010 0.226 0.159 0.181 0.194 0.221 0.256 0.395</t>
        </is>
      </c>
      <c r="B35" t="inlineStr"/>
      <c r="C35" t="inlineStr"/>
      <c r="D35" t="inlineStr"/>
    </row>
    <row r="36">
      <c r="A36" t="inlineStr">
        <is>
          <t>2013 679.850 794.418 509.717 588.757 198.745 22.287 9.364 0.216 0.186 0.190 0.222 0.190 0.175 0.253</t>
        </is>
      </c>
      <c r="B36" t="inlineStr"/>
      <c r="C36" t="inlineStr"/>
      <c r="D36" t="inlineStr"/>
    </row>
    <row r="37">
      <c r="A37" t="inlineStr">
        <is>
          <t>2014 592.240 1061.973 487.174 207.527 175.909 37.489 10.135 0.207 0.204 0.221 0.233 0.213 0.238 0.327</t>
        </is>
      </c>
      <c r="B37" t="inlineStr"/>
      <c r="C37" t="inlineStr"/>
      <c r="D37" t="inlineStr"/>
    </row>
    <row r="38">
      <c r="A38" t="inlineStr">
        <is>
          <t>2015 580.146 1691.959 1097.225 407.141 181.265 112.592 20.176 0.186 0.166 0.193 0.216 0.245 0.266 0.314</t>
        </is>
      </c>
      <c r="B38" t="inlineStr"/>
      <c r="C38" t="inlineStr"/>
      <c r="D38" t="inlineStr"/>
    </row>
    <row r="39">
      <c r="A39" t="inlineStr">
        <is>
          <t>2016 401.991 1109.641 1481.266 680.109 124.663 40.705 30.870 0.249 0.219 0.196 0.214 0.188 0.199 0.232</t>
        </is>
      </c>
      <c r="B39" t="inlineStr"/>
      <c r="C39" t="inlineStr"/>
      <c r="D39" t="inlineStr"/>
    </row>
    <row r="40">
      <c r="A40" t="inlineStr">
        <is>
          <t>ICES</t>
        </is>
      </c>
      <c r="B40" t="inlineStr">
        <is>
          <t>| WGNSSK</t>
        </is>
      </c>
      <c r="C40" t="inlineStr">
        <is>
          <t>2025</t>
        </is>
      </c>
      <c r="D40" t="inlineStr">
        <is>
          <t>| 135</t>
        </is>
      </c>
    </row>
    <row r="41">
      <c r="A41" t="inlineStr">
        <is>
          <t>Year/Age</t>
        </is>
      </c>
      <c r="B41" t="inlineStr">
        <is>
          <t>1 2 3 4 5 6 7+ 1 2 3 4 5 6 7+</t>
        </is>
      </c>
      <c r="C41" t="inlineStr"/>
      <c r="D41" t="inlineStr"/>
    </row>
    <row r="42">
      <c r="A42" t="inlineStr">
        <is>
          <t>2017 2301.245 710.491 1268.077 1182.897 897.910 116.166 77.265 0.171 0.175 0.195 0.198 0.229 0.264 0.330</t>
        </is>
      </c>
      <c r="B42" t="inlineStr"/>
      <c r="C42" t="inlineStr"/>
      <c r="D42" t="inlineStr"/>
    </row>
    <row r="43">
      <c r="A43" t="inlineStr">
        <is>
          <t>2018 169.953 1750.821 402.718 416.822 188.379 105.488 43.840 0.249 0.177 0.184 0.212 0.196 0.210 0.213</t>
        </is>
      </c>
      <c r="B43" t="inlineStr"/>
      <c r="C43" t="inlineStr"/>
      <c r="D43" t="inlineStr"/>
    </row>
    <row r="44">
      <c r="A44" t="inlineStr">
        <is>
          <t>2019 557.502 319.514 601.304 81.467 65.643 23.921 10.027 0.237 0.192 0.184 0.221 0.241 0.256 0.309</t>
        </is>
      </c>
      <c r="B44" t="inlineStr"/>
      <c r="C44" t="inlineStr"/>
      <c r="D44" t="inlineStr"/>
    </row>
    <row r="45">
      <c r="A45" t="inlineStr">
        <is>
          <t>2020 635.817 957.405 226.046 223.033 32.171 13.430 11.283 0.212 0.201 0.188 0.207 0.230 0.298 0.367</t>
        </is>
      </c>
      <c r="B45" t="inlineStr"/>
      <c r="C45" t="inlineStr"/>
      <c r="D45" t="inlineStr"/>
    </row>
    <row r="46">
      <c r="A46" t="inlineStr">
        <is>
          <t>2021 502.775 971.030 691.874 147.608 75.272 35.360 23.189 0.208 0.162 0.180 0.202 0.203 0.225 0.269</t>
        </is>
      </c>
      <c r="B46" t="inlineStr"/>
      <c r="C46" t="inlineStr"/>
      <c r="D46" t="inlineStr"/>
    </row>
    <row r="47">
      <c r="A47" t="inlineStr">
        <is>
          <t>2022 260.838 995.717 814.402 271.901 72.461 52.880 18.992 0.434 0.368 0.326 0.416 0.494 0.494 0.734</t>
        </is>
      </c>
      <c r="B47" t="inlineStr"/>
      <c r="C47" t="inlineStr"/>
      <c r="D47" t="inlineStr"/>
    </row>
    <row r="48">
      <c r="A48" t="inlineStr">
        <is>
          <t>2023 234.876 1231.112 765.796 507.694 155.616 49.813 24.531 0.220 0.166 0.163 0.192 0.190 0.204 0.248</t>
        </is>
      </c>
      <c r="B48" t="inlineStr"/>
      <c r="C48" t="inlineStr"/>
      <c r="D48" t="inlineStr"/>
    </row>
    <row r="49">
      <c r="A49" t="inlineStr">
        <is>
          <t>2024 128.295 767.966 669.488 322.677 216.662 80.306 18.167 0.257 0.177 0.162 0.201 0.180 0.194 0.230</t>
        </is>
      </c>
      <c r="B49" t="inlineStr"/>
      <c r="C49" t="inlineStr"/>
      <c r="D49" t="inlineStr"/>
    </row>
    <row r="50">
      <c r="A50" t="inlineStr">
        <is>
          <t>2025 315.714 302.245 614.659 236.366 84.782 55.026 26.665 0.270 0.178 0.180 0.218 0.220 0.209 0.235</t>
        </is>
      </c>
      <c r="B50" t="inlineStr"/>
      <c r="C50" t="inlineStr"/>
      <c r="D50" t="inlineStr"/>
    </row>
    <row r="51">
      <c r="A51" t="inlineStr">
        <is>
          <t>Southern</t>
        </is>
      </c>
      <c r="B51" t="inlineStr"/>
      <c r="C51" t="inlineStr"/>
      <c r="D51" t="inlineStr"/>
    </row>
    <row r="52">
      <c r="A52" t="inlineStr">
        <is>
          <t>Year/Age</t>
        </is>
      </c>
      <c r="B52" t="inlineStr">
        <is>
          <t>1 2 3 4 5 6 7+ 1 2 3 4 5 6 7+</t>
        </is>
      </c>
      <c r="C52" t="inlineStr"/>
      <c r="D52" t="inlineStr"/>
    </row>
    <row r="53">
      <c r="A53" t="inlineStr">
        <is>
          <t>1983 2071.341 3747.109 271.154 216.204 90.522 146.542 53.771 0.160 0.161 0.146 0.150 0.142 0.167 0.179</t>
        </is>
      </c>
      <c r="B53" t="inlineStr"/>
      <c r="C53" t="inlineStr"/>
      <c r="D53" t="inlineStr"/>
    </row>
    <row r="54">
      <c r="A54" t="inlineStr">
        <is>
          <t>1984 8303.090 1128.333 450.731 83.234 111.041 64.356 48.490 0.161 0.157 0.161 0.152 0.149 0.178 0.208</t>
        </is>
      </c>
      <c r="B54" t="inlineStr"/>
      <c r="C54" t="inlineStr"/>
      <c r="D54" t="inlineStr"/>
    </row>
    <row r="55">
      <c r="A55" t="inlineStr">
        <is>
          <t>1985 280.850 4080.247 260.549 146.314 52.032 100.151 25.707 0.180 0.134 0.157 0.171 0.146 0.161 0.186</t>
        </is>
      </c>
      <c r="B55" t="inlineStr"/>
      <c r="C55" t="inlineStr"/>
      <c r="D55" t="inlineStr"/>
    </row>
    <row r="56">
      <c r="A56" t="inlineStr">
        <is>
          <t>1986 6993.418 539.529 448.662 171.839 77.416 54.584 24.281 0.129 0.139 0.146 0.159 0.151 0.169 0.190</t>
        </is>
      </c>
      <c r="B56" t="inlineStr"/>
      <c r="C56" t="inlineStr"/>
      <c r="D56" t="inlineStr"/>
    </row>
    <row r="57">
      <c r="A57" t="inlineStr">
        <is>
          <t>1987 4431.373 5111.988 120.032 233.092 38.312 73.518 38.324 0.164 0.166 0.142 0.165 0.141 0.162 0.175</t>
        </is>
      </c>
      <c r="B57" t="inlineStr"/>
      <c r="C57" t="inlineStr"/>
      <c r="D57" t="inlineStr"/>
    </row>
    <row r="58">
      <c r="A58" t="inlineStr">
        <is>
          <t>1988 1532.961 1337.348 1024.720 25.837 95.709 87.181 26.908 0.190 0.201 0.190 0.189 0.168 0.189 0.206</t>
        </is>
      </c>
      <c r="B58" t="inlineStr"/>
      <c r="C58" t="inlineStr"/>
      <c r="D58" t="inlineStr"/>
    </row>
    <row r="59">
      <c r="A59" t="inlineStr">
        <is>
          <t>1989 2696.951 1169.912 516.195 285.086 32.815 73.003 29.569 0.153 0.194 0.163 0.149 0.151 0.158 0.201</t>
        </is>
      </c>
      <c r="B59" t="inlineStr"/>
      <c r="C59" t="inlineStr"/>
      <c r="D59" t="inlineStr"/>
    </row>
    <row r="60">
      <c r="A60" t="inlineStr">
        <is>
          <t>136 | ICES</t>
        </is>
      </c>
      <c r="B60" t="inlineStr">
        <is>
          <t>SCIENTIFIC REPORTS</t>
        </is>
      </c>
      <c r="C60" t="inlineStr">
        <is>
          <t>6:38 | ICES</t>
        </is>
      </c>
      <c r="D60" t="inlineStr"/>
    </row>
    <row r="61">
      <c r="A61" t="inlineStr">
        <is>
          <t>Year/Age</t>
        </is>
      </c>
      <c r="B61" t="inlineStr">
        <is>
          <t>1 2 3 4 5 6 7+ 1 2 3 4 5 6 7+</t>
        </is>
      </c>
      <c r="C61" t="inlineStr"/>
      <c r="D61" t="inlineStr"/>
    </row>
    <row r="62">
      <c r="A62" t="inlineStr">
        <is>
          <t>1990 543.683 1358.948 347.536 147.444 174.014 41.921 48.504 0.201 0.194 0.188 0.179 0.160 0.175 0.190</t>
        </is>
      </c>
      <c r="B62" t="inlineStr"/>
      <c r="C62" t="inlineStr"/>
      <c r="D62" t="inlineStr"/>
    </row>
    <row r="63">
      <c r="A63" t="inlineStr">
        <is>
          <t>1991 1148.940 444.401 298.871 120.040 52.600 107.065 28.978 0.219 0.166 0.155 0.156 0.150 0.161 0.193</t>
        </is>
      </c>
      <c r="B63" t="inlineStr"/>
      <c r="C63" t="inlineStr"/>
      <c r="D63" t="inlineStr"/>
    </row>
    <row r="64">
      <c r="A64" t="inlineStr">
        <is>
          <t>1992 3175.805 842.646 139.864 115.674 52.203 26.451 36.078 0.157 0.176 0.174 0.178 0.178 0.190 0.194</t>
        </is>
      </c>
      <c r="B64" t="inlineStr"/>
      <c r="C64" t="inlineStr"/>
      <c r="D64" t="inlineStr"/>
    </row>
    <row r="65">
      <c r="A65" t="inlineStr">
        <is>
          <t>1993 1053.580 1203.022 131.540 68.685 69.478 28.859 13.475 0.193 0.164 0.164 0.171 0.167 0.207 0.243</t>
        </is>
      </c>
      <c r="B65" t="inlineStr"/>
      <c r="C65" t="inlineStr"/>
      <c r="D65" t="inlineStr"/>
    </row>
    <row r="66">
      <c r="A66" t="inlineStr">
        <is>
          <t>1994 2816.836 406.537 291.630 79.065 61.145 57.517 14.730 0.160 0.186 0.181 0.186 0.194 0.204 0.249</t>
        </is>
      </c>
      <c r="B66" t="inlineStr"/>
      <c r="C66" t="inlineStr"/>
      <c r="D66" t="inlineStr"/>
    </row>
    <row r="67">
      <c r="A67" t="inlineStr">
        <is>
          <t>1995 1384.063 1471.728 423.394 96.218 53.171 33.976 21.064 0.191 0.158 0.161 0.185 0.193 0.218 0.412</t>
        </is>
      </c>
      <c r="B67" t="inlineStr"/>
      <c r="C67" t="inlineStr"/>
      <c r="D67" t="inlineStr"/>
    </row>
    <row r="68">
      <c r="A68" t="inlineStr">
        <is>
          <t>1996 768.498 540.233 572.178 102.747 63.759 29.290 26.288 0.187 0.184 0.164 0.181 0.166 0.221 0.293</t>
        </is>
      </c>
      <c r="B68" t="inlineStr"/>
      <c r="C68" t="inlineStr"/>
      <c r="D68" t="inlineStr"/>
    </row>
    <row r="69">
      <c r="A69" t="inlineStr">
        <is>
          <t>1997 4655.222 812.921 249.349 141.816 39.320 41.129 16.661 0.127 0.167 0.179 0.176 0.190 0.201 0.241</t>
        </is>
      </c>
      <c r="B69" t="inlineStr"/>
      <c r="C69" t="inlineStr"/>
      <c r="D69" t="inlineStr"/>
    </row>
    <row r="70">
      <c r="A70" t="inlineStr">
        <is>
          <t>1998 120.541 2368.796 391.112 138.268 94.577 33.217 29.363 0.192 0.139 0.168 0.171 0.154 0.198 0.249</t>
        </is>
      </c>
      <c r="B70" t="inlineStr"/>
      <c r="C70" t="inlineStr"/>
      <c r="D70" t="inlineStr"/>
    </row>
    <row r="71">
      <c r="A71" t="inlineStr">
        <is>
          <t>1999 413.108 279.865 704.408 64.640 58.040 28.566 53.056 0.230 0.207 0.148 0.165 0.184 0.214 0.246</t>
        </is>
      </c>
      <c r="B71" t="inlineStr"/>
      <c r="C71" t="inlineStr"/>
      <c r="D71" t="inlineStr"/>
    </row>
    <row r="72">
      <c r="A72" t="inlineStr">
        <is>
          <t>2000 666.768 463.080 104.475 235.376 45.956 39.370 40.972 0.185 0.198 0.166 0.158 0.166 0.174 0.212</t>
        </is>
      </c>
      <c r="B72" t="inlineStr"/>
      <c r="C72" t="inlineStr"/>
      <c r="D72" t="inlineStr"/>
    </row>
    <row r="73">
      <c r="A73" t="inlineStr">
        <is>
          <t>2001 406.659 758.061 171.779 44.792 37.938 10.975 17.201 0.207 0.178 0.163 0.192 0.196 0.211 0.258</t>
        </is>
      </c>
      <c r="B73" t="inlineStr"/>
      <c r="C73" t="inlineStr"/>
      <c r="D73" t="inlineStr"/>
    </row>
    <row r="74">
      <c r="A74" t="inlineStr">
        <is>
          <t>2002 849.249 309.007 147.257 63.985 11.490 30.695 16.130 0.186 0.154 0.163 0.195 0.219 0.227 0.269</t>
        </is>
      </c>
      <c r="B74" t="inlineStr"/>
      <c r="C74" t="inlineStr"/>
      <c r="D74" t="inlineStr"/>
    </row>
    <row r="75">
      <c r="A75" t="inlineStr">
        <is>
          <t>2003 104.343 632.375 102.961 68.960 23.144 10.300 15.950 0.235 0.165 0.157 0.188 0.236 0.234 0.258</t>
        </is>
      </c>
      <c r="B75" t="inlineStr"/>
      <c r="C75" t="inlineStr"/>
      <c r="D75" t="inlineStr"/>
    </row>
    <row r="76">
      <c r="A76" t="inlineStr">
        <is>
          <t>2004 687.734 283.819 344.700 65.174 40.851 14.628 8.040 0.197 0.158 0.160 0.170 0.190 0.255 0.340</t>
        </is>
      </c>
      <c r="B76" t="inlineStr"/>
      <c r="C76" t="inlineStr"/>
      <c r="D76" t="inlineStr"/>
    </row>
    <row r="77">
      <c r="A77" t="inlineStr">
        <is>
          <t>2005 447.255 267.126 72.380 131.810 11.433 29.826 3.746 0.197 0.186 0.167 0.195 0.212 0.229 0.365</t>
        </is>
      </c>
      <c r="B77" t="inlineStr"/>
      <c r="C77" t="inlineStr"/>
      <c r="D77" t="inlineStr"/>
    </row>
    <row r="78">
      <c r="A78" t="inlineStr">
        <is>
          <t>2006 874.026 245.908 125.155 35.335 12.070 10.051 19.513 0.168 0.204 0.189 0.243 0.262 0.296 0.326</t>
        </is>
      </c>
      <c r="B78" t="inlineStr"/>
      <c r="C78" t="inlineStr"/>
      <c r="D78" t="inlineStr"/>
    </row>
    <row r="79">
      <c r="A79" t="inlineStr">
        <is>
          <t>2007 729.347 296.659 146.716 42.302 12.860 20.862 7.305 0.206 0.172 0.191 0.234 0.248 0.282 0.371</t>
        </is>
      </c>
      <c r="B79" t="inlineStr"/>
      <c r="C79" t="inlineStr"/>
      <c r="D79" t="inlineStr"/>
    </row>
    <row r="80">
      <c r="A80" t="inlineStr">
        <is>
          <t>ICES</t>
        </is>
      </c>
      <c r="B80" t="inlineStr">
        <is>
          <t>| WGNSSK</t>
        </is>
      </c>
      <c r="C80" t="inlineStr">
        <is>
          <t>2025</t>
        </is>
      </c>
      <c r="D80" t="inlineStr">
        <is>
          <t>| 137</t>
        </is>
      </c>
    </row>
    <row r="81">
      <c r="A81" t="inlineStr">
        <is>
          <t>Year/Age</t>
        </is>
      </c>
      <c r="B81" t="inlineStr">
        <is>
          <t>1 2 3 4 5 6 7+ 1 2 3 4 5 6 7+</t>
        </is>
      </c>
      <c r="C81" t="inlineStr"/>
      <c r="D81" t="inlineStr"/>
    </row>
    <row r="82">
      <c r="A82" t="inlineStr">
        <is>
          <t>2008 645.277 300.383 147.803 94.290 52.873 18.326 14.400 0.211 0.240 0.175 0.192 0.178 0.208 0.251</t>
        </is>
      </c>
      <c r="B82" t="inlineStr"/>
      <c r="C82" t="inlineStr"/>
      <c r="D82" t="inlineStr"/>
    </row>
    <row r="83">
      <c r="A83" t="inlineStr">
        <is>
          <t>2009 140.924 464.735 228.256 79.817 31.806 25.818 26.625 0.255 0.193 0.177 0.172 0.183 0.217 0.272</t>
        </is>
      </c>
      <c r="B83" t="inlineStr"/>
      <c r="C83" t="inlineStr"/>
      <c r="D83" t="inlineStr"/>
    </row>
    <row r="84">
      <c r="A84" t="inlineStr">
        <is>
          <t>2010 492.471 144.082 257.052 82.215 40.050 28.262 15.572 0.229 0.213 0.201 0.205 0.225 0.227 0.269</t>
        </is>
      </c>
      <c r="B84" t="inlineStr"/>
      <c r="C84" t="inlineStr"/>
      <c r="D84" t="inlineStr"/>
    </row>
    <row r="85">
      <c r="A85" t="inlineStr">
        <is>
          <t>2011 225.207 369.913 61.646 81.060 46.977 24.491 9.610 0.296 0.225 0.204 0.219 0.220 0.232 0.291</t>
        </is>
      </c>
      <c r="B85" t="inlineStr"/>
      <c r="C85" t="inlineStr"/>
      <c r="D85" t="inlineStr"/>
    </row>
    <row r="86">
      <c r="A86" t="inlineStr">
        <is>
          <t>2012 199.957 338.639 228.820 41.946 49.925 26.604 10.662 0.202 0.190 0.169 0.206 0.202 0.231 0.273</t>
        </is>
      </c>
      <c r="B86" t="inlineStr"/>
      <c r="C86" t="inlineStr"/>
      <c r="D86" t="inlineStr"/>
    </row>
    <row r="87">
      <c r="A87" t="inlineStr">
        <is>
          <t>2013 235.903 190.743 131.393 100.085 63.303 18.423 14.953 0.309 0.211 0.199 0.203 0.186 0.241 0.273</t>
        </is>
      </c>
      <c r="B87" t="inlineStr"/>
      <c r="C87" t="inlineStr"/>
      <c r="D87" t="inlineStr"/>
    </row>
    <row r="88">
      <c r="A88" t="inlineStr">
        <is>
          <t>2014 633.101 210.942 110.210 45.953 62.580 14.208 2.858 0.203 0.240 0.212 0.225 0.229 0.290 0.491</t>
        </is>
      </c>
      <c r="B88" t="inlineStr"/>
      <c r="C88" t="inlineStr"/>
      <c r="D88" t="inlineStr"/>
    </row>
    <row r="89">
      <c r="A89" t="inlineStr">
        <is>
          <t>2015 136.804 549.689 145.526 62.750 32.463 20.473 6.207 0.207 0.201 0.194 0.233 0.253 0.281 0.305</t>
        </is>
      </c>
      <c r="B89" t="inlineStr"/>
      <c r="C89" t="inlineStr"/>
      <c r="D89" t="inlineStr"/>
    </row>
    <row r="90">
      <c r="A90" t="inlineStr">
        <is>
          <t>2016 68.305 66.984 176.569 46.127 51.113 30.480 26.435 0.314 0.251 0.208 0.205 0.204 0.224 0.268</t>
        </is>
      </c>
      <c r="B90" t="inlineStr"/>
      <c r="C90" t="inlineStr"/>
      <c r="D90" t="inlineStr"/>
    </row>
    <row r="91">
      <c r="A91" t="inlineStr">
        <is>
          <t>2017 854.109 77.609 86.990 53.701 41.162 21.380 19.825 0.166 0.233 0.265 0.245 0.260 0.303 0.335</t>
        </is>
      </c>
      <c r="B91" t="inlineStr"/>
      <c r="C91" t="inlineStr"/>
      <c r="D91" t="inlineStr"/>
    </row>
    <row r="92">
      <c r="A92" t="inlineStr">
        <is>
          <t>2018 64.183 213.661 43.747 23.590 32.232 14.974 11.413 0.311 0.212 0.262 0.283 0.289 0.293 0.327</t>
        </is>
      </c>
      <c r="B92" t="inlineStr"/>
      <c r="C92" t="inlineStr"/>
      <c r="D92" t="inlineStr"/>
    </row>
    <row r="93">
      <c r="A93" t="inlineStr">
        <is>
          <t>2019 228.842 48.243 85.268 8.355 8.934 8.012 5.990 0.248 0.226 0.268 0.309 0.322 0.401 0.483</t>
        </is>
      </c>
      <c r="B93" t="inlineStr"/>
      <c r="C93" t="inlineStr"/>
      <c r="D93" t="inlineStr"/>
    </row>
    <row r="94">
      <c r="A94" t="inlineStr">
        <is>
          <t>2020 527.413 79.652 44.021 18.664 3.913 2.378 5.300 0.241 0.231 0.309 0.303 0.419 0.492 0.595</t>
        </is>
      </c>
      <c r="B94" t="inlineStr"/>
      <c r="C94" t="inlineStr"/>
      <c r="D94" t="inlineStr"/>
    </row>
    <row r="95">
      <c r="A95" t="inlineStr">
        <is>
          <t>2021 345.938 192.633 61.674 14.625 8.739 6.981 6.905 0.259 0.222 0.244 0.283 0.355 0.397 0.429</t>
        </is>
      </c>
      <c r="B95" t="inlineStr"/>
      <c r="C95" t="inlineStr"/>
      <c r="D95" t="inlineStr"/>
    </row>
    <row r="96">
      <c r="A96" t="inlineStr">
        <is>
          <t>2022 378.060 140.828 80.348 31.234 10.866 10.011 4.893 0.264 0.237 0.283 0.319 0.424 0.470 0.516</t>
        </is>
      </c>
      <c r="B96" t="inlineStr"/>
      <c r="C96" t="inlineStr"/>
      <c r="D96" t="inlineStr"/>
    </row>
    <row r="97">
      <c r="A97" t="inlineStr">
        <is>
          <t>2023 262.894 487.025 86.444 34.656 24.981 11.351 5.647 0.333 0.193 0.192 0.247 0.328 0.328 0.358</t>
        </is>
      </c>
      <c r="B97" t="inlineStr"/>
      <c r="C97" t="inlineStr"/>
      <c r="D97" t="inlineStr"/>
    </row>
    <row r="98">
      <c r="A98" t="inlineStr">
        <is>
          <t>2024 99.131 153.816 123.677 25.970 34.171 21.072 7.268 0.280 0.229 0.207 0.235 0.221 0.273 0.366</t>
        </is>
      </c>
      <c r="B98" t="inlineStr"/>
      <c r="C98" t="inlineStr"/>
      <c r="D98" t="inlineStr"/>
    </row>
    <row r="99">
      <c r="A99" t="inlineStr">
        <is>
          <t>2025 403.211 157.653 92.999 33.829 9.089 11.022 7.682 0.325 0.293 0.226 0.266 0.279 0.311 0.403</t>
        </is>
      </c>
      <c r="B99" t="inlineStr"/>
      <c r="C99" t="inlineStr"/>
      <c r="D99" t="inlineStr"/>
    </row>
    <row r="100">
      <c r="A100" t="inlineStr">
        <is>
          <t>138 | ICES</t>
        </is>
      </c>
      <c r="B100" t="inlineStr">
        <is>
          <t>SCIENTIFIC REPORTS</t>
        </is>
      </c>
      <c r="C100" t="inlineStr">
        <is>
          <t>6:38 | ICES</t>
        </is>
      </c>
      <c r="D100" t="inlineStr"/>
    </row>
    <row r="101">
      <c r="A101" t="inlineStr">
        <is>
          <t>Viking</t>
        </is>
      </c>
      <c r="B101" t="inlineStr"/>
      <c r="C101" t="inlineStr"/>
      <c r="D101" t="inlineStr"/>
    </row>
    <row r="102">
      <c r="A102" t="inlineStr">
        <is>
          <t>Year/Age</t>
        </is>
      </c>
      <c r="B102" t="inlineStr">
        <is>
          <t>1 2 3 4 5 6 7+ 1 2 3 4 5 6 7+</t>
        </is>
      </c>
      <c r="C102" t="inlineStr"/>
      <c r="D102" t="inlineStr"/>
    </row>
    <row r="103">
      <c r="A103" t="inlineStr">
        <is>
          <t>1983 1228.976 7266.398 1358.561 491.782 133.911 87.499 37.532 0.275 0.193 0.186 0.199 0.180 0.194 0.240</t>
        </is>
      </c>
      <c r="B103" t="inlineStr"/>
      <c r="C103" t="inlineStr"/>
      <c r="D103" t="inlineStr"/>
    </row>
    <row r="104">
      <c r="A104" t="inlineStr">
        <is>
          <t>1984 1451.060 2883.956 972.993 240.455 145.823 41.251 22.054 0.201 0.171 0.160 0.156 0.154 0.203 0.264</t>
        </is>
      </c>
      <c r="B104" t="inlineStr"/>
      <c r="C104" t="inlineStr"/>
      <c r="D104" t="inlineStr"/>
    </row>
    <row r="105">
      <c r="A105" t="inlineStr">
        <is>
          <t>1985 217.918 6841.935 1334.989 494.414 117.700 73.039 17.945 0.287 0.185 0.168 0.165 0.164 0.176 0.232</t>
        </is>
      </c>
      <c r="B105" t="inlineStr"/>
      <c r="C105" t="inlineStr"/>
      <c r="D105" t="inlineStr"/>
    </row>
    <row r="106">
      <c r="A106" t="inlineStr">
        <is>
          <t>1986 2294.472 1447.022 1805.341 719.450 241.033 101.117 45.376 0.250 0.191 0.149 0.148 0.149 0.160 0.173</t>
        </is>
      </c>
      <c r="B106" t="inlineStr"/>
      <c r="C106" t="inlineStr"/>
      <c r="D106" t="inlineStr"/>
    </row>
    <row r="107">
      <c r="A107" t="inlineStr">
        <is>
          <t>1987 500.307 6424.346 264.139 286.316 108.778 46.116 14.130 0.202 0.192 0.146 0.152 0.154 0.163 0.204</t>
        </is>
      </c>
      <c r="B107" t="inlineStr"/>
      <c r="C107" t="inlineStr"/>
      <c r="D107" t="inlineStr"/>
    </row>
    <row r="108">
      <c r="A108" t="inlineStr">
        <is>
          <t>1988 1678.249 1605.397 1207.352 117.107 136.012 56.869 41.051 0.302 0.161 0.161 0.170 0.156 0.171 0.195</t>
        </is>
      </c>
      <c r="B108" t="inlineStr"/>
      <c r="C108" t="inlineStr"/>
      <c r="D108" t="inlineStr"/>
    </row>
    <row r="109">
      <c r="A109" t="inlineStr">
        <is>
          <t>1989 2233.638 1768.513 1301.041 495.266 88.707 87.975 33.271 0.223 0.183 0.154 0.151 0.150 0.160 0.202</t>
        </is>
      </c>
      <c r="B109" t="inlineStr"/>
      <c r="C109" t="inlineStr"/>
      <c r="D109" t="inlineStr"/>
    </row>
    <row r="110">
      <c r="A110" t="inlineStr">
        <is>
          <t>1990 799.251 3317.980 497.483 195.976 117.655 20.973 41.602 0.239 0.163 0.158 0.182 0.166 0.184 0.206</t>
        </is>
      </c>
      <c r="B110" t="inlineStr"/>
      <c r="C110" t="inlineStr"/>
      <c r="D110" t="inlineStr"/>
    </row>
    <row r="111">
      <c r="A111" t="inlineStr">
        <is>
          <t>1991 1182.999 1368.613 795.675 214.023 76.902 50.422 29.705 0.306 0.187 0.154 0.171 0.165 0.176 0.197</t>
        </is>
      </c>
      <c r="B111" t="inlineStr"/>
      <c r="C111" t="inlineStr"/>
      <c r="D111" t="inlineStr"/>
    </row>
    <row r="112">
      <c r="A112" t="inlineStr">
        <is>
          <t>1992 2863.298 1321.222 325.524 207.950 51.457 20.471 36.183 0.255 0.178 0.176 0.181 0.176 0.220 0.226</t>
        </is>
      </c>
      <c r="B112" t="inlineStr"/>
      <c r="C112" t="inlineStr"/>
      <c r="D112" t="inlineStr"/>
    </row>
    <row r="113">
      <c r="A113" t="inlineStr">
        <is>
          <t>1993 1724.915 5655.621 497.144 160.717 112.811 32.739 14.600 0.273 0.169 0.153 0.165 0.159 0.192 0.253</t>
        </is>
      </c>
      <c r="B113" t="inlineStr"/>
      <c r="C113" t="inlineStr"/>
      <c r="D113" t="inlineStr"/>
    </row>
    <row r="114">
      <c r="A114" t="inlineStr">
        <is>
          <t>1994 2271.888 1094.374 707.508 195.547 82.470 29.713 19.915 0.233 0.172 0.170 0.166 0.191 0.217 0.268</t>
        </is>
      </c>
      <c r="B114" t="inlineStr"/>
      <c r="C114" t="inlineStr"/>
      <c r="D114" t="inlineStr"/>
    </row>
    <row r="115">
      <c r="A115" t="inlineStr">
        <is>
          <t>1995 3033.933 7604.117 745.446 276.743 55.031 19.808 19.596 0.236 0.173 0.157 0.162 0.167 0.206 0.444</t>
        </is>
      </c>
      <c r="B115" t="inlineStr"/>
      <c r="C115" t="inlineStr"/>
      <c r="D115" t="inlineStr"/>
    </row>
    <row r="116">
      <c r="A116" t="inlineStr">
        <is>
          <t>1996 835.146 4123.168 1226.183 191.777 103.320 26.078 17.296 0.283 0.187 0.177 0.156 0.180 0.199 0.269</t>
        </is>
      </c>
      <c r="B116" t="inlineStr"/>
      <c r="C116" t="inlineStr"/>
      <c r="D116" t="inlineStr"/>
    </row>
    <row r="117">
      <c r="A117" t="inlineStr">
        <is>
          <t>1997 2897.187 2209.344 567.285 207.832 76.625 39.597 12.078 0.191 0.182 0.166 0.159 0.179 0.188 0.228</t>
        </is>
      </c>
      <c r="B117" t="inlineStr"/>
      <c r="C117" t="inlineStr"/>
      <c r="D117" t="inlineStr"/>
    </row>
    <row r="118">
      <c r="A118" t="inlineStr">
        <is>
          <t>1998 391.539 7317.847 439.770 194.095 93.151 33.141 23.447 0.268 0.176 0.157 0.175 0.172 0.189 0.262</t>
        </is>
      </c>
      <c r="B118" t="inlineStr"/>
      <c r="C118" t="inlineStr"/>
      <c r="D118" t="inlineStr"/>
    </row>
    <row r="119">
      <c r="A119" t="inlineStr">
        <is>
          <t>1999 1123.041 414.937 1520.762 167.694 78.222 31.898 31.608 0.294 0.216 0.161 0.157 0.167 0.195 0.225</t>
        </is>
      </c>
      <c r="B119" t="inlineStr"/>
      <c r="C119" t="inlineStr"/>
      <c r="D119" t="inlineStr"/>
    </row>
    <row r="120">
      <c r="A120" t="inlineStr">
        <is>
          <t>2000 1181.665 1699.712 148.201 427.410 94.237 50.524 32.410 0.210 0.192 0.165 0.167 0.177 0.176 0.222</t>
        </is>
      </c>
      <c r="B120" t="inlineStr"/>
      <c r="C120" t="inlineStr"/>
      <c r="D120" t="inlineStr"/>
    </row>
    <row r="121">
      <c r="A121" t="inlineStr">
        <is>
          <t>ICES</t>
        </is>
      </c>
      <c r="B121" t="inlineStr">
        <is>
          <t>| WGNSSK</t>
        </is>
      </c>
      <c r="C121" t="inlineStr">
        <is>
          <t>2025</t>
        </is>
      </c>
      <c r="D121" t="inlineStr">
        <is>
          <t>| 139</t>
        </is>
      </c>
    </row>
    <row r="122">
      <c r="A122" t="inlineStr">
        <is>
          <t>Year/Age</t>
        </is>
      </c>
      <c r="B122" t="inlineStr">
        <is>
          <t>1 2 3 4 5 6 7+ 1 2 3 4 5 6 7+</t>
        </is>
      </c>
      <c r="C122" t="inlineStr"/>
      <c r="D122" t="inlineStr"/>
    </row>
    <row r="123">
      <c r="A123" t="inlineStr">
        <is>
          <t>2001 745.716 2756.238 427.764 74.011 72.860 19.813 15.096 0.270 0.170 0.146 0.170 0.175 0.195 0.252</t>
        </is>
      </c>
      <c r="B123" t="inlineStr"/>
      <c r="C123" t="inlineStr"/>
      <c r="D123" t="inlineStr"/>
    </row>
    <row r="124">
      <c r="A124" t="inlineStr">
        <is>
          <t>2002 2031.043 1025.688 1037.622 125.377 24.179 19.618 9.011 0.301 0.222 0.155 0.162 0.209 0.247 0.282</t>
        </is>
      </c>
      <c r="B124" t="inlineStr"/>
      <c r="C124" t="inlineStr"/>
      <c r="D124" t="inlineStr"/>
    </row>
    <row r="125">
      <c r="A125" t="inlineStr">
        <is>
          <t>2003 221.208 966.405 255.995 280.870 86.507 17.011 20.746 0.284 0.220 0.169 0.174 0.177 0.200 0.246</t>
        </is>
      </c>
      <c r="B125" t="inlineStr"/>
      <c r="C125" t="inlineStr"/>
      <c r="D125" t="inlineStr"/>
    </row>
    <row r="126">
      <c r="A126" t="inlineStr">
        <is>
          <t>2004 1968.186 628.198 328.595 90.073 96.952 40.844 11.166 0.271 0.207 0.187 0.194 0.204 0.206 0.285</t>
        </is>
      </c>
      <c r="B126" t="inlineStr"/>
      <c r="C126" t="inlineStr"/>
      <c r="D126" t="inlineStr"/>
    </row>
    <row r="127">
      <c r="A127" t="inlineStr">
        <is>
          <t>2005 523.603 1270.999 245.067 119.067 45.303 51.004 22.782 0.262 0.219 0.181 0.170 0.190 0.210 0.266</t>
        </is>
      </c>
      <c r="B127" t="inlineStr"/>
      <c r="C127" t="inlineStr"/>
      <c r="D127" t="inlineStr"/>
    </row>
    <row r="128">
      <c r="A128" t="inlineStr">
        <is>
          <t>2006 1750.896 638.105 377.223 71.845 40.888 25.543 35.416 0.269 0.233 0.194 0.188 0.203 0.224 0.261</t>
        </is>
      </c>
      <c r="B128" t="inlineStr"/>
      <c r="C128" t="inlineStr"/>
      <c r="D128" t="inlineStr"/>
    </row>
    <row r="129">
      <c r="A129" t="inlineStr">
        <is>
          <t>2007 691.190 2370.892 338.766 106.243 56.491 31.781 32.701 0.282 0.173 0.167 0.193 0.220 0.225 0.296</t>
        </is>
      </c>
      <c r="B129" t="inlineStr"/>
      <c r="C129" t="inlineStr"/>
      <c r="D129" t="inlineStr"/>
    </row>
    <row r="130">
      <c r="A130" t="inlineStr">
        <is>
          <t>2008 663.450 606.722 636.827 125.185 72.997 16.945 6.959 0.273 0.213 0.172 0.185 0.178 0.202 0.262</t>
        </is>
      </c>
      <c r="B130" t="inlineStr"/>
      <c r="C130" t="inlineStr"/>
      <c r="D130" t="inlineStr"/>
    </row>
    <row r="131">
      <c r="A131" t="inlineStr">
        <is>
          <t>2009 563.575 777.688 208.136 220.166 64.420 29.129 18.550 0.306 0.186 0.174 0.192 0.188 0.192 0.233</t>
        </is>
      </c>
      <c r="B131" t="inlineStr"/>
      <c r="C131" t="inlineStr"/>
      <c r="D131" t="inlineStr"/>
    </row>
    <row r="132">
      <c r="A132" t="inlineStr">
        <is>
          <t>2010 1019.588 1230.012 305.314 111.128 96.610 28.507 6.590 0.281 0.174 0.175 0.198 0.173 0.198 0.297</t>
        </is>
      </c>
      <c r="B132" t="inlineStr"/>
      <c r="C132" t="inlineStr"/>
      <c r="D132" t="inlineStr"/>
    </row>
    <row r="133">
      <c r="A133" t="inlineStr">
        <is>
          <t>2011 252.369 1603.561 311.166 125.533 46.455 51.917 10.577 0.355 0.184 0.182 0.206 0.195 0.218 0.267</t>
        </is>
      </c>
      <c r="B133" t="inlineStr"/>
      <c r="C133" t="inlineStr"/>
      <c r="D133" t="inlineStr"/>
    </row>
    <row r="134">
      <c r="A134" t="inlineStr">
        <is>
          <t>2012 1257.319 789.882 859.239 257.809 83.091 21.815 14.578 0.237 0.166 0.164 0.184 0.181 0.216 0.242</t>
        </is>
      </c>
      <c r="B134" t="inlineStr"/>
      <c r="C134" t="inlineStr"/>
      <c r="D134" t="inlineStr"/>
    </row>
    <row r="135">
      <c r="A135" t="inlineStr">
        <is>
          <t>2013 491.900 1538.849 446.532 344.541 153.803 44.281 19.386 0.232 0.196 0.168 0.179 0.156 0.170 0.210</t>
        </is>
      </c>
      <c r="B135" t="inlineStr"/>
      <c r="C135" t="inlineStr"/>
      <c r="D135" t="inlineStr"/>
    </row>
    <row r="136">
      <c r="A136" t="inlineStr">
        <is>
          <t>2014 584.411 1360.581 456.680 197.211 181.859 64.935 19.951 0.219 0.215 0.186 0.216 0.219 0.239 0.296</t>
        </is>
      </c>
      <c r="B136" t="inlineStr"/>
      <c r="C136" t="inlineStr"/>
      <c r="D136" t="inlineStr"/>
    </row>
    <row r="137">
      <c r="A137" t="inlineStr">
        <is>
          <t>2015 538.939 2502.962 775.984 256.806 76.653 45.481 9.461 0.230 0.181 0.159 0.172 0.168 0.203 0.256</t>
        </is>
      </c>
      <c r="B137" t="inlineStr"/>
      <c r="C137" t="inlineStr"/>
      <c r="D137" t="inlineStr"/>
    </row>
    <row r="138">
      <c r="A138" t="inlineStr">
        <is>
          <t>2016 262.625 834.714 1311.349 443.924 163.126 55.698 49.878 0.260 0.176 0.173 0.156 0.146 0.160 0.215</t>
        </is>
      </c>
      <c r="B138" t="inlineStr"/>
      <c r="C138" t="inlineStr"/>
      <c r="D138" t="inlineStr"/>
    </row>
    <row r="139">
      <c r="A139" t="inlineStr">
        <is>
          <t>2017 1116.719 630.003 569.050 527.564 255.564 45.318 24.300 0.184 0.161 0.158 0.157 0.159 0.181 0.224</t>
        </is>
      </c>
      <c r="B139" t="inlineStr"/>
      <c r="C139" t="inlineStr"/>
      <c r="D139" t="inlineStr"/>
    </row>
    <row r="140">
      <c r="A140" t="inlineStr">
        <is>
          <t>2018 163.033 1935.099 285.658 150.452 101.935 63.039 24.817 0.320 0.161 0.154 0.180 0.175 0.181 0.195</t>
        </is>
      </c>
      <c r="B140" t="inlineStr"/>
      <c r="C140" t="inlineStr"/>
      <c r="D140" t="inlineStr"/>
    </row>
    <row r="141">
      <c r="A141" t="inlineStr">
        <is>
          <t>140 | ICES</t>
        </is>
      </c>
      <c r="B141" t="inlineStr">
        <is>
          <t>SCIENTIFIC REPORTS</t>
        </is>
      </c>
      <c r="C141" t="inlineStr">
        <is>
          <t>6:38 | ICES</t>
        </is>
      </c>
      <c r="D141" t="inlineStr"/>
    </row>
    <row r="142">
      <c r="A142" t="inlineStr">
        <is>
          <t>Year/Age</t>
        </is>
      </c>
      <c r="B142" t="inlineStr">
        <is>
          <t>1 2 3 4 5 6 7+ 1 2 3 4 5 6 7+</t>
        </is>
      </c>
      <c r="C142" t="inlineStr"/>
      <c r="D142" t="inlineStr"/>
    </row>
    <row r="143">
      <c r="A143" t="inlineStr">
        <is>
          <t>2019 194.173 304.136 491.261 63.241 52.907 29.600 13.760 0.273 0.160 0.156 0.177 0.222 0.231 0.297</t>
        </is>
      </c>
      <c r="B143" t="inlineStr"/>
      <c r="C143" t="inlineStr"/>
      <c r="D143" t="inlineStr"/>
    </row>
    <row r="144">
      <c r="A144" t="inlineStr">
        <is>
          <t>2020 1194.125 615.856 148.936 171.249 36.280 10.482 24.409 0.273 0.186 0.172 0.189 0.201 0.234 0.303</t>
        </is>
      </c>
      <c r="B144" t="inlineStr"/>
      <c r="C144" t="inlineStr"/>
      <c r="D144" t="inlineStr"/>
    </row>
    <row r="145">
      <c r="A145" t="inlineStr">
        <is>
          <t>2021 308.454 2656.157 632.531 153.638 70.606 34.974 30.222 0.247 0.184 0.170 0.178 0.185 0.198 0.239</t>
        </is>
      </c>
      <c r="B145" t="inlineStr"/>
      <c r="C145" t="inlineStr"/>
      <c r="D145" t="inlineStr"/>
    </row>
    <row r="146">
      <c r="A146" t="inlineStr">
        <is>
          <t>2022 423.665 817.474 1279.411 354.733 67.178 39.874 22.806 0.319 0.211 0.203 0.215 0.243 0.264 0.383</t>
        </is>
      </c>
      <c r="B146" t="inlineStr"/>
      <c r="C146" t="inlineStr"/>
      <c r="D146" t="inlineStr"/>
    </row>
    <row r="147">
      <c r="A147" t="inlineStr">
        <is>
          <t>2023 478.058 1942.927 621.040 470.734 110.907 30.270 15.423 0.315 0.215 0.187 0.193 0.189 0.229 0.274</t>
        </is>
      </c>
      <c r="B147" t="inlineStr"/>
      <c r="C147" t="inlineStr"/>
      <c r="D147" t="inlineStr"/>
    </row>
    <row r="148">
      <c r="A148" t="inlineStr">
        <is>
          <t>2024 54.365 690.386 642.288 248.669 188.036 69.674 17.021 0.344 0.180 0.169 0.198 0.177 0.178 0.222</t>
        </is>
      </c>
      <c r="B148" t="inlineStr"/>
      <c r="C148" t="inlineStr"/>
      <c r="D148" t="inlineStr"/>
    </row>
    <row r="149">
      <c r="A149" t="inlineStr">
        <is>
          <t>2025 424.396 240.745 449.852 172.244 74.890 49.999 28.062 0.331 0.216 0.173 0.168 0.187 0.190 0.225</t>
        </is>
      </c>
      <c r="B149" t="inlineStr"/>
      <c r="C149" t="inlineStr"/>
      <c r="D14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</row>
    <row r="2">
      <c r="A2" t="inlineStr">
        <is>
          <t>Year/Age</t>
        </is>
      </c>
      <c r="B2" t="inlineStr">
        <is>
          <t>1 2 3 4 5 6 7+ 1 2 3 4 5 6 7+</t>
        </is>
      </c>
      <c r="C2" t="inlineStr"/>
      <c r="D2" t="inlineStr"/>
    </row>
    <row r="3">
      <c r="A3" t="inlineStr">
        <is>
          <t>1992 14492.686 1814.096 472.825 227.252 77.609 54.158 37.000 0.108 0.140 0.135 0.146 0.200 0.237 0.426</t>
        </is>
      </c>
      <c r="B3" t="inlineStr"/>
      <c r="C3" t="inlineStr"/>
      <c r="D3" t="inlineStr"/>
    </row>
    <row r="4">
      <c r="A4" t="inlineStr">
        <is>
          <t>1993 3099.240 3697.428 738.292 198.922 91.534 28.137 46.555 0.121 0.131 0.186 0.199 0.215 0.227 0.368</t>
        </is>
      </c>
      <c r="B4" t="inlineStr"/>
      <c r="C4" t="inlineStr"/>
      <c r="D4" t="inlineStr"/>
    </row>
    <row r="5">
      <c r="A5" t="inlineStr">
        <is>
          <t>1994 17045.174 2334.550 1125.386 188.348 47.388 34.064 22.524 0.112 0.125 0.147 0.223 0.224 0.349 0.858</t>
        </is>
      </c>
      <c r="B5" t="inlineStr"/>
      <c r="C5" t="inlineStr"/>
      <c r="D5" t="inlineStr"/>
    </row>
    <row r="6">
      <c r="A6" t="inlineStr">
        <is>
          <t>1995 8675.213 6079.828 1400.263 652.258 91.762 22.996 36.457 0.106 0.126 0.243 0.300 0.348 0.299 0.506</t>
        </is>
      </c>
      <c r="B6" t="inlineStr"/>
      <c r="C6" t="inlineStr"/>
      <c r="D6" t="inlineStr"/>
    </row>
    <row r="7">
      <c r="A7" t="inlineStr">
        <is>
          <t>1996 4184.278 2187.519 807.755 246.420 148.428 26.790 12.853 0.121 0.130 0.138 0.170 0.235 0.267 1.050</t>
        </is>
      </c>
      <c r="B7" t="inlineStr"/>
      <c r="C7" t="inlineStr"/>
      <c r="D7" t="inlineStr"/>
    </row>
    <row r="8">
      <c r="A8" t="inlineStr">
        <is>
          <t>1997 24482.536 2067.676 810.240 304.111 68.903 39.357 21.856 0.133 0.150 0.174 0.197 0.227 0.258 0.646</t>
        </is>
      </c>
      <c r="B8" t="inlineStr"/>
      <c r="C8" t="inlineStr"/>
      <c r="D8" t="inlineStr"/>
    </row>
    <row r="9">
      <c r="A9" t="inlineStr">
        <is>
          <t>1998 841.145 7274.882 565.881 145.926 79.416 28.463 20.404 0.142 0.129 0.142 0.187 0.235 0.239 0.434</t>
        </is>
      </c>
      <c r="B9" t="inlineStr"/>
      <c r="C9" t="inlineStr"/>
      <c r="D9" t="inlineStr"/>
    </row>
    <row r="10">
      <c r="A10" t="inlineStr">
        <is>
          <t>1999 3428.524 463.381 1556.281 141.501 37.085 13.632 7.216 0.171 0.141 0.133 0.159 0.267 0.308 0.618</t>
        </is>
      </c>
      <c r="B10" t="inlineStr"/>
      <c r="C10" t="inlineStr"/>
      <c r="D10" t="inlineStr"/>
    </row>
    <row r="11">
      <c r="A11" t="inlineStr">
        <is>
          <t>2000 5610.031 1001.505 106.050 256.260 28.807 28.580 30.343 0.235 0.226 0.186 0.245 0.327 0.540 1.055</t>
        </is>
      </c>
      <c r="B11" t="inlineStr"/>
      <c r="C11" t="inlineStr"/>
      <c r="D11" t="inlineStr"/>
    </row>
    <row r="12">
      <c r="A12" t="inlineStr">
        <is>
          <t>ICES</t>
        </is>
      </c>
      <c r="B12" t="inlineStr">
        <is>
          <t>| WGNSSK</t>
        </is>
      </c>
      <c r="C12" t="inlineStr">
        <is>
          <t>2025</t>
        </is>
      </c>
      <c r="D12" t="inlineStr">
        <is>
          <t>| 141</t>
        </is>
      </c>
    </row>
    <row r="13">
      <c r="A13" t="inlineStr">
        <is>
          <t>Year/Age</t>
        </is>
      </c>
      <c r="B13" t="inlineStr">
        <is>
          <t>1 2 3 4 5 6 7+ 1 2 3 4 5 6 7+</t>
        </is>
      </c>
      <c r="C13" t="inlineStr"/>
      <c r="D13" t="inlineStr"/>
    </row>
    <row r="14">
      <c r="A14" t="inlineStr">
        <is>
          <t>2001 1622.510 1890.031 340.377 75.773 43.375 26.480 37.714 0.182 0.133 0.134 0.199 0.248 0.274 0.667</t>
        </is>
      </c>
      <c r="B14" t="inlineStr"/>
      <c r="C14" t="inlineStr"/>
      <c r="D14" t="inlineStr"/>
    </row>
    <row r="15">
      <c r="A15" t="inlineStr">
        <is>
          <t>2002 4487.211 884.430 747.302 209.546 50.038 18.022 5.516 0.180 0.146 0.140 0.158 0.197 0.260 0.873</t>
        </is>
      </c>
      <c r="B15" t="inlineStr"/>
      <c r="C15" t="inlineStr"/>
      <c r="D15" t="inlineStr"/>
    </row>
    <row r="16">
      <c r="A16" t="inlineStr">
        <is>
          <t>2003 718.304 1115.606 254.893 185.831 83.485 64.011 28.294 0.155 0.146 0.147 0.179 0.220 0.273 0.578</t>
        </is>
      </c>
      <c r="B16" t="inlineStr"/>
      <c r="C16" t="inlineStr"/>
      <c r="D16" t="inlineStr"/>
    </row>
    <row r="17">
      <c r="A17" t="inlineStr">
        <is>
          <t>2004 3274.991 696.068 448.715 80.598 68.887 19.020 #N/A</t>
        </is>
      </c>
      <c r="B17" t="inlineStr">
        <is>
          <t>0.186 0.134 0.155 0.195 0.222 0.271 #N/A</t>
        </is>
      </c>
      <c r="C17" t="inlineStr"/>
      <c r="D17" t="inlineStr"/>
    </row>
    <row r="18">
      <c r="A18" t="inlineStr">
        <is>
          <t>2005 1137.107 745.113 204.226 113.819 27.394 31.851 13.407 0.165 0.137 0.141 0.156 0.215 0.288 0.673</t>
        </is>
      </c>
      <c r="B18" t="inlineStr"/>
      <c r="C18" t="inlineStr"/>
      <c r="D18" t="inlineStr"/>
    </row>
    <row r="19">
      <c r="A19" t="inlineStr">
        <is>
          <t>2006 4362.304 736.957 505.235 98.010 14.746 14.174 11.472 0.130 0.157 0.176 0.176 0.272 0.877 0.987</t>
        </is>
      </c>
      <c r="B19" t="inlineStr"/>
      <c r="C19" t="inlineStr"/>
      <c r="D19" t="inlineStr"/>
    </row>
    <row r="20">
      <c r="A20" t="inlineStr">
        <is>
          <t>2007 2375.520 2662.417 419.456 163.220 61.912 35.915 26.487 0.176 0.159 0.158 0.162 0.191 0.213 0.531</t>
        </is>
      </c>
      <c r="B20" t="inlineStr"/>
      <c r="C20" t="inlineStr"/>
      <c r="D20" t="inlineStr"/>
    </row>
    <row r="21">
      <c r="A21" t="inlineStr">
        <is>
          <t>2008 2560.627 1114.432 1047.844 203.979 75.295 24.127 11.795 0.185 0.140 0.146 0.147 0.185 0.224 0.796</t>
        </is>
      </c>
      <c r="B21" t="inlineStr"/>
      <c r="C21" t="inlineStr"/>
      <c r="D21" t="inlineStr"/>
    </row>
    <row r="22">
      <c r="A22" t="inlineStr">
        <is>
          <t>2009 2137.958 833.921 276.402 250.195 48.167 21.962 28.905 0.197 0.158 0.176 0.195 0.231 0.240 0.505</t>
        </is>
      </c>
      <c r="B22" t="inlineStr"/>
      <c r="C22" t="inlineStr"/>
      <c r="D22" t="inlineStr"/>
    </row>
    <row r="23">
      <c r="A23" t="inlineStr">
        <is>
          <t>2010 2658.880 1676.044 540.640 185.126 113.181 23.408 3.888 0.125 0.147 0.156 0.179 0.229 0.257 0.817</t>
        </is>
      </c>
      <c r="B23" t="inlineStr"/>
      <c r="C23" t="inlineStr"/>
      <c r="D23" t="inlineStr"/>
    </row>
    <row r="24">
      <c r="A24" t="inlineStr">
        <is>
          <t>2011 1142.711 3019.413 1452.900 342.350 145.796 118.411 14.339 0.153 0.118 0.175 0.148 0.255 0.263 0.653</t>
        </is>
      </c>
      <c r="B24" t="inlineStr"/>
      <c r="C24" t="inlineStr"/>
      <c r="D24" t="inlineStr"/>
    </row>
    <row r="25">
      <c r="A25" t="inlineStr">
        <is>
          <t>2012 2448.086 947.178 1330.736 429.498 95.480 19.206 26.559 0.157 0.137 0.144 0.140 0.186 0.244 0.586</t>
        </is>
      </c>
      <c r="B25" t="inlineStr"/>
      <c r="C25" t="inlineStr"/>
      <c r="D25" t="inlineStr"/>
    </row>
    <row r="26">
      <c r="A26" t="inlineStr">
        <is>
          <t>2013 2200.152 1088.279 516.650 622.406 173.192 66.636 34.493 0.154 0.153 0.141 0.156 0.194 0.212 0.550</t>
        </is>
      </c>
      <c r="B26" t="inlineStr"/>
      <c r="C26" t="inlineStr"/>
      <c r="D26" t="inlineStr"/>
    </row>
    <row r="27">
      <c r="A27" t="inlineStr">
        <is>
          <t>2014 2642.887 1568.905 733.328 309.778 219.277 88.138 53.308 0.132 0.138 0.150 0.146 0.154 0.166 0.363</t>
        </is>
      </c>
      <c r="B27" t="inlineStr"/>
      <c r="C27" t="inlineStr"/>
      <c r="D27" t="inlineStr"/>
    </row>
    <row r="28">
      <c r="A28" t="inlineStr">
        <is>
          <t>2015 1458.054 2996.982 1288.348 474.504 150.097 140.680 57.302 0.158 0.119 0.129 0.137 0.164 0.198 0.464</t>
        </is>
      </c>
      <c r="B28" t="inlineStr"/>
      <c r="C28" t="inlineStr"/>
      <c r="D28" t="inlineStr"/>
    </row>
    <row r="29">
      <c r="A29" t="inlineStr">
        <is>
          <t>2016 1067.273 1203.305 1694.843 1160.355 207.141 123.630 83.555 0.158 0.131 0.126 0.154 0.158 0.169 0.391</t>
        </is>
      </c>
      <c r="B29" t="inlineStr"/>
      <c r="C29" t="inlineStr"/>
      <c r="D29" t="inlineStr"/>
    </row>
    <row r="30">
      <c r="A30" t="inlineStr">
        <is>
          <t>2017 4742.234 617.114 692.764 529.411 304.912 51.067 54.642 0.122 0.126 0.155 0.149 0.171 0.178 0.485</t>
        </is>
      </c>
      <c r="B30" t="inlineStr"/>
      <c r="C30" t="inlineStr"/>
      <c r="D30" t="inlineStr"/>
    </row>
    <row r="31">
      <c r="A31" t="inlineStr">
        <is>
          <t>2018 753.610 1919.201 365.682 455.864 292.503 158.499 20.458 0.150 0.132 0.126 0.186 0.202 0.213 0.523</t>
        </is>
      </c>
      <c r="B31" t="inlineStr"/>
      <c r="C31" t="inlineStr"/>
      <c r="D31" t="inlineStr"/>
    </row>
    <row r="32">
      <c r="A32" t="inlineStr">
        <is>
          <t>142 | ICES</t>
        </is>
      </c>
      <c r="B32" t="inlineStr">
        <is>
          <t>SCIENTIFIC REPORTS</t>
        </is>
      </c>
      <c r="C32" t="inlineStr">
        <is>
          <t>6:38 | ICES</t>
        </is>
      </c>
      <c r="D32" t="inlineStr"/>
    </row>
    <row r="33">
      <c r="A33" t="inlineStr">
        <is>
          <t>Year/Age</t>
        </is>
      </c>
      <c r="B33" t="inlineStr">
        <is>
          <t>1 2 3 4 5 6 7+ 1 2 3 4 5 6 7+</t>
        </is>
      </c>
      <c r="C33" t="inlineStr"/>
      <c r="D33" t="inlineStr"/>
    </row>
    <row r="34">
      <c r="A34" t="inlineStr">
        <is>
          <t>2019 1673.544 386.783 534.012 138.446 77.863 44.231 30.208 0.126 0.145 0.145 0.174 0.190 0.217 0.559</t>
        </is>
      </c>
      <c r="B34" t="inlineStr"/>
      <c r="C34" t="inlineStr"/>
      <c r="D34" t="inlineStr"/>
    </row>
    <row r="35">
      <c r="A35" t="inlineStr">
        <is>
          <t>2020 3028.299 1144.633 204.393 241.787 70.043 29.049 30.716 0.157 0.135 0.148 0.166 0.193 0.214 0.515</t>
        </is>
      </c>
      <c r="B35" t="inlineStr"/>
      <c r="C35" t="inlineStr"/>
      <c r="D35" t="inlineStr"/>
    </row>
    <row r="36">
      <c r="A36" t="inlineStr">
        <is>
          <t>2021 1411.237 2467.280 727.423 164.528 112.433 18.199 22.750 0.128 0.141 0.140 0.159 0.171 0.233 0.625</t>
        </is>
      </c>
      <c r="B36" t="inlineStr"/>
      <c r="C36" t="inlineStr"/>
      <c r="D36" t="inlineStr"/>
    </row>
    <row r="37">
      <c r="A37" t="inlineStr">
        <is>
          <t>2022 2883.317 980.271 965.312 419.878 107.662 82.399 23.400 0.152 0.129 0.137 0.155 0.205 0.211 0.540</t>
        </is>
      </c>
      <c r="B37" t="inlineStr"/>
      <c r="C37" t="inlineStr"/>
      <c r="D37" t="inlineStr"/>
    </row>
    <row r="38">
      <c r="A38" t="inlineStr">
        <is>
          <t>2023 1497.677 1507.832 650.825 507.815 182.623 38.938 25.889 0.159 0.122 0.135 0.141 0.162 0.215 0.613</t>
        </is>
      </c>
      <c r="B38" t="inlineStr"/>
      <c r="C38" t="inlineStr"/>
      <c r="D38" t="inlineStr"/>
    </row>
    <row r="39">
      <c r="A39" t="inlineStr">
        <is>
          <t>2024 376.829 790.260 425.316 202.315 221.013 100.579 9.228 0.189 0.151 0.148 0.154 0.170 0.199 0.734</t>
        </is>
      </c>
      <c r="B39" t="inlineStr"/>
      <c r="C39" t="inlineStr"/>
      <c r="D39" t="inlineStr"/>
    </row>
    <row r="40">
      <c r="A40" t="inlineStr">
        <is>
          <t>ICES</t>
        </is>
      </c>
      <c r="B40" t="inlineStr">
        <is>
          <t>| WGNSSK</t>
        </is>
      </c>
      <c r="C40" t="inlineStr">
        <is>
          <t>2025</t>
        </is>
      </c>
      <c r="D40" t="inlineStr">
        <is>
          <t>| 143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</row>
    <row r="2">
      <c r="A2" t="inlineStr">
        <is>
          <t>deviations by substock. These indices consist of age 0 cod from the Q3+Q4 surveys forward shifted to represent age 1 on</t>
        </is>
      </c>
      <c r="B2" t="inlineStr"/>
      <c r="C2" t="inlineStr"/>
      <c r="D2" t="inlineStr"/>
    </row>
    <row r="3">
      <c r="A3" t="inlineStr">
        <is>
          <t>1st January.</t>
        </is>
      </c>
      <c r="B3" t="inlineStr"/>
      <c r="C3" t="inlineStr"/>
      <c r="D3" t="inlineStr"/>
    </row>
    <row r="4">
      <c r="A4" t="inlineStr">
        <is>
          <t>Northwest ern Southern</t>
        </is>
      </c>
      <c r="B4" t="inlineStr">
        <is>
          <t>Viking</t>
        </is>
      </c>
      <c r="C4" t="inlineStr">
        <is>
          <t>Northwest ern Southern</t>
        </is>
      </c>
      <c r="D4" t="inlineStr">
        <is>
          <t>Viking</t>
        </is>
      </c>
    </row>
    <row r="5">
      <c r="A5" t="inlineStr">
        <is>
          <t>1993 1792.151 1553.782 3755.020 0.321 0.303 0.316</t>
        </is>
      </c>
      <c r="B5" t="inlineStr"/>
      <c r="C5" t="inlineStr"/>
      <c r="D5" t="inlineStr"/>
    </row>
    <row r="6">
      <c r="A6" t="inlineStr">
        <is>
          <t>1994 1046.439 3789.362 2111.705 0.432 0.320 0.354</t>
        </is>
      </c>
      <c r="B6" t="inlineStr"/>
      <c r="C6" t="inlineStr"/>
      <c r="D6" t="inlineStr"/>
    </row>
    <row r="7">
      <c r="A7" t="inlineStr">
        <is>
          <t>1995 2625.390 4743.717 5768.490 0.278 0.390 0.268</t>
        </is>
      </c>
      <c r="B7" t="inlineStr"/>
      <c r="C7" t="inlineStr"/>
      <c r="D7" t="inlineStr"/>
    </row>
    <row r="8">
      <c r="A8" t="inlineStr">
        <is>
          <t>1996 436.630 3719.212 3416.523 0.605 0.359 0.401</t>
        </is>
      </c>
      <c r="B8" t="inlineStr"/>
      <c r="C8" t="inlineStr"/>
      <c r="D8" t="inlineStr"/>
    </row>
    <row r="9">
      <c r="A9" t="inlineStr">
        <is>
          <t>1997 3796.705 7112.292 5994.004 0.272 0.340 0.347</t>
        </is>
      </c>
      <c r="B9" t="inlineStr"/>
      <c r="C9" t="inlineStr"/>
      <c r="D9" t="inlineStr"/>
    </row>
    <row r="10">
      <c r="A10" t="inlineStr">
        <is>
          <t>1998 31.899 47.643 140.237 0.496 0.472 0.490</t>
        </is>
      </c>
      <c r="B10" t="inlineStr"/>
      <c r="C10" t="inlineStr"/>
      <c r="D10" t="inlineStr"/>
    </row>
    <row r="11">
      <c r="A11" t="inlineStr">
        <is>
          <t>1999 340.952 2793.756 4763.996 0.473 0.568 0.420</t>
        </is>
      </c>
      <c r="B11" t="inlineStr"/>
      <c r="C11" t="inlineStr"/>
      <c r="D11" t="inlineStr"/>
    </row>
    <row r="12">
      <c r="A12" t="inlineStr">
        <is>
          <t>2000 350.872 413.220 1324.656 0.394 0.585 0.432</t>
        </is>
      </c>
      <c r="B12" t="inlineStr"/>
      <c r="C12" t="inlineStr"/>
      <c r="D12" t="inlineStr"/>
    </row>
    <row r="13">
      <c r="A13" t="inlineStr">
        <is>
          <t>2001 70.853 327.603 904.008 0.870 0.675 1.057</t>
        </is>
      </c>
      <c r="B13" t="inlineStr"/>
      <c r="C13" t="inlineStr"/>
      <c r="D13" t="inlineStr"/>
    </row>
    <row r="14">
      <c r="A14" t="inlineStr">
        <is>
          <t>2002 77.861 10564.433 2951.932 0.611 0.592 0.454</t>
        </is>
      </c>
      <c r="B14" t="inlineStr"/>
      <c r="C14" t="inlineStr"/>
      <c r="D14" t="inlineStr"/>
    </row>
    <row r="15">
      <c r="A15" t="inlineStr">
        <is>
          <t>2003 25.622 225.749 224.806 0.618 1.012 0.478</t>
        </is>
      </c>
      <c r="B15" t="inlineStr"/>
      <c r="C15" t="inlineStr"/>
      <c r="D15" t="inlineStr"/>
    </row>
    <row r="16">
      <c r="A16" t="inlineStr">
        <is>
          <t>2004 45.477 1284.331 2966.673 0.639 0.881 0.462</t>
        </is>
      </c>
      <c r="B16" t="inlineStr"/>
      <c r="C16" t="inlineStr"/>
      <c r="D16" t="inlineStr"/>
    </row>
    <row r="17">
      <c r="A17" t="inlineStr">
        <is>
          <t>2005 32.530 1264.619 396.202 0.773 0.782 0.436</t>
        </is>
      </c>
      <c r="B17" t="inlineStr"/>
      <c r="C17" t="inlineStr"/>
      <c r="D17" t="inlineStr"/>
    </row>
    <row r="18">
      <c r="A18" t="inlineStr">
        <is>
          <t>2006 1511.869 379.508 1764.610 0.448 0.516 0.455</t>
        </is>
      </c>
      <c r="B18" t="inlineStr"/>
      <c r="C18" t="inlineStr"/>
      <c r="D18" t="inlineStr"/>
    </row>
    <row r="19">
      <c r="A19" t="inlineStr">
        <is>
          <t>2007 69.379 1338.719 957.638 0.572 0.653 0.540</t>
        </is>
      </c>
      <c r="B19" t="inlineStr"/>
      <c r="C19" t="inlineStr"/>
      <c r="D19" t="inlineStr"/>
    </row>
    <row r="20">
      <c r="A20" t="inlineStr">
        <is>
          <t>2008 63.448 5366.873 1212.565 0.677 0.561 0.451</t>
        </is>
      </c>
      <c r="B20" t="inlineStr"/>
      <c r="C20" t="inlineStr"/>
      <c r="D20" t="inlineStr"/>
    </row>
    <row r="21">
      <c r="A21" t="inlineStr">
        <is>
          <t>2009 59.876 54.018 508.175 0.692 1.309 0.557</t>
        </is>
      </c>
      <c r="B21" t="inlineStr"/>
      <c r="C21" t="inlineStr"/>
      <c r="D21" t="inlineStr"/>
    </row>
    <row r="22">
      <c r="A22" t="inlineStr">
        <is>
          <t>2010 109.474 318.239 924.962 0.434 0.990 0.547</t>
        </is>
      </c>
      <c r="B22" t="inlineStr"/>
      <c r="C22" t="inlineStr"/>
      <c r="D22" t="inlineStr"/>
    </row>
    <row r="23">
      <c r="A23" t="inlineStr">
        <is>
          <t>2011 3.268 26.820 144.133 0.604 0.934 0.665</t>
        </is>
      </c>
      <c r="B23" t="inlineStr"/>
      <c r="C23" t="inlineStr"/>
      <c r="D23" t="inlineStr"/>
    </row>
    <row r="24">
      <c r="A24" t="inlineStr">
        <is>
          <t>2012 10.727 221.027 4048.491 0.870 1.005 0.452</t>
        </is>
      </c>
      <c r="B24" t="inlineStr"/>
      <c r="C24" t="inlineStr"/>
      <c r="D24" t="inlineStr"/>
    </row>
    <row r="25">
      <c r="A25" t="inlineStr">
        <is>
          <t>2013 48.014 507.069 285.092 0.671 0.955 0.480</t>
        </is>
      </c>
      <c r="B25" t="inlineStr"/>
      <c r="C25" t="inlineStr"/>
      <c r="D25" t="inlineStr"/>
    </row>
    <row r="26">
      <c r="A26" t="inlineStr">
        <is>
          <t>2014 74.515 74.287 103.028 0.717 0.785 0.513</t>
        </is>
      </c>
      <c r="B26" t="inlineStr"/>
      <c r="C26" t="inlineStr"/>
      <c r="D26" t="inlineStr"/>
    </row>
    <row r="27">
      <c r="A27" t="inlineStr">
        <is>
          <t>2015 154.965 49.899 316.727 0.395 0.716 0.528</t>
        </is>
      </c>
      <c r="B27" t="inlineStr"/>
      <c r="C27" t="inlineStr"/>
      <c r="D27" t="inlineStr"/>
    </row>
    <row r="28">
      <c r="A28" t="inlineStr">
        <is>
          <t>2016 37.535 13.894 18.743 0.743 0.918 0.635</t>
        </is>
      </c>
      <c r="B28" t="inlineStr"/>
      <c r="C28" t="inlineStr"/>
      <c r="D28" t="inlineStr"/>
    </row>
    <row r="29">
      <c r="A29" t="inlineStr">
        <is>
          <t>2017 2437.655 255.375 447.124 0.305 0.560 0.376</t>
        </is>
      </c>
      <c r="B29" t="inlineStr"/>
      <c r="C29" t="inlineStr"/>
      <c r="D29" t="inlineStr"/>
    </row>
    <row r="30">
      <c r="A30" t="inlineStr">
        <is>
          <t>2018 89.574 23.915 160.519 0.646 0.982 0.509</t>
        </is>
      </c>
      <c r="B30" t="inlineStr"/>
      <c r="C30" t="inlineStr"/>
      <c r="D30" t="inlineStr"/>
    </row>
    <row r="31">
      <c r="A31" t="inlineStr">
        <is>
          <t>2019 97.573 20.416 76.699 0.588 1.105 0.668</t>
        </is>
      </c>
      <c r="B31" t="inlineStr"/>
      <c r="C31" t="inlineStr"/>
      <c r="D31" t="inlineStr"/>
    </row>
    <row r="32">
      <c r="A32" t="inlineStr">
        <is>
          <t>144 | ICES SCIENTIFIC REPORTS 6:38 | ICES</t>
        </is>
      </c>
      <c r="B32" t="inlineStr"/>
      <c r="C32" t="inlineStr"/>
      <c r="D32" t="inlineStr"/>
    </row>
    <row r="33">
      <c r="A33" t="inlineStr">
        <is>
          <t>Northwest ern Southern</t>
        </is>
      </c>
      <c r="B33" t="inlineStr">
        <is>
          <t>Viking</t>
        </is>
      </c>
      <c r="C33" t="inlineStr">
        <is>
          <t>Northwest ern Southern</t>
        </is>
      </c>
      <c r="D33" t="inlineStr">
        <is>
          <t>Viking</t>
        </is>
      </c>
    </row>
    <row r="34">
      <c r="A34" t="inlineStr">
        <is>
          <t>2020 500.531 237.313 1494.653 0.322 0.638 0.462</t>
        </is>
      </c>
      <c r="B34" t="inlineStr"/>
      <c r="C34" t="inlineStr"/>
      <c r="D34" t="inlineStr"/>
    </row>
    <row r="35">
      <c r="A35" t="inlineStr">
        <is>
          <t>2021 437.498 98.720 452.352 0.324 0.669 0.470</t>
        </is>
      </c>
      <c r="B35" t="inlineStr"/>
      <c r="C35" t="inlineStr"/>
      <c r="D35" t="inlineStr"/>
    </row>
    <row r="36">
      <c r="A36" t="inlineStr">
        <is>
          <t>2022 126.506 139.200 2054.125 0.447 0.667 0.657</t>
        </is>
      </c>
      <c r="B36" t="inlineStr"/>
      <c r="C36" t="inlineStr"/>
      <c r="D36" t="inlineStr"/>
    </row>
    <row r="37">
      <c r="A37" t="inlineStr">
        <is>
          <t>2023 89.055 97.165 3380.004 0.571 0.952 0.675</t>
        </is>
      </c>
      <c r="B37" t="inlineStr"/>
      <c r="C37" t="inlineStr"/>
      <c r="D37" t="inlineStr"/>
    </row>
    <row r="38">
      <c r="A38" t="inlineStr">
        <is>
          <t>2024 12.771 28.611 39.162 0.606 0.850 0.572</t>
        </is>
      </c>
      <c r="B38" t="inlineStr"/>
      <c r="C38" t="inlineStr"/>
      <c r="D38" t="inlineStr"/>
    </row>
    <row r="39">
      <c r="A39" t="inlineStr">
        <is>
          <t>2025 11.970 12.222 282.868 1.030 1.415 0.707</t>
        </is>
      </c>
      <c r="B39" t="inlineStr"/>
      <c r="C39" t="inlineStr"/>
      <c r="D3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</row>
    <row r="2">
      <c r="A2" t="inlineStr">
        <is>
          <t>All three substocks were given the same stock -wise configuration.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# Configuration</t>
        </is>
      </c>
      <c r="B3" t="inlineStr">
        <is>
          <t>saved: Sat Apr 26 13:26:15</t>
        </is>
      </c>
      <c r="C3" t="inlineStr">
        <is>
          <t>2025</t>
        </is>
      </c>
      <c r="D3" t="inlineStr"/>
      <c r="E3" t="inlineStr"/>
      <c r="F3" t="inlineStr"/>
      <c r="G3" t="inlineStr"/>
    </row>
    <row r="4">
      <c r="A4" t="inlineStr">
        <is>
          <t>#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# Where a matrix is specified</t>
        </is>
      </c>
      <c r="B5" t="inlineStr">
        <is>
          <t>rows corresponds</t>
        </is>
      </c>
      <c r="C5" t="inlineStr">
        <is>
          <t>to fleets and columns to ages.</t>
        </is>
      </c>
      <c r="D5" t="inlineStr"/>
      <c r="E5" t="inlineStr"/>
      <c r="F5" t="inlineStr"/>
      <c r="G5" t="inlineStr"/>
    </row>
    <row r="6">
      <c r="A6" t="inlineStr">
        <is>
          <t># Same number indicates</t>
        </is>
      </c>
      <c r="B6" t="inlineStr">
        <is>
          <t>same parameter</t>
        </is>
      </c>
      <c r="C6" t="inlineStr">
        <is>
          <t>used</t>
        </is>
      </c>
      <c r="D6" t="inlineStr"/>
      <c r="E6" t="inlineStr"/>
      <c r="F6" t="inlineStr"/>
      <c r="G6" t="inlineStr"/>
    </row>
    <row r="7">
      <c r="A7" t="inlineStr">
        <is>
          <t># Numbers (integers)</t>
        </is>
      </c>
      <c r="B7" t="inlineStr">
        <is>
          <t>starts from zero and must be consecutive</t>
        </is>
      </c>
      <c r="C7" t="inlineStr"/>
      <c r="D7" t="inlineStr"/>
      <c r="E7" t="inlineStr"/>
      <c r="F7" t="inlineStr"/>
      <c r="G7" t="inlineStr"/>
    </row>
    <row r="8">
      <c r="A8" t="inlineStr">
        <is>
          <t># Negative</t>
        </is>
      </c>
      <c r="B8" t="inlineStr">
        <is>
          <t>numbers indicate</t>
        </is>
      </c>
      <c r="C8" t="inlineStr">
        <is>
          <t>that the parameter</t>
        </is>
      </c>
      <c r="D8" t="inlineStr">
        <is>
          <t>is not included</t>
        </is>
      </c>
      <c r="E8" t="inlineStr">
        <is>
          <t>in the model</t>
        </is>
      </c>
      <c r="F8" t="inlineStr"/>
      <c r="G8" t="inlineStr"/>
    </row>
    <row r="9">
      <c r="A9" t="inlineStr">
        <is>
          <t>#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$minAge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# The minimium</t>
        </is>
      </c>
      <c r="B11" t="inlineStr">
        <is>
          <t>age class in the assessment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1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$maxAge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# The maximum age class in the assessment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7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$maxAgePlusGroup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# Is last age group considered</t>
        </is>
      </c>
      <c r="B17" t="inlineStr">
        <is>
          <t>a plus group for each fleet (1 yes, or 0 no).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1 1 1 1 1 0 0 0 0 0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$keyLogFsta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# Coupling</t>
        </is>
      </c>
      <c r="B20" t="inlineStr">
        <is>
          <t>of the fishing mortality</t>
        </is>
      </c>
      <c r="C20" t="inlineStr">
        <is>
          <t>states processes</t>
        </is>
      </c>
      <c r="D20" t="inlineStr">
        <is>
          <t>for each age (normally</t>
        </is>
      </c>
      <c r="E20" t="inlineStr">
        <is>
          <t>only</t>
        </is>
      </c>
      <c r="F20" t="inlineStr"/>
      <c r="G20" t="inlineStr"/>
    </row>
    <row r="21">
      <c r="A21" t="inlineStr">
        <is>
          <t># the first row (= fleet) is used).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# Sequential</t>
        </is>
      </c>
      <c r="B22" t="inlineStr">
        <is>
          <t>numbers indicate</t>
        </is>
      </c>
      <c r="C22" t="inlineStr">
        <is>
          <t>that the fishing mortality</t>
        </is>
      </c>
      <c r="D22" t="inlineStr">
        <is>
          <t>is estimated</t>
        </is>
      </c>
      <c r="E22" t="inlineStr">
        <is>
          <t>individually</t>
        </is>
      </c>
      <c r="F22" t="inlineStr"/>
      <c r="G22" t="inlineStr"/>
    </row>
    <row r="23">
      <c r="A23" t="inlineStr">
        <is>
          <t># for those ages; if the same number is used for two or more ages, F is bound for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# those ages (assumed</t>
        </is>
      </c>
      <c r="B24" t="inlineStr">
        <is>
          <t>to be the same). Binding fully selected</t>
        </is>
      </c>
      <c r="C24" t="inlineStr">
        <is>
          <t>ages will result in a</t>
        </is>
      </c>
      <c r="D24" t="inlineStr"/>
      <c r="E24" t="inlineStr"/>
      <c r="F24" t="inlineStr"/>
      <c r="G24" t="inlineStr"/>
    </row>
    <row r="25">
      <c r="A25" t="inlineStr">
        <is>
          <t># flat selection</t>
        </is>
      </c>
      <c r="B25" t="inlineStr">
        <is>
          <t>pattern for those ages.</t>
        </is>
      </c>
      <c r="C25" t="inlineStr"/>
      <c r="D25" t="inlineStr"/>
      <c r="E25" t="inlineStr"/>
      <c r="F25" t="inlineStr"/>
      <c r="G25" t="inlineStr"/>
    </row>
    <row r="26">
      <c r="A26" t="inlineStr">
        <is>
          <t>0</t>
        </is>
      </c>
      <c r="B26" t="inlineStr">
        <is>
          <t>1</t>
        </is>
      </c>
      <c r="C26" t="inlineStr">
        <is>
          <t>2</t>
        </is>
      </c>
      <c r="D26" t="inlineStr">
        <is>
          <t>3</t>
        </is>
      </c>
      <c r="E26" t="inlineStr">
        <is>
          <t>4</t>
        </is>
      </c>
      <c r="F26" t="inlineStr">
        <is>
          <t>5</t>
        </is>
      </c>
      <c r="G26" t="inlineStr">
        <is>
          <t>6</t>
        </is>
      </c>
    </row>
    <row r="27">
      <c r="A27" t="inlineStr">
        <is>
          <t>- 1</t>
        </is>
      </c>
      <c r="B27" t="inlineStr">
        <is>
          <t>-1</t>
        </is>
      </c>
      <c r="C27" t="inlineStr">
        <is>
          <t>-1</t>
        </is>
      </c>
      <c r="D27" t="inlineStr">
        <is>
          <t>-1</t>
        </is>
      </c>
      <c r="E27" t="inlineStr">
        <is>
          <t>-1</t>
        </is>
      </c>
      <c r="F27" t="inlineStr">
        <is>
          <t>-1</t>
        </is>
      </c>
      <c r="G27" t="inlineStr">
        <is>
          <t>-1</t>
        </is>
      </c>
    </row>
    <row r="28">
      <c r="A28" t="inlineStr">
        <is>
          <t>- 1</t>
        </is>
      </c>
      <c r="B28" t="inlineStr">
        <is>
          <t>-1</t>
        </is>
      </c>
      <c r="C28" t="inlineStr">
        <is>
          <t>-1</t>
        </is>
      </c>
      <c r="D28" t="inlineStr">
        <is>
          <t>-1</t>
        </is>
      </c>
      <c r="E28" t="inlineStr">
        <is>
          <t>-1</t>
        </is>
      </c>
      <c r="F28" t="inlineStr">
        <is>
          <t>-1</t>
        </is>
      </c>
      <c r="G28" t="inlineStr">
        <is>
          <t>-1</t>
        </is>
      </c>
    </row>
    <row r="29">
      <c r="A29" t="inlineStr">
        <is>
          <t>- 1</t>
        </is>
      </c>
      <c r="B29" t="inlineStr">
        <is>
          <t>-1</t>
        </is>
      </c>
      <c r="C29" t="inlineStr">
        <is>
          <t>-1</t>
        </is>
      </c>
      <c r="D29" t="inlineStr">
        <is>
          <t>-1</t>
        </is>
      </c>
      <c r="E29" t="inlineStr">
        <is>
          <t>-1</t>
        </is>
      </c>
      <c r="F29" t="inlineStr">
        <is>
          <t>-1</t>
        </is>
      </c>
      <c r="G29" t="inlineStr">
        <is>
          <t>-1</t>
        </is>
      </c>
    </row>
    <row r="30">
      <c r="A30" t="inlineStr">
        <is>
          <t>- 1</t>
        </is>
      </c>
      <c r="B30" t="inlineStr">
        <is>
          <t>-1</t>
        </is>
      </c>
      <c r="C30" t="inlineStr">
        <is>
          <t>-1</t>
        </is>
      </c>
      <c r="D30" t="inlineStr">
        <is>
          <t>-1</t>
        </is>
      </c>
      <c r="E30" t="inlineStr">
        <is>
          <t>-1</t>
        </is>
      </c>
      <c r="F30" t="inlineStr">
        <is>
          <t>-1</t>
        </is>
      </c>
      <c r="G30" t="inlineStr">
        <is>
          <t>-1</t>
        </is>
      </c>
    </row>
    <row r="31">
      <c r="A31" t="inlineStr">
        <is>
          <t>- 1</t>
        </is>
      </c>
      <c r="B31" t="inlineStr">
        <is>
          <t>-1</t>
        </is>
      </c>
      <c r="C31" t="inlineStr">
        <is>
          <t>-1</t>
        </is>
      </c>
      <c r="D31" t="inlineStr">
        <is>
          <t>-1</t>
        </is>
      </c>
      <c r="E31" t="inlineStr">
        <is>
          <t>-1</t>
        </is>
      </c>
      <c r="F31" t="inlineStr">
        <is>
          <t>-1</t>
        </is>
      </c>
      <c r="G31" t="inlineStr">
        <is>
          <t>-1</t>
        </is>
      </c>
    </row>
    <row r="32">
      <c r="A32" t="inlineStr">
        <is>
          <t>- 1</t>
        </is>
      </c>
      <c r="B32" t="inlineStr">
        <is>
          <t>-1</t>
        </is>
      </c>
      <c r="C32" t="inlineStr">
        <is>
          <t>-1</t>
        </is>
      </c>
      <c r="D32" t="inlineStr">
        <is>
          <t>-1</t>
        </is>
      </c>
      <c r="E32" t="inlineStr">
        <is>
          <t>-1</t>
        </is>
      </c>
      <c r="F32" t="inlineStr">
        <is>
          <t>-1</t>
        </is>
      </c>
      <c r="G32" t="inlineStr">
        <is>
          <t>-1</t>
        </is>
      </c>
    </row>
    <row r="33">
      <c r="A33" t="inlineStr">
        <is>
          <t>- 1</t>
        </is>
      </c>
      <c r="B33" t="inlineStr">
        <is>
          <t>-1</t>
        </is>
      </c>
      <c r="C33" t="inlineStr">
        <is>
          <t>-1</t>
        </is>
      </c>
      <c r="D33" t="inlineStr">
        <is>
          <t>-1</t>
        </is>
      </c>
      <c r="E33" t="inlineStr">
        <is>
          <t>-1</t>
        </is>
      </c>
      <c r="F33" t="inlineStr">
        <is>
          <t>-1</t>
        </is>
      </c>
      <c r="G33" t="inlineStr">
        <is>
          <t>-1</t>
        </is>
      </c>
    </row>
    <row r="34">
      <c r="A34" t="inlineStr">
        <is>
          <t>- 1</t>
        </is>
      </c>
      <c r="B34" t="inlineStr">
        <is>
          <t>-1</t>
        </is>
      </c>
      <c r="C34" t="inlineStr">
        <is>
          <t>-1</t>
        </is>
      </c>
      <c r="D34" t="inlineStr">
        <is>
          <t>-1</t>
        </is>
      </c>
      <c r="E34" t="inlineStr">
        <is>
          <t>-1</t>
        </is>
      </c>
      <c r="F34" t="inlineStr">
        <is>
          <t>-1</t>
        </is>
      </c>
      <c r="G34" t="inlineStr">
        <is>
          <t>-1</t>
        </is>
      </c>
    </row>
    <row r="35">
      <c r="A35" t="inlineStr">
        <is>
          <t>- 1</t>
        </is>
      </c>
      <c r="B35" t="inlineStr">
        <is>
          <t>-1</t>
        </is>
      </c>
      <c r="C35" t="inlineStr">
        <is>
          <t>-1</t>
        </is>
      </c>
      <c r="D35" t="inlineStr">
        <is>
          <t>-1</t>
        </is>
      </c>
      <c r="E35" t="inlineStr">
        <is>
          <t>-1</t>
        </is>
      </c>
      <c r="F35" t="inlineStr">
        <is>
          <t>-1</t>
        </is>
      </c>
      <c r="G35" t="inlineStr">
        <is>
          <t>-1</t>
        </is>
      </c>
    </row>
    <row r="36">
      <c r="A36" t="inlineStr">
        <is>
          <t>$keyLogFmu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#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- 1</t>
        </is>
      </c>
      <c r="B38" t="inlineStr">
        <is>
          <t>-1</t>
        </is>
      </c>
      <c r="C38" t="inlineStr">
        <is>
          <t>-1</t>
        </is>
      </c>
      <c r="D38" t="inlineStr">
        <is>
          <t>-1</t>
        </is>
      </c>
      <c r="E38" t="inlineStr">
        <is>
          <t>-1</t>
        </is>
      </c>
      <c r="F38" t="inlineStr">
        <is>
          <t>-1</t>
        </is>
      </c>
      <c r="G38" t="inlineStr">
        <is>
          <t>-1</t>
        </is>
      </c>
    </row>
    <row r="39">
      <c r="A39" t="inlineStr">
        <is>
          <t>- 1</t>
        </is>
      </c>
      <c r="B39" t="inlineStr">
        <is>
          <t>-1</t>
        </is>
      </c>
      <c r="C39" t="inlineStr">
        <is>
          <t>-1</t>
        </is>
      </c>
      <c r="D39" t="inlineStr">
        <is>
          <t>-1</t>
        </is>
      </c>
      <c r="E39" t="inlineStr">
        <is>
          <t>-1</t>
        </is>
      </c>
      <c r="F39" t="inlineStr">
        <is>
          <t>-1</t>
        </is>
      </c>
      <c r="G39" t="inlineStr">
        <is>
          <t>-1</t>
        </is>
      </c>
    </row>
    <row r="40">
      <c r="A40" t="inlineStr">
        <is>
          <t>- 1</t>
        </is>
      </c>
      <c r="B40" t="inlineStr">
        <is>
          <t>-1</t>
        </is>
      </c>
      <c r="C40" t="inlineStr">
        <is>
          <t>-1</t>
        </is>
      </c>
      <c r="D40" t="inlineStr">
        <is>
          <t>-1</t>
        </is>
      </c>
      <c r="E40" t="inlineStr">
        <is>
          <t>-1</t>
        </is>
      </c>
      <c r="F40" t="inlineStr">
        <is>
          <t>-1</t>
        </is>
      </c>
      <c r="G40" t="inlineStr">
        <is>
          <t>-1</t>
        </is>
      </c>
    </row>
    <row r="41">
      <c r="A41" t="inlineStr">
        <is>
          <t>- 1</t>
        </is>
      </c>
      <c r="B41" t="inlineStr">
        <is>
          <t>-1</t>
        </is>
      </c>
      <c r="C41" t="inlineStr">
        <is>
          <t>-1</t>
        </is>
      </c>
      <c r="D41" t="inlineStr">
        <is>
          <t>-1</t>
        </is>
      </c>
      <c r="E41" t="inlineStr">
        <is>
          <t>-1</t>
        </is>
      </c>
      <c r="F41" t="inlineStr">
        <is>
          <t>-1</t>
        </is>
      </c>
      <c r="G41" t="inlineStr">
        <is>
          <t>-1</t>
        </is>
      </c>
    </row>
    <row r="42">
      <c r="A42" t="inlineStr">
        <is>
          <t>- 1</t>
        </is>
      </c>
      <c r="B42" t="inlineStr">
        <is>
          <t>-1</t>
        </is>
      </c>
      <c r="C42" t="inlineStr">
        <is>
          <t>-1</t>
        </is>
      </c>
      <c r="D42" t="inlineStr">
        <is>
          <t>-1</t>
        </is>
      </c>
      <c r="E42" t="inlineStr">
        <is>
          <t>-1</t>
        </is>
      </c>
      <c r="F42" t="inlineStr">
        <is>
          <t>-1</t>
        </is>
      </c>
      <c r="G42" t="inlineStr">
        <is>
          <t>-1</t>
        </is>
      </c>
    </row>
    <row r="43">
      <c r="A43" t="inlineStr">
        <is>
          <t>ICES</t>
        </is>
      </c>
      <c r="B43" t="inlineStr">
        <is>
          <t>| WGNSSK</t>
        </is>
      </c>
      <c r="C43" t="inlineStr">
        <is>
          <t>2025</t>
        </is>
      </c>
      <c r="D43" t="inlineStr">
        <is>
          <t>| 145</t>
        </is>
      </c>
      <c r="E43" t="inlineStr"/>
      <c r="F43" t="inlineStr"/>
      <c r="G43" t="inlineStr"/>
    </row>
    <row r="44">
      <c r="A44" t="inlineStr">
        <is>
          <t>- 1</t>
        </is>
      </c>
      <c r="B44" t="inlineStr">
        <is>
          <t>-1</t>
        </is>
      </c>
      <c r="C44" t="inlineStr">
        <is>
          <t>-1</t>
        </is>
      </c>
      <c r="D44" t="inlineStr">
        <is>
          <t>-1</t>
        </is>
      </c>
      <c r="E44" t="inlineStr">
        <is>
          <t>-1</t>
        </is>
      </c>
      <c r="F44" t="inlineStr">
        <is>
          <t>-1</t>
        </is>
      </c>
      <c r="G44" t="inlineStr">
        <is>
          <t>-1</t>
        </is>
      </c>
    </row>
    <row r="45">
      <c r="A45" t="inlineStr">
        <is>
          <t>- 1</t>
        </is>
      </c>
      <c r="B45" t="inlineStr">
        <is>
          <t>-1</t>
        </is>
      </c>
      <c r="C45" t="inlineStr">
        <is>
          <t>-1</t>
        </is>
      </c>
      <c r="D45" t="inlineStr">
        <is>
          <t>-1</t>
        </is>
      </c>
      <c r="E45" t="inlineStr">
        <is>
          <t>-1</t>
        </is>
      </c>
      <c r="F45" t="inlineStr">
        <is>
          <t>-1</t>
        </is>
      </c>
      <c r="G45" t="inlineStr">
        <is>
          <t>-1</t>
        </is>
      </c>
    </row>
    <row r="46">
      <c r="A46" t="inlineStr">
        <is>
          <t>- 1</t>
        </is>
      </c>
      <c r="B46" t="inlineStr">
        <is>
          <t>-1</t>
        </is>
      </c>
      <c r="C46" t="inlineStr">
        <is>
          <t>-1</t>
        </is>
      </c>
      <c r="D46" t="inlineStr">
        <is>
          <t>-1</t>
        </is>
      </c>
      <c r="E46" t="inlineStr">
        <is>
          <t>-1</t>
        </is>
      </c>
      <c r="F46" t="inlineStr">
        <is>
          <t>-1</t>
        </is>
      </c>
      <c r="G46" t="inlineStr">
        <is>
          <t>-1</t>
        </is>
      </c>
    </row>
    <row r="47">
      <c r="A47" t="inlineStr">
        <is>
          <t>- 1</t>
        </is>
      </c>
      <c r="B47" t="inlineStr">
        <is>
          <t>-1</t>
        </is>
      </c>
      <c r="C47" t="inlineStr">
        <is>
          <t>-1</t>
        </is>
      </c>
      <c r="D47" t="inlineStr">
        <is>
          <t>-1</t>
        </is>
      </c>
      <c r="E47" t="inlineStr">
        <is>
          <t>-1</t>
        </is>
      </c>
      <c r="F47" t="inlineStr">
        <is>
          <t>-1</t>
        </is>
      </c>
      <c r="G47" t="inlineStr">
        <is>
          <t>-1</t>
        </is>
      </c>
    </row>
    <row r="48">
      <c r="A48" t="inlineStr">
        <is>
          <t>- 1</t>
        </is>
      </c>
      <c r="B48" t="inlineStr">
        <is>
          <t>-1</t>
        </is>
      </c>
      <c r="C48" t="inlineStr">
        <is>
          <t>-1</t>
        </is>
      </c>
      <c r="D48" t="inlineStr">
        <is>
          <t>-1</t>
        </is>
      </c>
      <c r="E48" t="inlineStr">
        <is>
          <t>-1</t>
        </is>
      </c>
      <c r="F48" t="inlineStr">
        <is>
          <t>-1</t>
        </is>
      </c>
      <c r="G48" t="inlineStr">
        <is>
          <t>-1</t>
        </is>
      </c>
    </row>
    <row r="49">
      <c r="A49" t="inlineStr">
        <is>
          <t>$keyLogFrho</t>
        </is>
      </c>
      <c r="B49" t="inlineStr"/>
      <c r="C49" t="inlineStr"/>
      <c r="D49" t="inlineStr"/>
      <c r="E49" t="inlineStr"/>
      <c r="F49" t="inlineStr"/>
      <c r="G49" t="inlineStr"/>
    </row>
    <row r="50">
      <c r="A50" t="inlineStr">
        <is>
          <t>#</t>
        </is>
      </c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- 1</t>
        </is>
      </c>
      <c r="B51" t="inlineStr">
        <is>
          <t>-1</t>
        </is>
      </c>
      <c r="C51" t="inlineStr">
        <is>
          <t>-1</t>
        </is>
      </c>
      <c r="D51" t="inlineStr">
        <is>
          <t>-1</t>
        </is>
      </c>
      <c r="E51" t="inlineStr">
        <is>
          <t>-1</t>
        </is>
      </c>
      <c r="F51" t="inlineStr">
        <is>
          <t>-1</t>
        </is>
      </c>
      <c r="G51" t="inlineStr">
        <is>
          <t>-1</t>
        </is>
      </c>
    </row>
    <row r="52">
      <c r="A52" t="inlineStr">
        <is>
          <t>- 1</t>
        </is>
      </c>
      <c r="B52" t="inlineStr">
        <is>
          <t>-1</t>
        </is>
      </c>
      <c r="C52" t="inlineStr">
        <is>
          <t>-1</t>
        </is>
      </c>
      <c r="D52" t="inlineStr">
        <is>
          <t>-1</t>
        </is>
      </c>
      <c r="E52" t="inlineStr">
        <is>
          <t>-1</t>
        </is>
      </c>
      <c r="F52" t="inlineStr">
        <is>
          <t>-1</t>
        </is>
      </c>
      <c r="G52" t="inlineStr">
        <is>
          <t>-1</t>
        </is>
      </c>
    </row>
    <row r="53">
      <c r="A53" t="inlineStr">
        <is>
          <t>- 1</t>
        </is>
      </c>
      <c r="B53" t="inlineStr">
        <is>
          <t>-1</t>
        </is>
      </c>
      <c r="C53" t="inlineStr">
        <is>
          <t>-1</t>
        </is>
      </c>
      <c r="D53" t="inlineStr">
        <is>
          <t>-1</t>
        </is>
      </c>
      <c r="E53" t="inlineStr">
        <is>
          <t>-1</t>
        </is>
      </c>
      <c r="F53" t="inlineStr">
        <is>
          <t>-1</t>
        </is>
      </c>
      <c r="G53" t="inlineStr">
        <is>
          <t>-1</t>
        </is>
      </c>
    </row>
    <row r="54">
      <c r="A54" t="inlineStr">
        <is>
          <t>- 1</t>
        </is>
      </c>
      <c r="B54" t="inlineStr">
        <is>
          <t>-1</t>
        </is>
      </c>
      <c r="C54" t="inlineStr">
        <is>
          <t>-1</t>
        </is>
      </c>
      <c r="D54" t="inlineStr">
        <is>
          <t>-1</t>
        </is>
      </c>
      <c r="E54" t="inlineStr">
        <is>
          <t>-1</t>
        </is>
      </c>
      <c r="F54" t="inlineStr">
        <is>
          <t>-1</t>
        </is>
      </c>
      <c r="G54" t="inlineStr">
        <is>
          <t>-1</t>
        </is>
      </c>
    </row>
    <row r="55">
      <c r="A55" t="inlineStr">
        <is>
          <t>- 1</t>
        </is>
      </c>
      <c r="B55" t="inlineStr">
        <is>
          <t>-1</t>
        </is>
      </c>
      <c r="C55" t="inlineStr">
        <is>
          <t>-1</t>
        </is>
      </c>
      <c r="D55" t="inlineStr">
        <is>
          <t>-1</t>
        </is>
      </c>
      <c r="E55" t="inlineStr">
        <is>
          <t>-1</t>
        </is>
      </c>
      <c r="F55" t="inlineStr">
        <is>
          <t>-1</t>
        </is>
      </c>
      <c r="G55" t="inlineStr">
        <is>
          <t>-1</t>
        </is>
      </c>
    </row>
    <row r="56">
      <c r="A56" t="inlineStr">
        <is>
          <t>- 1</t>
        </is>
      </c>
      <c r="B56" t="inlineStr">
        <is>
          <t>-1</t>
        </is>
      </c>
      <c r="C56" t="inlineStr">
        <is>
          <t>-1</t>
        </is>
      </c>
      <c r="D56" t="inlineStr">
        <is>
          <t>-1</t>
        </is>
      </c>
      <c r="E56" t="inlineStr">
        <is>
          <t>-1</t>
        </is>
      </c>
      <c r="F56" t="inlineStr">
        <is>
          <t>-1</t>
        </is>
      </c>
      <c r="G56" t="inlineStr">
        <is>
          <t>-1</t>
        </is>
      </c>
    </row>
    <row r="57">
      <c r="A57" t="inlineStr">
        <is>
          <t>- 1</t>
        </is>
      </c>
      <c r="B57" t="inlineStr">
        <is>
          <t>-1</t>
        </is>
      </c>
      <c r="C57" t="inlineStr">
        <is>
          <t>-1</t>
        </is>
      </c>
      <c r="D57" t="inlineStr">
        <is>
          <t>-1</t>
        </is>
      </c>
      <c r="E57" t="inlineStr">
        <is>
          <t>-1</t>
        </is>
      </c>
      <c r="F57" t="inlineStr">
        <is>
          <t>-1</t>
        </is>
      </c>
      <c r="G57" t="inlineStr">
        <is>
          <t>-1</t>
        </is>
      </c>
    </row>
    <row r="58">
      <c r="A58" t="inlineStr">
        <is>
          <t>- 1</t>
        </is>
      </c>
      <c r="B58" t="inlineStr">
        <is>
          <t>-1</t>
        </is>
      </c>
      <c r="C58" t="inlineStr">
        <is>
          <t>-1</t>
        </is>
      </c>
      <c r="D58" t="inlineStr">
        <is>
          <t>-1</t>
        </is>
      </c>
      <c r="E58" t="inlineStr">
        <is>
          <t>-1</t>
        </is>
      </c>
      <c r="F58" t="inlineStr">
        <is>
          <t>-1</t>
        </is>
      </c>
      <c r="G58" t="inlineStr">
        <is>
          <t>-1</t>
        </is>
      </c>
    </row>
    <row r="59">
      <c r="A59" t="inlineStr">
        <is>
          <t>- 1</t>
        </is>
      </c>
      <c r="B59" t="inlineStr">
        <is>
          <t>-1</t>
        </is>
      </c>
      <c r="C59" t="inlineStr">
        <is>
          <t>-1</t>
        </is>
      </c>
      <c r="D59" t="inlineStr">
        <is>
          <t>-1</t>
        </is>
      </c>
      <c r="E59" t="inlineStr">
        <is>
          <t>-1</t>
        </is>
      </c>
      <c r="F59" t="inlineStr">
        <is>
          <t>-1</t>
        </is>
      </c>
      <c r="G59" t="inlineStr">
        <is>
          <t>-1</t>
        </is>
      </c>
    </row>
    <row r="60">
      <c r="A60" t="inlineStr">
        <is>
          <t>- 1</t>
        </is>
      </c>
      <c r="B60" t="inlineStr">
        <is>
          <t>-1</t>
        </is>
      </c>
      <c r="C60" t="inlineStr">
        <is>
          <t>-1</t>
        </is>
      </c>
      <c r="D60" t="inlineStr">
        <is>
          <t>-1</t>
        </is>
      </c>
      <c r="E60" t="inlineStr">
        <is>
          <t>-1</t>
        </is>
      </c>
      <c r="F60" t="inlineStr">
        <is>
          <t>-1</t>
        </is>
      </c>
      <c r="G60" t="inlineStr">
        <is>
          <t>-1</t>
        </is>
      </c>
    </row>
    <row r="61">
      <c r="A61" t="inlineStr">
        <is>
          <t>$corFlag</t>
        </is>
      </c>
      <c r="B61" t="inlineStr"/>
      <c r="C61" t="inlineStr"/>
      <c r="D61" t="inlineStr"/>
      <c r="E61" t="inlineStr"/>
      <c r="F61" t="inlineStr"/>
      <c r="G61" t="inlineStr"/>
    </row>
    <row r="62">
      <c r="A62" t="inlineStr">
        <is>
          <t># Correlation</t>
        </is>
      </c>
      <c r="B62" t="inlineStr">
        <is>
          <t>of fishing mortality</t>
        </is>
      </c>
      <c r="C62" t="inlineStr">
        <is>
          <t>across ages (0 independent,</t>
        </is>
      </c>
      <c r="D62" t="inlineStr">
        <is>
          <t>1 compound</t>
        </is>
      </c>
      <c r="E62" t="inlineStr">
        <is>
          <t>symmetry,</t>
        </is>
      </c>
      <c r="F62" t="inlineStr"/>
      <c r="G62" t="inlineStr"/>
    </row>
    <row r="63">
      <c r="A63" t="inlineStr">
        <is>
          <t># 2 AR(1), 3 separable</t>
        </is>
      </c>
      <c r="B63" t="inlineStr">
        <is>
          <t>AR(1).</t>
        </is>
      </c>
      <c r="C63" t="inlineStr"/>
      <c r="D63" t="inlineStr"/>
      <c r="E63" t="inlineStr"/>
      <c r="F63" t="inlineStr"/>
      <c r="G63" t="inlineStr"/>
    </row>
    <row r="64">
      <c r="A64" t="inlineStr">
        <is>
          <t># 0: independent</t>
        </is>
      </c>
      <c r="B64" t="inlineStr">
        <is>
          <t>means there is no correlation</t>
        </is>
      </c>
      <c r="C64" t="inlineStr">
        <is>
          <t>between F across age</t>
        </is>
      </c>
      <c r="D64" t="inlineStr"/>
      <c r="E64" t="inlineStr"/>
      <c r="F64" t="inlineStr"/>
      <c r="G64" t="inlineStr"/>
    </row>
    <row r="65">
      <c r="A65" t="inlineStr">
        <is>
          <t># 1: compound</t>
        </is>
      </c>
      <c r="B65" t="inlineStr">
        <is>
          <t>symmetry</t>
        </is>
      </c>
      <c r="C65" t="inlineStr">
        <is>
          <t>means that all ages are equally correlated;</t>
        </is>
      </c>
      <c r="D65" t="inlineStr"/>
      <c r="E65" t="inlineStr"/>
      <c r="F65" t="inlineStr"/>
      <c r="G65" t="inlineStr"/>
    </row>
    <row r="66">
      <c r="A66" t="inlineStr">
        <is>
          <t># 2: AR(1) first order autoregressive</t>
        </is>
      </c>
      <c r="B66" t="inlineStr">
        <is>
          <t>- similar ages are more highly correlated</t>
        </is>
      </c>
      <c r="C66" t="inlineStr">
        <is>
          <t>than</t>
        </is>
      </c>
      <c r="D66" t="inlineStr"/>
      <c r="E66" t="inlineStr"/>
      <c r="F66" t="inlineStr"/>
      <c r="G66" t="inlineStr"/>
    </row>
    <row r="67">
      <c r="A67" t="inlineStr">
        <is>
          <t># ages that are further apart, so similar ages have similar F patterns</t>
        </is>
      </c>
      <c r="B67" t="inlineStr">
        <is>
          <t>over time.</t>
        </is>
      </c>
      <c r="C67" t="inlineStr"/>
      <c r="D67" t="inlineStr"/>
      <c r="E67" t="inlineStr"/>
      <c r="F67" t="inlineStr"/>
      <c r="G67" t="inlineStr"/>
    </row>
    <row r="68">
      <c r="A68" t="inlineStr">
        <is>
          <t># if the estimated</t>
        </is>
      </c>
      <c r="B68" t="inlineStr">
        <is>
          <t>correlation</t>
        </is>
      </c>
      <c r="C68" t="inlineStr">
        <is>
          <t>is high, then the F pattern over time for each age</t>
        </is>
      </c>
      <c r="D68" t="inlineStr"/>
      <c r="E68" t="inlineStr"/>
      <c r="F68" t="inlineStr"/>
      <c r="G68" t="inlineStr"/>
    </row>
    <row r="69">
      <c r="A69" t="inlineStr">
        <is>
          <t># varies in a similar way. E.g if almost one, then they are parallel</t>
        </is>
      </c>
      <c r="B69" t="inlineStr">
        <is>
          <t>(like a</t>
        </is>
      </c>
      <c r="C69" t="inlineStr"/>
      <c r="D69" t="inlineStr"/>
      <c r="E69" t="inlineStr"/>
      <c r="F69" t="inlineStr"/>
      <c r="G69" t="inlineStr"/>
    </row>
    <row r="70">
      <c r="A70" t="inlineStr">
        <is>
          <t># separable</t>
        </is>
      </c>
      <c r="B70" t="inlineStr">
        <is>
          <t>model) and if almost zero then they are independent.</t>
        </is>
      </c>
      <c r="C70" t="inlineStr"/>
      <c r="D70" t="inlineStr"/>
      <c r="E70" t="inlineStr"/>
      <c r="F70" t="inlineStr"/>
      <c r="G70" t="inlineStr"/>
    </row>
    <row r="71">
      <c r="A71" t="inlineStr">
        <is>
          <t># 3: Separable</t>
        </is>
      </c>
      <c r="B71" t="inlineStr">
        <is>
          <t>AR - Included</t>
        </is>
      </c>
      <c r="C71" t="inlineStr">
        <is>
          <t>for historic</t>
        </is>
      </c>
      <c r="D71" t="inlineStr">
        <is>
          <t>reasons . . .</t>
        </is>
      </c>
      <c r="E71" t="inlineStr">
        <is>
          <t>more later</t>
        </is>
      </c>
      <c r="F71" t="inlineStr"/>
      <c r="G71" t="inlineStr"/>
    </row>
    <row r="72">
      <c r="A72" t="inlineStr">
        <is>
          <t>2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>
        <is>
          <t>$keyLogFpar</t>
        </is>
      </c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# Coupling</t>
        </is>
      </c>
      <c r="B74" t="inlineStr">
        <is>
          <t>of the survey catchability</t>
        </is>
      </c>
      <c r="C74" t="inlineStr">
        <is>
          <t>parameters</t>
        </is>
      </c>
      <c r="D74" t="inlineStr">
        <is>
          <t>(nomally</t>
        </is>
      </c>
      <c r="E74" t="inlineStr">
        <is>
          <t>first row is</t>
        </is>
      </c>
      <c r="F74" t="inlineStr"/>
      <c r="G74" t="inlineStr"/>
    </row>
    <row r="75">
      <c r="A75" t="inlineStr">
        <is>
          <t># not used, as that is covered by fishing mortality).</t>
        </is>
      </c>
      <c r="B75" t="inlineStr"/>
      <c r="C75" t="inlineStr"/>
      <c r="D75" t="inlineStr"/>
      <c r="E75" t="inlineStr"/>
      <c r="F75" t="inlineStr"/>
      <c r="G75" t="inlineStr"/>
    </row>
    <row r="76">
      <c r="A76" t="inlineStr">
        <is>
          <t>- 1</t>
        </is>
      </c>
      <c r="B76" t="inlineStr">
        <is>
          <t>-1</t>
        </is>
      </c>
      <c r="C76" t="inlineStr">
        <is>
          <t>-1</t>
        </is>
      </c>
      <c r="D76" t="inlineStr">
        <is>
          <t>-1</t>
        </is>
      </c>
      <c r="E76" t="inlineStr">
        <is>
          <t>-1</t>
        </is>
      </c>
      <c r="F76" t="inlineStr">
        <is>
          <t>-1</t>
        </is>
      </c>
      <c r="G76" t="inlineStr">
        <is>
          <t>-1</t>
        </is>
      </c>
    </row>
    <row r="77">
      <c r="A77" t="inlineStr">
        <is>
          <t>0</t>
        </is>
      </c>
      <c r="B77" t="inlineStr">
        <is>
          <t>1</t>
        </is>
      </c>
      <c r="C77" t="inlineStr">
        <is>
          <t>2</t>
        </is>
      </c>
      <c r="D77" t="inlineStr">
        <is>
          <t>3</t>
        </is>
      </c>
      <c r="E77" t="inlineStr">
        <is>
          <t>3</t>
        </is>
      </c>
      <c r="F77" t="inlineStr">
        <is>
          <t>4</t>
        </is>
      </c>
      <c r="G77" t="inlineStr">
        <is>
          <t>4</t>
        </is>
      </c>
    </row>
    <row r="78">
      <c r="A78" t="inlineStr">
        <is>
          <t>5</t>
        </is>
      </c>
      <c r="B78" t="inlineStr">
        <is>
          <t>6</t>
        </is>
      </c>
      <c r="C78" t="inlineStr">
        <is>
          <t>7</t>
        </is>
      </c>
      <c r="D78" t="inlineStr">
        <is>
          <t>7</t>
        </is>
      </c>
      <c r="E78" t="inlineStr">
        <is>
          <t>7</t>
        </is>
      </c>
      <c r="F78" t="inlineStr">
        <is>
          <t>8</t>
        </is>
      </c>
      <c r="G78" t="inlineStr">
        <is>
          <t>9</t>
        </is>
      </c>
    </row>
    <row r="79">
      <c r="A79" t="inlineStr">
        <is>
          <t>1 0</t>
        </is>
      </c>
      <c r="B79" t="inlineStr">
        <is>
          <t>11</t>
        </is>
      </c>
      <c r="C79" t="inlineStr">
        <is>
          <t>12</t>
        </is>
      </c>
      <c r="D79" t="inlineStr">
        <is>
          <t>13</t>
        </is>
      </c>
      <c r="E79" t="inlineStr">
        <is>
          <t>14</t>
        </is>
      </c>
      <c r="F79" t="inlineStr">
        <is>
          <t>15</t>
        </is>
      </c>
      <c r="G79" t="inlineStr">
        <is>
          <t>15</t>
        </is>
      </c>
    </row>
    <row r="80">
      <c r="A80" t="inlineStr">
        <is>
          <t>1 6</t>
        </is>
      </c>
      <c r="B80" t="inlineStr">
        <is>
          <t>17</t>
        </is>
      </c>
      <c r="C80" t="inlineStr">
        <is>
          <t>17</t>
        </is>
      </c>
      <c r="D80" t="inlineStr">
        <is>
          <t>17</t>
        </is>
      </c>
      <c r="E80" t="inlineStr">
        <is>
          <t>17</t>
        </is>
      </c>
      <c r="F80" t="inlineStr">
        <is>
          <t>17</t>
        </is>
      </c>
      <c r="G80" t="inlineStr">
        <is>
          <t>17</t>
        </is>
      </c>
    </row>
    <row r="81">
      <c r="A81" t="inlineStr">
        <is>
          <t>1 8</t>
        </is>
      </c>
      <c r="B81" t="inlineStr">
        <is>
          <t>-1</t>
        </is>
      </c>
      <c r="C81" t="inlineStr">
        <is>
          <t>-1</t>
        </is>
      </c>
      <c r="D81" t="inlineStr">
        <is>
          <t>-1</t>
        </is>
      </c>
      <c r="E81" t="inlineStr">
        <is>
          <t>-1</t>
        </is>
      </c>
      <c r="F81" t="inlineStr">
        <is>
          <t>-1</t>
        </is>
      </c>
      <c r="G81" t="inlineStr">
        <is>
          <t>-1</t>
        </is>
      </c>
    </row>
    <row r="82">
      <c r="A82" t="inlineStr">
        <is>
          <t>1 9</t>
        </is>
      </c>
      <c r="B82" t="inlineStr">
        <is>
          <t>-1</t>
        </is>
      </c>
      <c r="C82" t="inlineStr">
        <is>
          <t>-1</t>
        </is>
      </c>
      <c r="D82" t="inlineStr">
        <is>
          <t>-1</t>
        </is>
      </c>
      <c r="E82" t="inlineStr">
        <is>
          <t>-1</t>
        </is>
      </c>
      <c r="F82" t="inlineStr">
        <is>
          <t>-1</t>
        </is>
      </c>
      <c r="G82" t="inlineStr">
        <is>
          <t>-1</t>
        </is>
      </c>
    </row>
    <row r="83">
      <c r="A83" t="inlineStr">
        <is>
          <t>2 0</t>
        </is>
      </c>
      <c r="B83" t="inlineStr">
        <is>
          <t>-1</t>
        </is>
      </c>
      <c r="C83" t="inlineStr">
        <is>
          <t>-1</t>
        </is>
      </c>
      <c r="D83" t="inlineStr">
        <is>
          <t>-1</t>
        </is>
      </c>
      <c r="E83" t="inlineStr">
        <is>
          <t>-1</t>
        </is>
      </c>
      <c r="F83" t="inlineStr">
        <is>
          <t>-1</t>
        </is>
      </c>
      <c r="G83" t="inlineStr">
        <is>
          <t>-1</t>
        </is>
      </c>
    </row>
    <row r="84">
      <c r="A84" t="inlineStr">
        <is>
          <t>- 1</t>
        </is>
      </c>
      <c r="B84" t="inlineStr">
        <is>
          <t>-1</t>
        </is>
      </c>
      <c r="C84" t="inlineStr">
        <is>
          <t>-1</t>
        </is>
      </c>
      <c r="D84" t="inlineStr">
        <is>
          <t>-1</t>
        </is>
      </c>
      <c r="E84" t="inlineStr">
        <is>
          <t>-1</t>
        </is>
      </c>
      <c r="F84" t="inlineStr">
        <is>
          <t>-1</t>
        </is>
      </c>
      <c r="G84" t="inlineStr">
        <is>
          <t>-1</t>
        </is>
      </c>
    </row>
    <row r="85">
      <c r="A85" t="inlineStr">
        <is>
          <t>- 1</t>
        </is>
      </c>
      <c r="B85" t="inlineStr">
        <is>
          <t>-1</t>
        </is>
      </c>
      <c r="C85" t="inlineStr">
        <is>
          <t>-1</t>
        </is>
      </c>
      <c r="D85" t="inlineStr">
        <is>
          <t>-1</t>
        </is>
      </c>
      <c r="E85" t="inlineStr">
        <is>
          <t>-1</t>
        </is>
      </c>
      <c r="F85" t="inlineStr">
        <is>
          <t>-1</t>
        </is>
      </c>
      <c r="G85" t="inlineStr">
        <is>
          <t>-1</t>
        </is>
      </c>
    </row>
    <row r="86">
      <c r="A86" t="inlineStr">
        <is>
          <t>$keyQpow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# Density dependent</t>
        </is>
      </c>
      <c r="B87" t="inlineStr">
        <is>
          <t>catchability</t>
        </is>
      </c>
      <c r="C87" t="inlineStr">
        <is>
          <t>power parameters</t>
        </is>
      </c>
      <c r="D87" t="inlineStr">
        <is>
          <t>(if any).</t>
        </is>
      </c>
      <c r="E87" t="inlineStr"/>
      <c r="F87" t="inlineStr"/>
      <c r="G87" t="inlineStr"/>
    </row>
    <row r="88">
      <c r="A88" t="inlineStr">
        <is>
          <t>- 1</t>
        </is>
      </c>
      <c r="B88" t="inlineStr">
        <is>
          <t>-1</t>
        </is>
      </c>
      <c r="C88" t="inlineStr">
        <is>
          <t>-1</t>
        </is>
      </c>
      <c r="D88" t="inlineStr">
        <is>
          <t>-1</t>
        </is>
      </c>
      <c r="E88" t="inlineStr">
        <is>
          <t>-1</t>
        </is>
      </c>
      <c r="F88" t="inlineStr">
        <is>
          <t>-1</t>
        </is>
      </c>
      <c r="G88" t="inlineStr">
        <is>
          <t>-1</t>
        </is>
      </c>
    </row>
    <row r="89">
      <c r="A89" t="inlineStr">
        <is>
          <t>- 1</t>
        </is>
      </c>
      <c r="B89" t="inlineStr">
        <is>
          <t>-1</t>
        </is>
      </c>
      <c r="C89" t="inlineStr">
        <is>
          <t>-1</t>
        </is>
      </c>
      <c r="D89" t="inlineStr">
        <is>
          <t>-1</t>
        </is>
      </c>
      <c r="E89" t="inlineStr">
        <is>
          <t>-1</t>
        </is>
      </c>
      <c r="F89" t="inlineStr">
        <is>
          <t>-1</t>
        </is>
      </c>
      <c r="G89" t="inlineStr">
        <is>
          <t>-1</t>
        </is>
      </c>
    </row>
    <row r="90">
      <c r="A90" t="inlineStr">
        <is>
          <t>- 1</t>
        </is>
      </c>
      <c r="B90" t="inlineStr">
        <is>
          <t>-1</t>
        </is>
      </c>
      <c r="C90" t="inlineStr">
        <is>
          <t>-1</t>
        </is>
      </c>
      <c r="D90" t="inlineStr">
        <is>
          <t>-1</t>
        </is>
      </c>
      <c r="E90" t="inlineStr">
        <is>
          <t>-1</t>
        </is>
      </c>
      <c r="F90" t="inlineStr">
        <is>
          <t>-1</t>
        </is>
      </c>
      <c r="G90" t="inlineStr">
        <is>
          <t>-1</t>
        </is>
      </c>
    </row>
    <row r="91">
      <c r="A91" t="inlineStr">
        <is>
          <t>- 1</t>
        </is>
      </c>
      <c r="B91" t="inlineStr">
        <is>
          <t>-1</t>
        </is>
      </c>
      <c r="C91" t="inlineStr">
        <is>
          <t>-1</t>
        </is>
      </c>
      <c r="D91" t="inlineStr">
        <is>
          <t>-1</t>
        </is>
      </c>
      <c r="E91" t="inlineStr">
        <is>
          <t>-1</t>
        </is>
      </c>
      <c r="F91" t="inlineStr">
        <is>
          <t>-1</t>
        </is>
      </c>
      <c r="G91" t="inlineStr">
        <is>
          <t>-1</t>
        </is>
      </c>
    </row>
    <row r="92">
      <c r="A92" t="inlineStr">
        <is>
          <t>- 1</t>
        </is>
      </c>
      <c r="B92" t="inlineStr">
        <is>
          <t>-1</t>
        </is>
      </c>
      <c r="C92" t="inlineStr">
        <is>
          <t>-1</t>
        </is>
      </c>
      <c r="D92" t="inlineStr">
        <is>
          <t>-1</t>
        </is>
      </c>
      <c r="E92" t="inlineStr">
        <is>
          <t>-1</t>
        </is>
      </c>
      <c r="F92" t="inlineStr">
        <is>
          <t>-1</t>
        </is>
      </c>
      <c r="G92" t="inlineStr">
        <is>
          <t>-1</t>
        </is>
      </c>
    </row>
    <row r="93">
      <c r="A93" t="inlineStr">
        <is>
          <t>- 1</t>
        </is>
      </c>
      <c r="B93" t="inlineStr">
        <is>
          <t>-1</t>
        </is>
      </c>
      <c r="C93" t="inlineStr">
        <is>
          <t>-1</t>
        </is>
      </c>
      <c r="D93" t="inlineStr">
        <is>
          <t>-1</t>
        </is>
      </c>
      <c r="E93" t="inlineStr">
        <is>
          <t>-1</t>
        </is>
      </c>
      <c r="F93" t="inlineStr">
        <is>
          <t>-1</t>
        </is>
      </c>
      <c r="G93" t="inlineStr">
        <is>
          <t>-1</t>
        </is>
      </c>
    </row>
    <row r="94">
      <c r="A94" t="inlineStr">
        <is>
          <t>- 1</t>
        </is>
      </c>
      <c r="B94" t="inlineStr">
        <is>
          <t>-1</t>
        </is>
      </c>
      <c r="C94" t="inlineStr">
        <is>
          <t>-1</t>
        </is>
      </c>
      <c r="D94" t="inlineStr">
        <is>
          <t>-1</t>
        </is>
      </c>
      <c r="E94" t="inlineStr">
        <is>
          <t>-1</t>
        </is>
      </c>
      <c r="F94" t="inlineStr">
        <is>
          <t>-1</t>
        </is>
      </c>
      <c r="G94" t="inlineStr">
        <is>
          <t>-1</t>
        </is>
      </c>
    </row>
    <row r="95">
      <c r="A95" t="inlineStr">
        <is>
          <t>- 1</t>
        </is>
      </c>
      <c r="B95" t="inlineStr">
        <is>
          <t>-1</t>
        </is>
      </c>
      <c r="C95" t="inlineStr">
        <is>
          <t>-1</t>
        </is>
      </c>
      <c r="D95" t="inlineStr">
        <is>
          <t>-1</t>
        </is>
      </c>
      <c r="E95" t="inlineStr">
        <is>
          <t>-1</t>
        </is>
      </c>
      <c r="F95" t="inlineStr">
        <is>
          <t>-1</t>
        </is>
      </c>
      <c r="G95" t="inlineStr">
        <is>
          <t>-1</t>
        </is>
      </c>
    </row>
    <row r="96">
      <c r="A96" t="inlineStr">
        <is>
          <t>- 1</t>
        </is>
      </c>
      <c r="B96" t="inlineStr">
        <is>
          <t>-1</t>
        </is>
      </c>
      <c r="C96" t="inlineStr">
        <is>
          <t>-1</t>
        </is>
      </c>
      <c r="D96" t="inlineStr">
        <is>
          <t>-1</t>
        </is>
      </c>
      <c r="E96" t="inlineStr">
        <is>
          <t>-1</t>
        </is>
      </c>
      <c r="F96" t="inlineStr">
        <is>
          <t>-1</t>
        </is>
      </c>
      <c r="G96" t="inlineStr">
        <is>
          <t>-1</t>
        </is>
      </c>
    </row>
    <row r="97">
      <c r="A97" t="inlineStr">
        <is>
          <t>- 1</t>
        </is>
      </c>
      <c r="B97" t="inlineStr">
        <is>
          <t>-1</t>
        </is>
      </c>
      <c r="C97" t="inlineStr">
        <is>
          <t>-1</t>
        </is>
      </c>
      <c r="D97" t="inlineStr">
        <is>
          <t>-1</t>
        </is>
      </c>
      <c r="E97" t="inlineStr">
        <is>
          <t>-1</t>
        </is>
      </c>
      <c r="F97" t="inlineStr">
        <is>
          <t>-1</t>
        </is>
      </c>
      <c r="G97" t="inlineStr">
        <is>
          <t>-1</t>
        </is>
      </c>
    </row>
    <row r="98">
      <c r="A98" t="inlineStr">
        <is>
          <t>$keyVarF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# Coupling</t>
        </is>
      </c>
      <c r="B99" t="inlineStr">
        <is>
          <t>of process variance</t>
        </is>
      </c>
      <c r="C99" t="inlineStr">
        <is>
          <t>parameters</t>
        </is>
      </c>
      <c r="D99" t="inlineStr">
        <is>
          <t>for log(F)-process (Fishing</t>
        </is>
      </c>
      <c r="E99" t="inlineStr">
        <is>
          <t>mortality</t>
        </is>
      </c>
      <c r="F99" t="inlineStr"/>
      <c r="G99" t="inlineStr"/>
    </row>
    <row r="100">
      <c r="A100" t="inlineStr">
        <is>
          <t># normally</t>
        </is>
      </c>
      <c r="B100" t="inlineStr">
        <is>
          <t>applies to the first (fishing)</t>
        </is>
      </c>
      <c r="C100" t="inlineStr">
        <is>
          <t>fleet; therefore</t>
        </is>
      </c>
      <c r="D100" t="inlineStr">
        <is>
          <t>only first row is used)</t>
        </is>
      </c>
      <c r="E100" t="inlineStr"/>
      <c r="F100" t="inlineStr"/>
      <c r="G100" t="inlineStr"/>
    </row>
    <row r="101">
      <c r="A101" t="inlineStr">
        <is>
          <t>146 | ICES SCIENTIFIC REPORTS 6:38 | ICES</t>
        </is>
      </c>
      <c r="B101" t="inlineStr"/>
      <c r="C101" t="inlineStr"/>
      <c r="D101" t="inlineStr"/>
      <c r="E101" t="inlineStr"/>
      <c r="F101" t="inlineStr"/>
      <c r="G101" t="inlineStr"/>
    </row>
    <row r="102">
      <c r="A102" t="inlineStr">
        <is>
          <t>0</t>
        </is>
      </c>
      <c r="B102" t="inlineStr">
        <is>
          <t>0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</row>
    <row r="103">
      <c r="A103" t="inlineStr">
        <is>
          <t>- 1</t>
        </is>
      </c>
      <c r="B103" t="inlineStr">
        <is>
          <t>-1</t>
        </is>
      </c>
      <c r="C103" t="inlineStr">
        <is>
          <t>-1</t>
        </is>
      </c>
      <c r="D103" t="inlineStr">
        <is>
          <t>-1</t>
        </is>
      </c>
      <c r="E103" t="inlineStr">
        <is>
          <t>-1</t>
        </is>
      </c>
      <c r="F103" t="inlineStr">
        <is>
          <t>-1</t>
        </is>
      </c>
      <c r="G103" t="inlineStr">
        <is>
          <t>-1</t>
        </is>
      </c>
    </row>
    <row r="104">
      <c r="A104" t="inlineStr">
        <is>
          <t>- 1</t>
        </is>
      </c>
      <c r="B104" t="inlineStr">
        <is>
          <t>-1</t>
        </is>
      </c>
      <c r="C104" t="inlineStr">
        <is>
          <t>-1</t>
        </is>
      </c>
      <c r="D104" t="inlineStr">
        <is>
          <t>-1</t>
        </is>
      </c>
      <c r="E104" t="inlineStr">
        <is>
          <t>-1</t>
        </is>
      </c>
      <c r="F104" t="inlineStr">
        <is>
          <t>-1</t>
        </is>
      </c>
      <c r="G104" t="inlineStr">
        <is>
          <t>-1</t>
        </is>
      </c>
    </row>
    <row r="105">
      <c r="A105" t="inlineStr">
        <is>
          <t>- 1</t>
        </is>
      </c>
      <c r="B105" t="inlineStr">
        <is>
          <t>-1</t>
        </is>
      </c>
      <c r="C105" t="inlineStr">
        <is>
          <t>-1</t>
        </is>
      </c>
      <c r="D105" t="inlineStr">
        <is>
          <t>-1</t>
        </is>
      </c>
      <c r="E105" t="inlineStr">
        <is>
          <t>-1</t>
        </is>
      </c>
      <c r="F105" t="inlineStr">
        <is>
          <t>-1</t>
        </is>
      </c>
      <c r="G105" t="inlineStr">
        <is>
          <t>-1</t>
        </is>
      </c>
    </row>
    <row r="106">
      <c r="A106" t="inlineStr">
        <is>
          <t>- 1</t>
        </is>
      </c>
      <c r="B106" t="inlineStr">
        <is>
          <t>-1</t>
        </is>
      </c>
      <c r="C106" t="inlineStr">
        <is>
          <t>-1</t>
        </is>
      </c>
      <c r="D106" t="inlineStr">
        <is>
          <t>-1</t>
        </is>
      </c>
      <c r="E106" t="inlineStr">
        <is>
          <t>-1</t>
        </is>
      </c>
      <c r="F106" t="inlineStr">
        <is>
          <t>-1</t>
        </is>
      </c>
      <c r="G106" t="inlineStr">
        <is>
          <t>-1</t>
        </is>
      </c>
    </row>
    <row r="107">
      <c r="A107" t="inlineStr">
        <is>
          <t>- 1</t>
        </is>
      </c>
      <c r="B107" t="inlineStr">
        <is>
          <t>-1</t>
        </is>
      </c>
      <c r="C107" t="inlineStr">
        <is>
          <t>-1</t>
        </is>
      </c>
      <c r="D107" t="inlineStr">
        <is>
          <t>-1</t>
        </is>
      </c>
      <c r="E107" t="inlineStr">
        <is>
          <t>-1</t>
        </is>
      </c>
      <c r="F107" t="inlineStr">
        <is>
          <t>-1</t>
        </is>
      </c>
      <c r="G107" t="inlineStr">
        <is>
          <t>-1</t>
        </is>
      </c>
    </row>
    <row r="108">
      <c r="A108" t="inlineStr">
        <is>
          <t>- 1</t>
        </is>
      </c>
      <c r="B108" t="inlineStr">
        <is>
          <t>-1</t>
        </is>
      </c>
      <c r="C108" t="inlineStr">
        <is>
          <t>-1</t>
        </is>
      </c>
      <c r="D108" t="inlineStr">
        <is>
          <t>-1</t>
        </is>
      </c>
      <c r="E108" t="inlineStr">
        <is>
          <t>-1</t>
        </is>
      </c>
      <c r="F108" t="inlineStr">
        <is>
          <t>-1</t>
        </is>
      </c>
      <c r="G108" t="inlineStr">
        <is>
          <t>-1</t>
        </is>
      </c>
    </row>
    <row r="109">
      <c r="A109" t="inlineStr">
        <is>
          <t>- 1</t>
        </is>
      </c>
      <c r="B109" t="inlineStr">
        <is>
          <t>-1</t>
        </is>
      </c>
      <c r="C109" t="inlineStr">
        <is>
          <t>-1</t>
        </is>
      </c>
      <c r="D109" t="inlineStr">
        <is>
          <t>-1</t>
        </is>
      </c>
      <c r="E109" t="inlineStr">
        <is>
          <t>-1</t>
        </is>
      </c>
      <c r="F109" t="inlineStr">
        <is>
          <t>-1</t>
        </is>
      </c>
      <c r="G109" t="inlineStr">
        <is>
          <t>-1</t>
        </is>
      </c>
    </row>
    <row r="110">
      <c r="A110" t="inlineStr">
        <is>
          <t>- 1</t>
        </is>
      </c>
      <c r="B110" t="inlineStr">
        <is>
          <t>-1</t>
        </is>
      </c>
      <c r="C110" t="inlineStr">
        <is>
          <t>-1</t>
        </is>
      </c>
      <c r="D110" t="inlineStr">
        <is>
          <t>-1</t>
        </is>
      </c>
      <c r="E110" t="inlineStr">
        <is>
          <t>-1</t>
        </is>
      </c>
      <c r="F110" t="inlineStr">
        <is>
          <t>-1</t>
        </is>
      </c>
      <c r="G110" t="inlineStr">
        <is>
          <t>-1</t>
        </is>
      </c>
    </row>
    <row r="111">
      <c r="A111" t="inlineStr">
        <is>
          <t>- 1</t>
        </is>
      </c>
      <c r="B111" t="inlineStr">
        <is>
          <t>-1</t>
        </is>
      </c>
      <c r="C111" t="inlineStr">
        <is>
          <t>-1</t>
        </is>
      </c>
      <c r="D111" t="inlineStr">
        <is>
          <t>-1</t>
        </is>
      </c>
      <c r="E111" t="inlineStr">
        <is>
          <t>-1</t>
        </is>
      </c>
      <c r="F111" t="inlineStr">
        <is>
          <t>-1</t>
        </is>
      </c>
      <c r="G111" t="inlineStr">
        <is>
          <t>-1</t>
        </is>
      </c>
    </row>
    <row r="112">
      <c r="A112" t="inlineStr">
        <is>
          <t>$keyVarLogN</t>
        </is>
      </c>
      <c r="B112" t="inlineStr"/>
      <c r="C112" t="inlineStr"/>
      <c r="D112" t="inlineStr"/>
      <c r="E112" t="inlineStr"/>
      <c r="F112" t="inlineStr"/>
      <c r="G112" t="inlineStr"/>
    </row>
    <row r="113">
      <c r="A113" t="inlineStr">
        <is>
          <t># Coupling</t>
        </is>
      </c>
      <c r="B113" t="inlineStr">
        <is>
          <t>of the recruitment</t>
        </is>
      </c>
      <c r="C113" t="inlineStr">
        <is>
          <t>and survival</t>
        </is>
      </c>
      <c r="D113" t="inlineStr">
        <is>
          <t>process variance</t>
        </is>
      </c>
      <c r="E113" t="inlineStr">
        <is>
          <t>parameters</t>
        </is>
      </c>
      <c r="F113" t="inlineStr">
        <is>
          <t>for the</t>
        </is>
      </c>
      <c r="G113" t="inlineStr"/>
    </row>
    <row r="114">
      <c r="A114" t="inlineStr">
        <is>
          <t># log(N)-process at the different</t>
        </is>
      </c>
      <c r="B114" t="inlineStr">
        <is>
          <t>ages. It is advisable</t>
        </is>
      </c>
      <c r="C114" t="inlineStr">
        <is>
          <t>to have at least the first age</t>
        </is>
      </c>
      <c r="D114" t="inlineStr"/>
      <c r="E114" t="inlineStr"/>
      <c r="F114" t="inlineStr"/>
      <c r="G114" t="inlineStr"/>
    </row>
    <row r="115">
      <c r="A115" t="inlineStr">
        <is>
          <t># class (recruitment)</t>
        </is>
      </c>
      <c r="B115" t="inlineStr">
        <is>
          <t>separate,</t>
        </is>
      </c>
      <c r="C115" t="inlineStr">
        <is>
          <t>because recruitment</t>
        </is>
      </c>
      <c r="D115" t="inlineStr">
        <is>
          <t>is a different</t>
        </is>
      </c>
      <c r="E115" t="inlineStr">
        <is>
          <t>process than</t>
        </is>
      </c>
      <c r="F115" t="inlineStr"/>
      <c r="G115" t="inlineStr"/>
    </row>
    <row r="116">
      <c r="A116" t="inlineStr">
        <is>
          <t># survival.</t>
        </is>
      </c>
      <c r="B116" t="inlineStr"/>
      <c r="C116" t="inlineStr"/>
      <c r="D116" t="inlineStr"/>
      <c r="E116" t="inlineStr"/>
      <c r="F116" t="inlineStr"/>
      <c r="G116" t="inlineStr"/>
    </row>
    <row r="117">
      <c r="A117" t="inlineStr">
        <is>
          <t>0 1 1 1 1 1 1</t>
        </is>
      </c>
      <c r="B117" t="inlineStr"/>
      <c r="C117" t="inlineStr"/>
      <c r="D117" t="inlineStr"/>
      <c r="E117" t="inlineStr"/>
      <c r="F117" t="inlineStr"/>
      <c r="G117" t="inlineStr"/>
    </row>
    <row r="118">
      <c r="A118" t="inlineStr">
        <is>
          <t>$keyVarLogP</t>
        </is>
      </c>
      <c r="B118" t="inlineStr"/>
      <c r="C118" t="inlineStr"/>
      <c r="D118" t="inlineStr"/>
      <c r="E118" t="inlineStr"/>
      <c r="F118" t="inlineStr"/>
      <c r="G118" t="inlineStr"/>
    </row>
    <row r="119">
      <c r="A119" t="inlineStr">
        <is>
          <t>#</t>
        </is>
      </c>
      <c r="B119" t="inlineStr"/>
      <c r="C119" t="inlineStr"/>
      <c r="D119" t="inlineStr"/>
      <c r="E119" t="inlineStr"/>
      <c r="F119" t="inlineStr"/>
      <c r="G119" t="inlineStr"/>
    </row>
    <row r="120">
      <c r="A120" t="inlineStr">
        <is>
          <t>$keyVarObs</t>
        </is>
      </c>
      <c r="B120" t="inlineStr"/>
      <c r="C120" t="inlineStr"/>
      <c r="D120" t="inlineStr"/>
      <c r="E120" t="inlineStr"/>
      <c r="F120" t="inlineStr"/>
      <c r="G120" t="inlineStr"/>
    </row>
    <row r="121">
      <c r="A121" t="inlineStr">
        <is>
          <t># Coupling</t>
        </is>
      </c>
      <c r="B121" t="inlineStr">
        <is>
          <t>of the variance</t>
        </is>
      </c>
      <c r="C121" t="inlineStr">
        <is>
          <t>parameters</t>
        </is>
      </c>
      <c r="D121" t="inlineStr">
        <is>
          <t>for the observations.</t>
        </is>
      </c>
      <c r="E121" t="inlineStr"/>
      <c r="F121" t="inlineStr"/>
      <c r="G121" t="inlineStr"/>
    </row>
    <row r="122">
      <c r="A122" t="inlineStr">
        <is>
          <t># First row refers to the coupling</t>
        </is>
      </c>
      <c r="B122" t="inlineStr">
        <is>
          <t>of the variance</t>
        </is>
      </c>
      <c r="C122" t="inlineStr">
        <is>
          <t>parameters</t>
        </is>
      </c>
      <c r="D122" t="inlineStr">
        <is>
          <t>for the catch data</t>
        </is>
      </c>
      <c r="E122" t="inlineStr"/>
      <c r="F122" t="inlineStr"/>
      <c r="G122" t="inlineStr"/>
    </row>
    <row r="123">
      <c r="A123" t="inlineStr">
        <is>
          <t># observations</t>
        </is>
      </c>
      <c r="B123" t="inlineStr">
        <is>
          <t>by age</t>
        </is>
      </c>
      <c r="C123" t="inlineStr"/>
      <c r="D123" t="inlineStr"/>
      <c r="E123" t="inlineStr"/>
      <c r="F123" t="inlineStr"/>
      <c r="G123" t="inlineStr"/>
    </row>
    <row r="124">
      <c r="A124" t="inlineStr">
        <is>
          <t># Second and further rows refers to coupling</t>
        </is>
      </c>
      <c r="B124" t="inlineStr">
        <is>
          <t>of the variance</t>
        </is>
      </c>
      <c r="C124" t="inlineStr">
        <is>
          <t>parameters</t>
        </is>
      </c>
      <c r="D124" t="inlineStr">
        <is>
          <t>for the</t>
        </is>
      </c>
      <c r="E124" t="inlineStr"/>
      <c r="F124" t="inlineStr"/>
      <c r="G124" t="inlineStr"/>
    </row>
    <row r="125">
      <c r="A125" t="inlineStr">
        <is>
          <t># index data observations</t>
        </is>
      </c>
      <c r="B125" t="inlineStr">
        <is>
          <t>by age</t>
        </is>
      </c>
      <c r="C125" t="inlineStr"/>
      <c r="D125" t="inlineStr"/>
      <c r="E125" t="inlineStr"/>
      <c r="F125" t="inlineStr"/>
      <c r="G125" t="inlineStr"/>
    </row>
    <row r="126">
      <c r="A126" t="inlineStr">
        <is>
          <t>0</t>
        </is>
      </c>
      <c r="B126" t="inlineStr">
        <is>
          <t>1</t>
        </is>
      </c>
      <c r="C126" t="inlineStr">
        <is>
          <t>2</t>
        </is>
      </c>
      <c r="D126" t="inlineStr">
        <is>
          <t>2</t>
        </is>
      </c>
      <c r="E126" t="inlineStr">
        <is>
          <t>2</t>
        </is>
      </c>
      <c r="F126" t="inlineStr">
        <is>
          <t>2</t>
        </is>
      </c>
      <c r="G126" t="inlineStr">
        <is>
          <t>2</t>
        </is>
      </c>
    </row>
    <row r="127">
      <c r="A127" t="inlineStr">
        <is>
          <t>3</t>
        </is>
      </c>
      <c r="B127" t="inlineStr">
        <is>
          <t>4</t>
        </is>
      </c>
      <c r="C127" t="inlineStr">
        <is>
          <t>4</t>
        </is>
      </c>
      <c r="D127" t="inlineStr">
        <is>
          <t>4</t>
        </is>
      </c>
      <c r="E127" t="inlineStr">
        <is>
          <t>5</t>
        </is>
      </c>
      <c r="F127" t="inlineStr">
        <is>
          <t>5</t>
        </is>
      </c>
      <c r="G127" t="inlineStr">
        <is>
          <t>6</t>
        </is>
      </c>
    </row>
    <row r="128">
      <c r="A128" t="inlineStr">
        <is>
          <t>7</t>
        </is>
      </c>
      <c r="B128" t="inlineStr">
        <is>
          <t>8</t>
        </is>
      </c>
      <c r="C128" t="inlineStr">
        <is>
          <t>8</t>
        </is>
      </c>
      <c r="D128" t="inlineStr">
        <is>
          <t>8</t>
        </is>
      </c>
      <c r="E128" t="inlineStr">
        <is>
          <t>9</t>
        </is>
      </c>
      <c r="F128" t="inlineStr">
        <is>
          <t>10</t>
        </is>
      </c>
      <c r="G128" t="inlineStr">
        <is>
          <t>10</t>
        </is>
      </c>
    </row>
    <row r="129">
      <c r="A129" t="inlineStr">
        <is>
          <t>1 1</t>
        </is>
      </c>
      <c r="B129" t="inlineStr">
        <is>
          <t>12</t>
        </is>
      </c>
      <c r="C129" t="inlineStr">
        <is>
          <t>13</t>
        </is>
      </c>
      <c r="D129" t="inlineStr">
        <is>
          <t>13</t>
        </is>
      </c>
      <c r="E129" t="inlineStr">
        <is>
          <t>13</t>
        </is>
      </c>
      <c r="F129" t="inlineStr">
        <is>
          <t>13</t>
        </is>
      </c>
      <c r="G129" t="inlineStr">
        <is>
          <t>13</t>
        </is>
      </c>
    </row>
    <row r="130">
      <c r="A130" t="inlineStr">
        <is>
          <t>1 4</t>
        </is>
      </c>
      <c r="B130" t="inlineStr">
        <is>
          <t>14</t>
        </is>
      </c>
      <c r="C130" t="inlineStr">
        <is>
          <t>15</t>
        </is>
      </c>
      <c r="D130" t="inlineStr">
        <is>
          <t>15</t>
        </is>
      </c>
      <c r="E130" t="inlineStr">
        <is>
          <t>15</t>
        </is>
      </c>
      <c r="F130" t="inlineStr">
        <is>
          <t>16</t>
        </is>
      </c>
      <c r="G130" t="inlineStr">
        <is>
          <t>16</t>
        </is>
      </c>
    </row>
    <row r="131">
      <c r="A131" t="inlineStr">
        <is>
          <t>1 7</t>
        </is>
      </c>
      <c r="B131" t="inlineStr">
        <is>
          <t>-1</t>
        </is>
      </c>
      <c r="C131" t="inlineStr">
        <is>
          <t>-1</t>
        </is>
      </c>
      <c r="D131" t="inlineStr">
        <is>
          <t>-1</t>
        </is>
      </c>
      <c r="E131" t="inlineStr">
        <is>
          <t>-1</t>
        </is>
      </c>
      <c r="F131" t="inlineStr">
        <is>
          <t>-1</t>
        </is>
      </c>
      <c r="G131" t="inlineStr">
        <is>
          <t>-1</t>
        </is>
      </c>
    </row>
    <row r="132">
      <c r="A132" t="inlineStr">
        <is>
          <t>1 8</t>
        </is>
      </c>
      <c r="B132" t="inlineStr">
        <is>
          <t>-1</t>
        </is>
      </c>
      <c r="C132" t="inlineStr">
        <is>
          <t>-1</t>
        </is>
      </c>
      <c r="D132" t="inlineStr">
        <is>
          <t>-1</t>
        </is>
      </c>
      <c r="E132" t="inlineStr">
        <is>
          <t>-1</t>
        </is>
      </c>
      <c r="F132" t="inlineStr">
        <is>
          <t>-1</t>
        </is>
      </c>
      <c r="G132" t="inlineStr">
        <is>
          <t>-1</t>
        </is>
      </c>
    </row>
    <row r="133">
      <c r="A133" t="inlineStr">
        <is>
          <t>1 9</t>
        </is>
      </c>
      <c r="B133" t="inlineStr">
        <is>
          <t>-1</t>
        </is>
      </c>
      <c r="C133" t="inlineStr">
        <is>
          <t>-1</t>
        </is>
      </c>
      <c r="D133" t="inlineStr">
        <is>
          <t>-1</t>
        </is>
      </c>
      <c r="E133" t="inlineStr">
        <is>
          <t>-1</t>
        </is>
      </c>
      <c r="F133" t="inlineStr">
        <is>
          <t>-1</t>
        </is>
      </c>
      <c r="G133" t="inlineStr">
        <is>
          <t>-1</t>
        </is>
      </c>
    </row>
    <row r="134">
      <c r="A134" t="inlineStr">
        <is>
          <t>2 0</t>
        </is>
      </c>
      <c r="B134" t="inlineStr">
        <is>
          <t>20</t>
        </is>
      </c>
      <c r="C134" t="inlineStr">
        <is>
          <t>20</t>
        </is>
      </c>
      <c r="D134" t="inlineStr">
        <is>
          <t>-1</t>
        </is>
      </c>
      <c r="E134" t="inlineStr">
        <is>
          <t>-1</t>
        </is>
      </c>
      <c r="F134" t="inlineStr">
        <is>
          <t>-1</t>
        </is>
      </c>
      <c r="G134" t="inlineStr">
        <is>
          <t>-1</t>
        </is>
      </c>
    </row>
    <row r="135">
      <c r="A135" t="inlineStr">
        <is>
          <t>2 1</t>
        </is>
      </c>
      <c r="B135" t="inlineStr">
        <is>
          <t>21</t>
        </is>
      </c>
      <c r="C135" t="inlineStr">
        <is>
          <t>-1</t>
        </is>
      </c>
      <c r="D135" t="inlineStr">
        <is>
          <t>-1</t>
        </is>
      </c>
      <c r="E135" t="inlineStr">
        <is>
          <t>-1</t>
        </is>
      </c>
      <c r="F135" t="inlineStr">
        <is>
          <t>-1</t>
        </is>
      </c>
      <c r="G135" t="inlineStr">
        <is>
          <t>-1</t>
        </is>
      </c>
    </row>
    <row r="136">
      <c r="A136" t="inlineStr">
        <is>
          <t>$obsCorStruct</t>
        </is>
      </c>
      <c r="B136" t="inlineStr"/>
      <c r="C136" t="inlineStr"/>
      <c r="D136" t="inlineStr"/>
      <c r="E136" t="inlineStr"/>
      <c r="F136" t="inlineStr"/>
      <c r="G136" t="inlineStr"/>
    </row>
    <row r="137">
      <c r="A137" t="inlineStr">
        <is>
          <t># Covariance</t>
        </is>
      </c>
      <c r="B137" t="inlineStr">
        <is>
          <t>structure</t>
        </is>
      </c>
      <c r="C137" t="inlineStr">
        <is>
          <t>for each fleet ("ID" independent,</t>
        </is>
      </c>
      <c r="D137" t="inlineStr">
        <is>
          <t>"AR" AR(1), or "US" for unstruc-</t>
        </is>
      </c>
      <c r="E137" t="inlineStr"/>
      <c r="F137" t="inlineStr"/>
      <c r="G137" t="inlineStr"/>
    </row>
    <row r="138">
      <c r="A138" t="inlineStr">
        <is>
          <t>tured). | Possible</t>
        </is>
      </c>
      <c r="B138" t="inlineStr">
        <is>
          <t>values are: "ID" "AR" "US"</t>
        </is>
      </c>
      <c r="C138" t="inlineStr"/>
      <c r="D138" t="inlineStr"/>
      <c r="E138" t="inlineStr"/>
      <c r="F138" t="inlineStr"/>
      <c r="G138" t="inlineStr"/>
    </row>
    <row r="139">
      <c r="A139" t="inlineStr">
        <is>
          <t>"AR" "AR" "AR" "AR" "AR" "ID" "ID" "ID" "US" "US"</t>
        </is>
      </c>
      <c r="B139" t="inlineStr"/>
      <c r="C139" t="inlineStr"/>
      <c r="D139" t="inlineStr"/>
      <c r="E139" t="inlineStr"/>
      <c r="F139" t="inlineStr"/>
      <c r="G139" t="inlineStr"/>
    </row>
    <row r="140">
      <c r="A140" t="inlineStr">
        <is>
          <t>$keyCorObs</t>
        </is>
      </c>
      <c r="B140" t="inlineStr"/>
      <c r="C140" t="inlineStr"/>
      <c r="D140" t="inlineStr"/>
      <c r="E140" t="inlineStr"/>
      <c r="F140" t="inlineStr"/>
      <c r="G140" t="inlineStr"/>
    </row>
    <row r="141">
      <c r="A141" t="inlineStr">
        <is>
          <t># Coupling</t>
        </is>
      </c>
      <c r="B141" t="inlineStr">
        <is>
          <t>of correlation</t>
        </is>
      </c>
      <c r="C141" t="inlineStr">
        <is>
          <t>parameters</t>
        </is>
      </c>
      <c r="D141" t="inlineStr">
        <is>
          <t>can only be specified</t>
        </is>
      </c>
      <c r="E141" t="inlineStr">
        <is>
          <t>if the AR(1) structure</t>
        </is>
      </c>
      <c r="F141" t="inlineStr">
        <is>
          <t>is</t>
        </is>
      </c>
      <c r="G141" t="inlineStr"/>
    </row>
    <row r="142">
      <c r="A142" t="inlineStr">
        <is>
          <t>chosen above.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>
        <is>
          <t># NA's indicate</t>
        </is>
      </c>
      <c r="B143" t="inlineStr">
        <is>
          <t>where correlation</t>
        </is>
      </c>
      <c r="C143" t="inlineStr">
        <is>
          <t>parameters</t>
        </is>
      </c>
      <c r="D143" t="inlineStr">
        <is>
          <t>can be specified</t>
        </is>
      </c>
      <c r="E143" t="inlineStr">
        <is>
          <t>(-1 where they cannot).</t>
        </is>
      </c>
      <c r="F143" t="inlineStr"/>
      <c r="G143" t="inlineStr"/>
    </row>
    <row r="144">
      <c r="A144" t="inlineStr">
        <is>
          <t>#1-2 2-3 3-4 4-5 5-6 6-7</t>
        </is>
      </c>
      <c r="B144" t="inlineStr"/>
      <c r="C144" t="inlineStr"/>
      <c r="D144" t="inlineStr"/>
      <c r="E144" t="inlineStr"/>
      <c r="F144" t="inlineStr"/>
      <c r="G144" t="inlineStr"/>
    </row>
    <row r="145">
      <c r="A145" t="inlineStr">
        <is>
          <t>0</t>
        </is>
      </c>
      <c r="B145" t="inlineStr">
        <is>
          <t>1</t>
        </is>
      </c>
      <c r="C145" t="inlineStr">
        <is>
          <t>2</t>
        </is>
      </c>
      <c r="D145" t="inlineStr">
        <is>
          <t>2</t>
        </is>
      </c>
      <c r="E145" t="inlineStr">
        <is>
          <t>2</t>
        </is>
      </c>
      <c r="F145" t="inlineStr">
        <is>
          <t>2</t>
        </is>
      </c>
      <c r="G145" t="inlineStr"/>
    </row>
    <row r="146">
      <c r="A146" t="inlineStr">
        <is>
          <t>3</t>
        </is>
      </c>
      <c r="B146" t="inlineStr">
        <is>
          <t>4</t>
        </is>
      </c>
      <c r="C146" t="inlineStr">
        <is>
          <t>4</t>
        </is>
      </c>
      <c r="D146" t="inlineStr">
        <is>
          <t>5</t>
        </is>
      </c>
      <c r="E146" t="inlineStr">
        <is>
          <t>5</t>
        </is>
      </c>
      <c r="F146" t="inlineStr">
        <is>
          <t>5</t>
        </is>
      </c>
      <c r="G146" t="inlineStr"/>
    </row>
    <row r="147">
      <c r="A147" t="inlineStr">
        <is>
          <t>6</t>
        </is>
      </c>
      <c r="B147" t="inlineStr">
        <is>
          <t>6</t>
        </is>
      </c>
      <c r="C147" t="inlineStr">
        <is>
          <t>7</t>
        </is>
      </c>
      <c r="D147" t="inlineStr">
        <is>
          <t>7</t>
        </is>
      </c>
      <c r="E147" t="inlineStr">
        <is>
          <t>8</t>
        </is>
      </c>
      <c r="F147" t="inlineStr">
        <is>
          <t>8</t>
        </is>
      </c>
      <c r="G147" t="inlineStr"/>
    </row>
    <row r="148">
      <c r="A148" t="inlineStr">
        <is>
          <t>9</t>
        </is>
      </c>
      <c r="B148" t="inlineStr">
        <is>
          <t>9</t>
        </is>
      </c>
      <c r="C148" t="inlineStr">
        <is>
          <t>9</t>
        </is>
      </c>
      <c r="D148" t="inlineStr">
        <is>
          <t>9</t>
        </is>
      </c>
      <c r="E148" t="inlineStr">
        <is>
          <t>9</t>
        </is>
      </c>
      <c r="F148" t="inlineStr">
        <is>
          <t>9</t>
        </is>
      </c>
      <c r="G148" t="inlineStr"/>
    </row>
    <row r="149">
      <c r="A149" t="inlineStr">
        <is>
          <t>1 0</t>
        </is>
      </c>
      <c r="B149" t="inlineStr">
        <is>
          <t>11</t>
        </is>
      </c>
      <c r="C149" t="inlineStr">
        <is>
          <t>11</t>
        </is>
      </c>
      <c r="D149" t="inlineStr">
        <is>
          <t>11</t>
        </is>
      </c>
      <c r="E149" t="inlineStr">
        <is>
          <t>11</t>
        </is>
      </c>
      <c r="F149" t="inlineStr">
        <is>
          <t>11</t>
        </is>
      </c>
      <c r="G149" t="inlineStr"/>
    </row>
    <row r="150">
      <c r="A150" t="inlineStr">
        <is>
          <t>- 1</t>
        </is>
      </c>
      <c r="B150" t="inlineStr">
        <is>
          <t>-1</t>
        </is>
      </c>
      <c r="C150" t="inlineStr">
        <is>
          <t>-1</t>
        </is>
      </c>
      <c r="D150" t="inlineStr">
        <is>
          <t>-1</t>
        </is>
      </c>
      <c r="E150" t="inlineStr">
        <is>
          <t>-1</t>
        </is>
      </c>
      <c r="F150" t="inlineStr">
        <is>
          <t>-1</t>
        </is>
      </c>
      <c r="G150" t="inlineStr"/>
    </row>
    <row r="151">
      <c r="A151" t="inlineStr">
        <is>
          <t>- 1</t>
        </is>
      </c>
      <c r="B151" t="inlineStr">
        <is>
          <t>-1</t>
        </is>
      </c>
      <c r="C151" t="inlineStr">
        <is>
          <t>-1</t>
        </is>
      </c>
      <c r="D151" t="inlineStr">
        <is>
          <t>-1</t>
        </is>
      </c>
      <c r="E151" t="inlineStr">
        <is>
          <t>-1</t>
        </is>
      </c>
      <c r="F151" t="inlineStr">
        <is>
          <t>-1</t>
        </is>
      </c>
      <c r="G151" t="inlineStr"/>
    </row>
    <row r="152">
      <c r="A152" t="inlineStr">
        <is>
          <t>- 1</t>
        </is>
      </c>
      <c r="B152" t="inlineStr">
        <is>
          <t>-1</t>
        </is>
      </c>
      <c r="C152" t="inlineStr">
        <is>
          <t>-1</t>
        </is>
      </c>
      <c r="D152" t="inlineStr">
        <is>
          <t>-1</t>
        </is>
      </c>
      <c r="E152" t="inlineStr">
        <is>
          <t>-1</t>
        </is>
      </c>
      <c r="F152" t="inlineStr">
        <is>
          <t>-1</t>
        </is>
      </c>
      <c r="G152" t="inlineStr"/>
    </row>
    <row r="153">
      <c r="A153" t="inlineStr">
        <is>
          <t>- 1</t>
        </is>
      </c>
      <c r="B153" t="inlineStr">
        <is>
          <t>-1</t>
        </is>
      </c>
      <c r="C153" t="inlineStr">
        <is>
          <t>-1</t>
        </is>
      </c>
      <c r="D153" t="inlineStr">
        <is>
          <t>-1</t>
        </is>
      </c>
      <c r="E153" t="inlineStr">
        <is>
          <t>-1</t>
        </is>
      </c>
      <c r="F153" t="inlineStr">
        <is>
          <t>-1</t>
        </is>
      </c>
      <c r="G153" t="inlineStr"/>
    </row>
    <row r="154">
      <c r="A154" t="inlineStr">
        <is>
          <t>- 1</t>
        </is>
      </c>
      <c r="B154" t="inlineStr">
        <is>
          <t>-1</t>
        </is>
      </c>
      <c r="C154" t="inlineStr">
        <is>
          <t>-1</t>
        </is>
      </c>
      <c r="D154" t="inlineStr">
        <is>
          <t>-1</t>
        </is>
      </c>
      <c r="E154" t="inlineStr">
        <is>
          <t>-1</t>
        </is>
      </c>
      <c r="F154" t="inlineStr">
        <is>
          <t>-1</t>
        </is>
      </c>
      <c r="G154" t="inlineStr"/>
    </row>
    <row r="155">
      <c r="A155" t="inlineStr">
        <is>
          <t>$stockRecruitmentModelCode</t>
        </is>
      </c>
      <c r="B155" t="inlineStr"/>
      <c r="C155" t="inlineStr"/>
      <c r="D155" t="inlineStr"/>
      <c r="E155" t="inlineStr"/>
      <c r="F155" t="inlineStr"/>
      <c r="G155" t="inlineStr"/>
    </row>
    <row r="156">
      <c r="A156" t="inlineStr">
        <is>
          <t>ICES</t>
        </is>
      </c>
      <c r="B156" t="inlineStr">
        <is>
          <t>| WGNSSK</t>
        </is>
      </c>
      <c r="C156" t="inlineStr">
        <is>
          <t>2025</t>
        </is>
      </c>
      <c r="D156" t="inlineStr">
        <is>
          <t>| 147</t>
        </is>
      </c>
      <c r="E156" t="inlineStr"/>
      <c r="F156" t="inlineStr"/>
      <c r="G156" t="inlineStr"/>
    </row>
    <row r="157">
      <c r="A157" t="inlineStr">
        <is>
          <t># Stock recruitment</t>
        </is>
      </c>
      <c r="B157" t="inlineStr">
        <is>
          <t>code (0 for plain random walk, 1 for Ricker, 2 for Beverton -Holt, 3</t>
        </is>
      </c>
      <c r="C157" t="inlineStr"/>
      <c r="D157" t="inlineStr"/>
      <c r="E157" t="inlineStr"/>
      <c r="F157" t="inlineStr"/>
      <c r="G157" t="inlineStr"/>
    </row>
    <row r="158">
      <c r="A158" t="inlineStr">
        <is>
          <t>piece-wise constant,</t>
        </is>
      </c>
      <c r="B158" t="inlineStr">
        <is>
          <t>61 for segmented</t>
        </is>
      </c>
      <c r="C158" t="inlineStr">
        <is>
          <t>regression/hockey</t>
        </is>
      </c>
      <c r="D158" t="inlineStr">
        <is>
          <t>stick, 62 for AR(1), 63 for bent</t>
        </is>
      </c>
      <c r="E158" t="inlineStr"/>
      <c r="F158" t="inlineStr"/>
      <c r="G158" t="inlineStr"/>
    </row>
    <row r="159">
      <c r="A159" t="inlineStr">
        <is>
          <t>hyperbola</t>
        </is>
      </c>
      <c r="B159" t="inlineStr">
        <is>
          <t>/ smooth hockey stick, 64 for power function</t>
        </is>
      </c>
      <c r="C159" t="inlineStr">
        <is>
          <t>with degree &lt; 1, 65 for power</t>
        </is>
      </c>
      <c r="D159" t="inlineStr"/>
      <c r="E159" t="inlineStr"/>
      <c r="F159" t="inlineStr"/>
      <c r="G159" t="inlineStr"/>
    </row>
    <row r="160">
      <c r="A160" t="inlineStr">
        <is>
          <t>function</t>
        </is>
      </c>
      <c r="B160" t="inlineStr">
        <is>
          <t>with degree &gt; 1, 66 for Shepherd,</t>
        </is>
      </c>
      <c r="C160" t="inlineStr">
        <is>
          <t>67 for Deriso, 68 for Saila-Lorda, 69 for</t>
        </is>
      </c>
      <c r="D160" t="inlineStr"/>
      <c r="E160" t="inlineStr"/>
      <c r="F160" t="inlineStr"/>
      <c r="G160" t="inlineStr"/>
    </row>
    <row r="161">
      <c r="A161" t="inlineStr">
        <is>
          <t>sigmoidal</t>
        </is>
      </c>
      <c r="B161" t="inlineStr">
        <is>
          <t>Beverton -Holt, 90 for CMP spline, 91 for more flexible</t>
        </is>
      </c>
      <c r="C161" t="inlineStr">
        <is>
          <t>spline, and 92 for most</t>
        </is>
      </c>
      <c r="D161" t="inlineStr"/>
      <c r="E161" t="inlineStr"/>
      <c r="F161" t="inlineStr"/>
      <c r="G161" t="inlineStr"/>
    </row>
    <row r="162">
      <c r="A162" t="inlineStr">
        <is>
          <t>flexible</t>
        </is>
      </c>
      <c r="B162" t="inlineStr">
        <is>
          <t>spline).</t>
        </is>
      </c>
      <c r="C162" t="inlineStr"/>
      <c r="D162" t="inlineStr"/>
      <c r="E162" t="inlineStr"/>
      <c r="F162" t="inlineStr"/>
      <c r="G162" t="inlineStr"/>
    </row>
    <row r="163">
      <c r="A163" t="inlineStr">
        <is>
          <t>0</t>
        </is>
      </c>
      <c r="B163" t="inlineStr"/>
      <c r="C163" t="inlineStr"/>
      <c r="D163" t="inlineStr"/>
      <c r="E163" t="inlineStr"/>
      <c r="F163" t="inlineStr"/>
      <c r="G163" t="inlineStr"/>
    </row>
    <row r="164">
      <c r="A164" t="inlineStr">
        <is>
          <t>$noScaledYears</t>
        </is>
      </c>
      <c r="B164" t="inlineStr"/>
      <c r="C164" t="inlineStr"/>
      <c r="D164" t="inlineStr"/>
      <c r="E164" t="inlineStr"/>
      <c r="F164" t="inlineStr"/>
      <c r="G164" t="inlineStr"/>
    </row>
    <row r="165">
      <c r="A165" t="inlineStr">
        <is>
          <t># Number of years where catch scaling is applied.</t>
        </is>
      </c>
      <c r="B165" t="inlineStr"/>
      <c r="C165" t="inlineStr"/>
      <c r="D165" t="inlineStr"/>
      <c r="E165" t="inlineStr"/>
      <c r="F165" t="inlineStr"/>
      <c r="G165" t="inlineStr"/>
    </row>
    <row r="166">
      <c r="A166" t="inlineStr">
        <is>
          <t>0</t>
        </is>
      </c>
      <c r="B166" t="inlineStr"/>
      <c r="C166" t="inlineStr"/>
      <c r="D166" t="inlineStr"/>
      <c r="E166" t="inlineStr"/>
      <c r="F166" t="inlineStr"/>
      <c r="G166" t="inlineStr"/>
    </row>
    <row r="167">
      <c r="A167" t="inlineStr">
        <is>
          <t>$keyScaledYears</t>
        </is>
      </c>
      <c r="B167" t="inlineStr"/>
      <c r="C167" t="inlineStr"/>
      <c r="D167" t="inlineStr"/>
      <c r="E167" t="inlineStr"/>
      <c r="F167" t="inlineStr"/>
      <c r="G167" t="inlineStr"/>
    </row>
    <row r="168">
      <c r="A168" t="inlineStr">
        <is>
          <t># A vector of the years where catch scaling is applied.</t>
        </is>
      </c>
      <c r="B168" t="inlineStr"/>
      <c r="C168" t="inlineStr"/>
      <c r="D168" t="inlineStr"/>
      <c r="E168" t="inlineStr"/>
      <c r="F168" t="inlineStr"/>
      <c r="G168" t="inlineStr"/>
    </row>
    <row r="169">
      <c r="A169" t="inlineStr">
        <is>
          <t>$keyParScaledYA</t>
        </is>
      </c>
      <c r="B169" t="inlineStr"/>
      <c r="C169" t="inlineStr"/>
      <c r="D169" t="inlineStr"/>
      <c r="E169" t="inlineStr"/>
      <c r="F169" t="inlineStr"/>
      <c r="G169" t="inlineStr"/>
    </row>
    <row r="170">
      <c r="A170" t="inlineStr">
        <is>
          <t># A matrix specifying</t>
        </is>
      </c>
      <c r="B170" t="inlineStr">
        <is>
          <t>the couplings</t>
        </is>
      </c>
      <c r="C170" t="inlineStr">
        <is>
          <t>of scale parameters</t>
        </is>
      </c>
      <c r="D170" t="inlineStr">
        <is>
          <t>(nrow = no scaled years, ncols =</t>
        </is>
      </c>
      <c r="E170" t="inlineStr"/>
      <c r="F170" t="inlineStr"/>
      <c r="G170" t="inlineStr"/>
    </row>
    <row r="171">
      <c r="A171" t="inlineStr">
        <is>
          <t>no ages).</t>
        </is>
      </c>
      <c r="B171" t="inlineStr"/>
      <c r="C171" t="inlineStr"/>
      <c r="D171" t="inlineStr"/>
      <c r="E171" t="inlineStr"/>
      <c r="F171" t="inlineStr"/>
      <c r="G171" t="inlineStr"/>
    </row>
    <row r="172">
      <c r="A172" t="inlineStr">
        <is>
          <t>$fbarRange</t>
        </is>
      </c>
      <c r="B172" t="inlineStr"/>
      <c r="C172" t="inlineStr"/>
      <c r="D172" t="inlineStr"/>
      <c r="E172" t="inlineStr"/>
      <c r="F172" t="inlineStr"/>
      <c r="G172" t="inlineStr"/>
    </row>
    <row r="173">
      <c r="A173" t="inlineStr">
        <is>
          <t># lowest and higest age included</t>
        </is>
      </c>
      <c r="B173" t="inlineStr">
        <is>
          <t>in Fbar</t>
        </is>
      </c>
      <c r="C173" t="inlineStr"/>
      <c r="D173" t="inlineStr"/>
      <c r="E173" t="inlineStr"/>
      <c r="F173" t="inlineStr"/>
      <c r="G173" t="inlineStr"/>
    </row>
    <row r="174">
      <c r="A174" t="inlineStr">
        <is>
          <t>2 4</t>
        </is>
      </c>
      <c r="B174" t="inlineStr"/>
      <c r="C174" t="inlineStr"/>
      <c r="D174" t="inlineStr"/>
      <c r="E174" t="inlineStr"/>
      <c r="F174" t="inlineStr"/>
      <c r="G174" t="inlineStr"/>
    </row>
    <row r="175">
      <c r="A175" t="inlineStr">
        <is>
          <t>$keyBiomassTreat</t>
        </is>
      </c>
      <c r="B175" t="inlineStr"/>
      <c r="C175" t="inlineStr"/>
      <c r="D175" t="inlineStr"/>
      <c r="E175" t="inlineStr"/>
      <c r="F175" t="inlineStr"/>
      <c r="G175" t="inlineStr"/>
    </row>
    <row r="176">
      <c r="A176" t="inlineStr">
        <is>
          <t># To be defined only if a biomass survey is used (0 SSB index, 1 catch index, 2 FSB index,</t>
        </is>
      </c>
      <c r="B176" t="inlineStr"/>
      <c r="C176" t="inlineStr"/>
      <c r="D176" t="inlineStr"/>
      <c r="E176" t="inlineStr"/>
      <c r="F176" t="inlineStr"/>
      <c r="G176" t="inlineStr"/>
    </row>
    <row r="177">
      <c r="A177" t="inlineStr">
        <is>
          <t>3 total catch, 4 total landings,</t>
        </is>
      </c>
      <c r="B177" t="inlineStr">
        <is>
          <t>5 TSB index,</t>
        </is>
      </c>
      <c r="C177" t="inlineStr">
        <is>
          <t>6 TSN index, and 10 Fbar idx).</t>
        </is>
      </c>
      <c r="D177" t="inlineStr"/>
      <c r="E177" t="inlineStr"/>
      <c r="F177" t="inlineStr"/>
      <c r="G177" t="inlineStr"/>
    </row>
    <row r="178">
      <c r="A178" t="inlineStr">
        <is>
          <t>-1 -1 -1 -1 -1 -1 -1 -1 -1 -1</t>
        </is>
      </c>
      <c r="B178" t="inlineStr"/>
      <c r="C178" t="inlineStr"/>
      <c r="D178" t="inlineStr"/>
      <c r="E178" t="inlineStr"/>
      <c r="F178" t="inlineStr"/>
      <c r="G178" t="inlineStr"/>
    </row>
    <row r="179">
      <c r="A179" t="inlineStr">
        <is>
          <t>$obsLikelihoodFlag</t>
        </is>
      </c>
      <c r="B179" t="inlineStr"/>
      <c r="C179" t="inlineStr"/>
      <c r="D179" t="inlineStr"/>
      <c r="E179" t="inlineStr"/>
      <c r="F179" t="inlineStr"/>
      <c r="G179" t="inlineStr"/>
    </row>
    <row r="180">
      <c r="A180" t="inlineStr">
        <is>
          <t># Option for observational</t>
        </is>
      </c>
      <c r="B180" t="inlineStr">
        <is>
          <t>likelihood</t>
        </is>
      </c>
      <c r="C180" t="inlineStr">
        <is>
          <t>| Possible</t>
        </is>
      </c>
      <c r="D180" t="inlineStr">
        <is>
          <t>values are: "LN" "ALN" "Dirichlet"</t>
        </is>
      </c>
      <c r="E180" t="inlineStr"/>
      <c r="F180" t="inlineStr"/>
      <c r="G180" t="inlineStr"/>
    </row>
    <row r="181">
      <c r="A181" t="inlineStr">
        <is>
          <t>"LN" "LN" "LN" "LN" "LN" "LN" "LN" "LN" "ALN" "ALN"</t>
        </is>
      </c>
      <c r="B181" t="inlineStr"/>
      <c r="C181" t="inlineStr"/>
      <c r="D181" t="inlineStr"/>
      <c r="E181" t="inlineStr"/>
      <c r="F181" t="inlineStr"/>
      <c r="G181" t="inlineStr"/>
    </row>
    <row r="182">
      <c r="A182" t="inlineStr">
        <is>
          <t>$fixVarToWeight</t>
        </is>
      </c>
      <c r="B182" t="inlineStr"/>
      <c r="C182" t="inlineStr"/>
      <c r="D182" t="inlineStr"/>
      <c r="E182" t="inlineStr"/>
      <c r="F182" t="inlineStr"/>
      <c r="G182" t="inlineStr"/>
    </row>
    <row r="183">
      <c r="A183" t="inlineStr">
        <is>
          <t># If weight attribute</t>
        </is>
      </c>
      <c r="B183" t="inlineStr">
        <is>
          <t>is supplied</t>
        </is>
      </c>
      <c r="C183" t="inlineStr">
        <is>
          <t>for observations</t>
        </is>
      </c>
      <c r="D183" t="inlineStr">
        <is>
          <t>this option sets the treatment</t>
        </is>
      </c>
      <c r="E183" t="inlineStr">
        <is>
          <t>(0</t>
        </is>
      </c>
      <c r="F183" t="inlineStr"/>
      <c r="G183" t="inlineStr"/>
    </row>
    <row r="184">
      <c r="A184" t="inlineStr">
        <is>
          <t>relative</t>
        </is>
      </c>
      <c r="B184" t="inlineStr">
        <is>
          <t>weight, 1 fix variance</t>
        </is>
      </c>
      <c r="C184" t="inlineStr">
        <is>
          <t>to weight).</t>
        </is>
      </c>
      <c r="D184" t="inlineStr">
        <is>
          <t>Can be specified</t>
        </is>
      </c>
      <c r="E184" t="inlineStr">
        <is>
          <t>fleetwise.</t>
        </is>
      </c>
      <c r="F184" t="inlineStr"/>
      <c r="G184" t="inlineStr"/>
    </row>
    <row r="185">
      <c r="A185" t="inlineStr">
        <is>
          <t>0 0 0 0 0 0 0 0 0 0</t>
        </is>
      </c>
      <c r="B185" t="inlineStr"/>
      <c r="C185" t="inlineStr"/>
      <c r="D185" t="inlineStr"/>
      <c r="E185" t="inlineStr"/>
      <c r="F185" t="inlineStr"/>
      <c r="G185" t="inlineStr"/>
    </row>
    <row r="186">
      <c r="A186" t="inlineStr">
        <is>
          <t>$fracMixF</t>
        </is>
      </c>
      <c r="B186" t="inlineStr"/>
      <c r="C186" t="inlineStr"/>
      <c r="D186" t="inlineStr"/>
      <c r="E186" t="inlineStr"/>
      <c r="F186" t="inlineStr"/>
      <c r="G186" t="inlineStr"/>
    </row>
    <row r="187">
      <c r="A187" t="inlineStr">
        <is>
          <t># The fraction</t>
        </is>
      </c>
      <c r="B187" t="inlineStr">
        <is>
          <t>of t(3) distribution</t>
        </is>
      </c>
      <c r="C187" t="inlineStr">
        <is>
          <t>used in logF increment</t>
        </is>
      </c>
      <c r="D187" t="inlineStr">
        <is>
          <t>distribution</t>
        </is>
      </c>
      <c r="E187" t="inlineStr"/>
      <c r="F187" t="inlineStr"/>
      <c r="G187" t="inlineStr"/>
    </row>
    <row r="188">
      <c r="A188" t="inlineStr">
        <is>
          <t>0</t>
        </is>
      </c>
      <c r="B188" t="inlineStr"/>
      <c r="C188" t="inlineStr"/>
      <c r="D188" t="inlineStr"/>
      <c r="E188" t="inlineStr"/>
      <c r="F188" t="inlineStr"/>
      <c r="G188" t="inlineStr"/>
    </row>
    <row r="189">
      <c r="A189" t="inlineStr">
        <is>
          <t>$fracMixN</t>
        </is>
      </c>
      <c r="B189" t="inlineStr"/>
      <c r="C189" t="inlineStr"/>
      <c r="D189" t="inlineStr"/>
      <c r="E189" t="inlineStr"/>
      <c r="F189" t="inlineStr"/>
      <c r="G189" t="inlineStr"/>
    </row>
    <row r="190">
      <c r="A190" t="inlineStr">
        <is>
          <t># The fraction</t>
        </is>
      </c>
      <c r="B190" t="inlineStr">
        <is>
          <t>of t(3) distribution</t>
        </is>
      </c>
      <c r="C190" t="inlineStr">
        <is>
          <t>used in logN increment</t>
        </is>
      </c>
      <c r="D190" t="inlineStr">
        <is>
          <t>distribution</t>
        </is>
      </c>
      <c r="E190" t="inlineStr">
        <is>
          <t>(for each age</t>
        </is>
      </c>
      <c r="F190" t="inlineStr"/>
      <c r="G190" t="inlineStr"/>
    </row>
    <row r="191">
      <c r="A191" t="inlineStr">
        <is>
          <t>group)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>
        <is>
          <t>0 0 0 0 0 0 0</t>
        </is>
      </c>
      <c r="B192" t="inlineStr"/>
      <c r="C192" t="inlineStr"/>
      <c r="D192" t="inlineStr"/>
      <c r="E192" t="inlineStr"/>
      <c r="F192" t="inlineStr"/>
      <c r="G192" t="inlineStr"/>
    </row>
    <row r="193">
      <c r="A193" t="inlineStr">
        <is>
          <t>$fracMixObs</t>
        </is>
      </c>
      <c r="B193" t="inlineStr"/>
      <c r="C193" t="inlineStr"/>
      <c r="D193" t="inlineStr"/>
      <c r="E193" t="inlineStr"/>
      <c r="F193" t="inlineStr"/>
      <c r="G193" t="inlineStr"/>
    </row>
    <row r="194">
      <c r="A194" t="inlineStr">
        <is>
          <t># A vector with same length as number of fleets, where each element is the fraction</t>
        </is>
      </c>
      <c r="B194" t="inlineStr">
        <is>
          <t>of</t>
        </is>
      </c>
      <c r="C194" t="inlineStr"/>
      <c r="D194" t="inlineStr"/>
      <c r="E194" t="inlineStr"/>
      <c r="F194" t="inlineStr"/>
      <c r="G194" t="inlineStr"/>
    </row>
    <row r="195">
      <c r="A195" t="inlineStr">
        <is>
          <t>t(3) distribution</t>
        </is>
      </c>
      <c r="B195" t="inlineStr">
        <is>
          <t>used in the distribution</t>
        </is>
      </c>
      <c r="C195" t="inlineStr">
        <is>
          <t>of that fleet</t>
        </is>
      </c>
      <c r="D195" t="inlineStr"/>
      <c r="E195" t="inlineStr"/>
      <c r="F195" t="inlineStr"/>
      <c r="G195" t="inlineStr"/>
    </row>
    <row r="196">
      <c r="A196" t="inlineStr">
        <is>
          <t>0 0 0 0 0 0 0 0 0 0</t>
        </is>
      </c>
      <c r="B196" t="inlineStr"/>
      <c r="C196" t="inlineStr"/>
      <c r="D196" t="inlineStr"/>
      <c r="E196" t="inlineStr"/>
      <c r="F196" t="inlineStr"/>
      <c r="G196" t="inlineStr"/>
    </row>
    <row r="197">
      <c r="A197" t="inlineStr">
        <is>
          <t>$constRecBreaks</t>
        </is>
      </c>
      <c r="B197" t="inlineStr"/>
      <c r="C197" t="inlineStr"/>
      <c r="D197" t="inlineStr"/>
      <c r="E197" t="inlineStr"/>
      <c r="F197" t="inlineStr"/>
      <c r="G197" t="inlineStr"/>
    </row>
    <row r="198">
      <c r="A198" t="inlineStr">
        <is>
          <t># For stock-recruitment</t>
        </is>
      </c>
      <c r="B198" t="inlineStr">
        <is>
          <t>code 3: Vector of break years between which recruitment</t>
        </is>
      </c>
      <c r="C198" t="inlineStr">
        <is>
          <t>is at</t>
        </is>
      </c>
      <c r="D198" t="inlineStr"/>
      <c r="E198" t="inlineStr"/>
      <c r="F198" t="inlineStr"/>
      <c r="G198" t="inlineStr"/>
    </row>
    <row r="199">
      <c r="A199" t="inlineStr">
        <is>
          <t>constant</t>
        </is>
      </c>
      <c r="B199" t="inlineStr">
        <is>
          <t>level. The break year is included</t>
        </is>
      </c>
      <c r="C199" t="inlineStr">
        <is>
          <t>in the left interval.</t>
        </is>
      </c>
      <c r="D199" t="inlineStr">
        <is>
          <t>For spline stock-</t>
        </is>
      </c>
      <c r="E199" t="inlineStr"/>
      <c r="F199" t="inlineStr"/>
      <c r="G199" t="inlineStr"/>
    </row>
    <row r="200">
      <c r="A200" t="inlineStr">
        <is>
          <t>recruitment:</t>
        </is>
      </c>
      <c r="B200" t="inlineStr">
        <is>
          <t>Vector of log-ssb knots. (This option is only used in combination</t>
        </is>
      </c>
      <c r="C200" t="inlineStr">
        <is>
          <t>with stock-</t>
        </is>
      </c>
      <c r="D200" t="inlineStr"/>
      <c r="E200" t="inlineStr"/>
      <c r="F200" t="inlineStr"/>
      <c r="G200" t="inlineStr"/>
    </row>
    <row r="201">
      <c r="A201" t="inlineStr">
        <is>
          <t>recruitment</t>
        </is>
      </c>
      <c r="B201" t="inlineStr">
        <is>
          <t>code 3, 90-92, and 290)</t>
        </is>
      </c>
      <c r="C201" t="inlineStr"/>
      <c r="D201" t="inlineStr"/>
      <c r="E201" t="inlineStr"/>
      <c r="F201" t="inlineStr"/>
      <c r="G201" t="inlineStr"/>
    </row>
    <row r="202">
      <c r="A202" t="inlineStr">
        <is>
          <t>$predVarObsLink</t>
        </is>
      </c>
      <c r="B202" t="inlineStr"/>
      <c r="C202" t="inlineStr"/>
      <c r="D202" t="inlineStr"/>
      <c r="E202" t="inlineStr"/>
      <c r="F202" t="inlineStr"/>
      <c r="G202" t="inlineStr"/>
    </row>
    <row r="203">
      <c r="A203" t="inlineStr">
        <is>
          <t># Coupling</t>
        </is>
      </c>
      <c r="B203" t="inlineStr">
        <is>
          <t>of parameters</t>
        </is>
      </c>
      <c r="C203" t="inlineStr">
        <is>
          <t>used in a prediction -variance</t>
        </is>
      </c>
      <c r="D203" t="inlineStr">
        <is>
          <t>link for observations.</t>
        </is>
      </c>
      <c r="E203" t="inlineStr"/>
      <c r="F203" t="inlineStr"/>
      <c r="G203" t="inlineStr"/>
    </row>
    <row r="204">
      <c r="A204" t="inlineStr">
        <is>
          <t>-1</t>
        </is>
      </c>
      <c r="B204" t="inlineStr">
        <is>
          <t>-1</t>
        </is>
      </c>
      <c r="C204" t="inlineStr">
        <is>
          <t>-1</t>
        </is>
      </c>
      <c r="D204" t="inlineStr">
        <is>
          <t>-1</t>
        </is>
      </c>
      <c r="E204" t="inlineStr">
        <is>
          <t>-1</t>
        </is>
      </c>
      <c r="F204" t="inlineStr">
        <is>
          <t>-1</t>
        </is>
      </c>
      <c r="G204" t="inlineStr">
        <is>
          <t>-1</t>
        </is>
      </c>
    </row>
    <row r="205">
      <c r="A205" t="inlineStr">
        <is>
          <t>148 | ICES SCIENTIFIC REPORTS 6:38 | ICES</t>
        </is>
      </c>
      <c r="B205" t="inlineStr"/>
      <c r="C205" t="inlineStr"/>
      <c r="D205" t="inlineStr"/>
      <c r="E205" t="inlineStr"/>
      <c r="F205" t="inlineStr"/>
      <c r="G205" t="inlineStr"/>
    </row>
    <row r="206">
      <c r="A206" t="inlineStr">
        <is>
          <t>- 1</t>
        </is>
      </c>
      <c r="B206" t="inlineStr">
        <is>
          <t>-1</t>
        </is>
      </c>
      <c r="C206" t="inlineStr">
        <is>
          <t>-1</t>
        </is>
      </c>
      <c r="D206" t="inlineStr">
        <is>
          <t>-1</t>
        </is>
      </c>
      <c r="E206" t="inlineStr">
        <is>
          <t>-1</t>
        </is>
      </c>
      <c r="F206" t="inlineStr">
        <is>
          <t>-1</t>
        </is>
      </c>
      <c r="G206" t="inlineStr">
        <is>
          <t>-1</t>
        </is>
      </c>
    </row>
    <row r="207">
      <c r="A207" t="inlineStr">
        <is>
          <t>- 1</t>
        </is>
      </c>
      <c r="B207" t="inlineStr">
        <is>
          <t>-1</t>
        </is>
      </c>
      <c r="C207" t="inlineStr">
        <is>
          <t>-1</t>
        </is>
      </c>
      <c r="D207" t="inlineStr">
        <is>
          <t>-1</t>
        </is>
      </c>
      <c r="E207" t="inlineStr">
        <is>
          <t>-1</t>
        </is>
      </c>
      <c r="F207" t="inlineStr">
        <is>
          <t>-1</t>
        </is>
      </c>
      <c r="G207" t="inlineStr">
        <is>
          <t>-1</t>
        </is>
      </c>
    </row>
    <row r="208">
      <c r="A208" t="inlineStr">
        <is>
          <t>- 1</t>
        </is>
      </c>
      <c r="B208" t="inlineStr">
        <is>
          <t>-1</t>
        </is>
      </c>
      <c r="C208" t="inlineStr">
        <is>
          <t>-1</t>
        </is>
      </c>
      <c r="D208" t="inlineStr">
        <is>
          <t>-1</t>
        </is>
      </c>
      <c r="E208" t="inlineStr">
        <is>
          <t>-1</t>
        </is>
      </c>
      <c r="F208" t="inlineStr">
        <is>
          <t>-1</t>
        </is>
      </c>
      <c r="G208" t="inlineStr">
        <is>
          <t>-1</t>
        </is>
      </c>
    </row>
    <row r="209">
      <c r="A209" t="inlineStr">
        <is>
          <t>- 1</t>
        </is>
      </c>
      <c r="B209" t="inlineStr">
        <is>
          <t>-1</t>
        </is>
      </c>
      <c r="C209" t="inlineStr">
        <is>
          <t>-1</t>
        </is>
      </c>
      <c r="D209" t="inlineStr">
        <is>
          <t>-1</t>
        </is>
      </c>
      <c r="E209" t="inlineStr">
        <is>
          <t>-1</t>
        </is>
      </c>
      <c r="F209" t="inlineStr">
        <is>
          <t>-1</t>
        </is>
      </c>
      <c r="G209" t="inlineStr">
        <is>
          <t>-1</t>
        </is>
      </c>
    </row>
    <row r="210">
      <c r="A210" t="inlineStr">
        <is>
          <t>N A</t>
        </is>
      </c>
      <c r="B210" t="inlineStr">
        <is>
          <t>NA</t>
        </is>
      </c>
      <c r="C210" t="inlineStr">
        <is>
          <t>NA</t>
        </is>
      </c>
      <c r="D210" t="inlineStr">
        <is>
          <t>NA</t>
        </is>
      </c>
      <c r="E210" t="inlineStr">
        <is>
          <t>NA</t>
        </is>
      </c>
      <c r="F210" t="inlineStr">
        <is>
          <t>NA</t>
        </is>
      </c>
      <c r="G210" t="inlineStr">
        <is>
          <t>NA</t>
        </is>
      </c>
    </row>
    <row r="211">
      <c r="A211" t="inlineStr">
        <is>
          <t>N A</t>
        </is>
      </c>
      <c r="B211" t="inlineStr">
        <is>
          <t>NA</t>
        </is>
      </c>
      <c r="C211" t="inlineStr">
        <is>
          <t>NA</t>
        </is>
      </c>
      <c r="D211" t="inlineStr">
        <is>
          <t>NA</t>
        </is>
      </c>
      <c r="E211" t="inlineStr">
        <is>
          <t>NA</t>
        </is>
      </c>
      <c r="F211" t="inlineStr">
        <is>
          <t>NA</t>
        </is>
      </c>
      <c r="G211" t="inlineStr">
        <is>
          <t>NA</t>
        </is>
      </c>
    </row>
    <row r="212">
      <c r="A212" t="inlineStr">
        <is>
          <t>N A</t>
        </is>
      </c>
      <c r="B212" t="inlineStr">
        <is>
          <t>NA</t>
        </is>
      </c>
      <c r="C212" t="inlineStr">
        <is>
          <t>NA</t>
        </is>
      </c>
      <c r="D212" t="inlineStr">
        <is>
          <t>NA</t>
        </is>
      </c>
      <c r="E212" t="inlineStr">
        <is>
          <t>NA</t>
        </is>
      </c>
      <c r="F212" t="inlineStr">
        <is>
          <t>NA</t>
        </is>
      </c>
      <c r="G212" t="inlineStr">
        <is>
          <t>NA</t>
        </is>
      </c>
    </row>
    <row r="213">
      <c r="A213" t="inlineStr">
        <is>
          <t>N A</t>
        </is>
      </c>
      <c r="B213" t="inlineStr">
        <is>
          <t>NA</t>
        </is>
      </c>
      <c r="C213" t="inlineStr">
        <is>
          <t>NA</t>
        </is>
      </c>
      <c r="D213" t="inlineStr">
        <is>
          <t>NA</t>
        </is>
      </c>
      <c r="E213" t="inlineStr">
        <is>
          <t>NA</t>
        </is>
      </c>
      <c r="F213" t="inlineStr">
        <is>
          <t>NA</t>
        </is>
      </c>
      <c r="G213" t="inlineStr">
        <is>
          <t>NA</t>
        </is>
      </c>
    </row>
    <row r="214">
      <c r="A214" t="inlineStr">
        <is>
          <t>N A</t>
        </is>
      </c>
      <c r="B214" t="inlineStr">
        <is>
          <t>NA</t>
        </is>
      </c>
      <c r="C214" t="inlineStr">
        <is>
          <t>NA</t>
        </is>
      </c>
      <c r="D214" t="inlineStr">
        <is>
          <t>NA</t>
        </is>
      </c>
      <c r="E214" t="inlineStr">
        <is>
          <t>NA</t>
        </is>
      </c>
      <c r="F214" t="inlineStr">
        <is>
          <t>NA</t>
        </is>
      </c>
      <c r="G214" t="inlineStr">
        <is>
          <t>NA</t>
        </is>
      </c>
    </row>
    <row r="215">
      <c r="A215" t="inlineStr">
        <is>
          <t>$stockWeightModel</t>
        </is>
      </c>
      <c r="B215" t="inlineStr"/>
      <c r="C215" t="inlineStr"/>
      <c r="D215" t="inlineStr"/>
      <c r="E215" t="inlineStr"/>
      <c r="F215" t="inlineStr"/>
      <c r="G215" t="inlineStr"/>
    </row>
    <row r="216">
      <c r="A216" t="inlineStr">
        <is>
          <t># Integer code describing</t>
        </is>
      </c>
      <c r="B216" t="inlineStr">
        <is>
          <t>the treatment</t>
        </is>
      </c>
      <c r="C216" t="inlineStr">
        <is>
          <t>of stock weights in the model (0 use as known, 1</t>
        </is>
      </c>
      <c r="D216" t="inlineStr"/>
      <c r="E216" t="inlineStr"/>
      <c r="F216" t="inlineStr"/>
      <c r="G216" t="inlineStr"/>
    </row>
    <row r="217">
      <c r="A217" t="inlineStr">
        <is>
          <t>use as observations</t>
        </is>
      </c>
      <c r="B217" t="inlineStr">
        <is>
          <t>to inform stock weight process (GMRF with cohort and within year</t>
        </is>
      </c>
      <c r="C217" t="inlineStr"/>
      <c r="D217" t="inlineStr"/>
      <c r="E217" t="inlineStr"/>
      <c r="F217" t="inlineStr"/>
      <c r="G217" t="inlineStr"/>
    </row>
    <row r="218">
      <c r="A218" t="inlineStr">
        <is>
          <t>correlations)),</t>
        </is>
      </c>
      <c r="B218" t="inlineStr">
        <is>
          <t>2 to add extra correlation</t>
        </is>
      </c>
      <c r="C218" t="inlineStr">
        <is>
          <t>to plusgroup</t>
        </is>
      </c>
      <c r="D218" t="inlineStr"/>
      <c r="E218" t="inlineStr"/>
      <c r="F218" t="inlineStr"/>
      <c r="G218" t="inlineStr"/>
    </row>
    <row r="219">
      <c r="A219" t="inlineStr">
        <is>
          <t>2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>
        <is>
          <t>$keyStockWeightMean</t>
        </is>
      </c>
      <c r="B220" t="inlineStr"/>
      <c r="C220" t="inlineStr"/>
      <c r="D220" t="inlineStr"/>
      <c r="E220" t="inlineStr"/>
      <c r="F220" t="inlineStr"/>
      <c r="G220" t="inlineStr"/>
    </row>
    <row r="221">
      <c r="A221" t="inlineStr">
        <is>
          <t># Coupling</t>
        </is>
      </c>
      <c r="B221" t="inlineStr">
        <is>
          <t>of stock-weight process mean parameters</t>
        </is>
      </c>
      <c r="C221" t="inlineStr">
        <is>
          <t>(not used if stockWeightModel==0)</t>
        </is>
      </c>
      <c r="D221" t="inlineStr"/>
      <c r="E221" t="inlineStr"/>
      <c r="F221" t="inlineStr"/>
      <c r="G221" t="inlineStr"/>
    </row>
    <row r="222">
      <c r="A222" t="inlineStr">
        <is>
          <t>0 1 2 3 4 5 6</t>
        </is>
      </c>
      <c r="B222" t="inlineStr"/>
      <c r="C222" t="inlineStr"/>
      <c r="D222" t="inlineStr"/>
      <c r="E222" t="inlineStr"/>
      <c r="F222" t="inlineStr"/>
      <c r="G222" t="inlineStr"/>
    </row>
    <row r="223">
      <c r="A223" t="inlineStr">
        <is>
          <t>$keyStockWeightObsVar</t>
        </is>
      </c>
      <c r="B223" t="inlineStr"/>
      <c r="C223" t="inlineStr"/>
      <c r="D223" t="inlineStr"/>
      <c r="E223" t="inlineStr"/>
      <c r="F223" t="inlineStr"/>
      <c r="G223" t="inlineStr"/>
    </row>
    <row r="224">
      <c r="A224" t="inlineStr">
        <is>
          <t># Coupling</t>
        </is>
      </c>
      <c r="B224" t="inlineStr">
        <is>
          <t>of stock-weight observation</t>
        </is>
      </c>
      <c r="C224" t="inlineStr">
        <is>
          <t>variance</t>
        </is>
      </c>
      <c r="D224" t="inlineStr">
        <is>
          <t>parameters</t>
        </is>
      </c>
      <c r="E224" t="inlineStr">
        <is>
          <t>(not used if stockWeight-</t>
        </is>
      </c>
      <c r="F224" t="inlineStr"/>
      <c r="G224" t="inlineStr"/>
    </row>
    <row r="225">
      <c r="A225" t="inlineStr">
        <is>
          <t>Model==0)</t>
        </is>
      </c>
      <c r="B225" t="inlineStr"/>
      <c r="C225" t="inlineStr"/>
      <c r="D225" t="inlineStr"/>
      <c r="E225" t="inlineStr"/>
      <c r="F225" t="inlineStr"/>
      <c r="G225" t="inlineStr"/>
    </row>
    <row r="226">
      <c r="A226" t="inlineStr">
        <is>
          <t>0 0 0 0 0 0 0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>
        <is>
          <t>$catchWeightModel</t>
        </is>
      </c>
      <c r="B227" t="inlineStr"/>
      <c r="C227" t="inlineStr"/>
      <c r="D227" t="inlineStr"/>
      <c r="E227" t="inlineStr"/>
      <c r="F227" t="inlineStr"/>
      <c r="G227" t="inlineStr"/>
    </row>
    <row r="228">
      <c r="A228" t="inlineStr">
        <is>
          <t># Integer code describing</t>
        </is>
      </c>
      <c r="B228" t="inlineStr">
        <is>
          <t>the treatment</t>
        </is>
      </c>
      <c r="C228" t="inlineStr">
        <is>
          <t>of catch weights in the model (0 use as known, 1</t>
        </is>
      </c>
      <c r="D228" t="inlineStr"/>
      <c r="E228" t="inlineStr"/>
      <c r="F228" t="inlineStr"/>
      <c r="G228" t="inlineStr"/>
    </row>
    <row r="229">
      <c r="A229" t="inlineStr">
        <is>
          <t>use as observations</t>
        </is>
      </c>
      <c r="B229" t="inlineStr">
        <is>
          <t>to inform catch weight process (GMRF with cohort and within year</t>
        </is>
      </c>
      <c r="C229" t="inlineStr"/>
      <c r="D229" t="inlineStr"/>
      <c r="E229" t="inlineStr"/>
      <c r="F229" t="inlineStr"/>
      <c r="G229" t="inlineStr"/>
    </row>
    <row r="230">
      <c r="A230" t="inlineStr">
        <is>
          <t>correlations)),</t>
        </is>
      </c>
      <c r="B230" t="inlineStr">
        <is>
          <t>2 to add extra correlation</t>
        </is>
      </c>
      <c r="C230" t="inlineStr">
        <is>
          <t>to plusgroup</t>
        </is>
      </c>
      <c r="D230" t="inlineStr"/>
      <c r="E230" t="inlineStr"/>
      <c r="F230" t="inlineStr"/>
      <c r="G230" t="inlineStr"/>
    </row>
    <row r="231">
      <c r="A231" t="inlineStr">
        <is>
          <t>0</t>
        </is>
      </c>
      <c r="B231" t="inlineStr"/>
      <c r="C231" t="inlineStr"/>
      <c r="D231" t="inlineStr"/>
      <c r="E231" t="inlineStr"/>
      <c r="F231" t="inlineStr"/>
      <c r="G231" t="inlineStr"/>
    </row>
    <row r="232">
      <c r="A232" t="inlineStr">
        <is>
          <t>$keyCatchWeightMean</t>
        </is>
      </c>
      <c r="B232" t="inlineStr"/>
      <c r="C232" t="inlineStr"/>
      <c r="D232" t="inlineStr"/>
      <c r="E232" t="inlineStr"/>
      <c r="F232" t="inlineStr"/>
      <c r="G232" t="inlineStr"/>
    </row>
    <row r="233">
      <c r="A233" t="inlineStr">
        <is>
          <t># Coupling</t>
        </is>
      </c>
      <c r="B233" t="inlineStr">
        <is>
          <t>of catch-weight process mean parameters</t>
        </is>
      </c>
      <c r="C233" t="inlineStr">
        <is>
          <t>(not used if catchWeightModel==0)</t>
        </is>
      </c>
      <c r="D233" t="inlineStr"/>
      <c r="E233" t="inlineStr"/>
      <c r="F233" t="inlineStr"/>
      <c r="G233" t="inlineStr"/>
    </row>
    <row r="234">
      <c r="A234" t="inlineStr">
        <is>
          <t>NA</t>
        </is>
      </c>
      <c r="B234" t="inlineStr">
        <is>
          <t>NA</t>
        </is>
      </c>
      <c r="C234" t="inlineStr">
        <is>
          <t>NA</t>
        </is>
      </c>
      <c r="D234" t="inlineStr">
        <is>
          <t>NA</t>
        </is>
      </c>
      <c r="E234" t="inlineStr">
        <is>
          <t>NA</t>
        </is>
      </c>
      <c r="F234" t="inlineStr">
        <is>
          <t>NA</t>
        </is>
      </c>
      <c r="G234" t="inlineStr">
        <is>
          <t>NA</t>
        </is>
      </c>
    </row>
    <row r="235">
      <c r="A235" t="inlineStr">
        <is>
          <t>$keyCatchWeightObsVar</t>
        </is>
      </c>
      <c r="B235" t="inlineStr"/>
      <c r="C235" t="inlineStr"/>
      <c r="D235" t="inlineStr"/>
      <c r="E235" t="inlineStr"/>
      <c r="F235" t="inlineStr"/>
      <c r="G235" t="inlineStr"/>
    </row>
    <row r="236">
      <c r="A236" t="inlineStr">
        <is>
          <t># Coupling</t>
        </is>
      </c>
      <c r="B236" t="inlineStr">
        <is>
          <t>of catch-weight observation</t>
        </is>
      </c>
      <c r="C236" t="inlineStr">
        <is>
          <t>variance</t>
        </is>
      </c>
      <c r="D236" t="inlineStr">
        <is>
          <t>parameters</t>
        </is>
      </c>
      <c r="E236" t="inlineStr">
        <is>
          <t>(not used if catchWeight-</t>
        </is>
      </c>
      <c r="F236" t="inlineStr"/>
      <c r="G236" t="inlineStr"/>
    </row>
    <row r="237">
      <c r="A237" t="inlineStr">
        <is>
          <t>Model==0)</t>
        </is>
      </c>
      <c r="B237" t="inlineStr"/>
      <c r="C237" t="inlineStr"/>
      <c r="D237" t="inlineStr"/>
      <c r="E237" t="inlineStr"/>
      <c r="F237" t="inlineStr"/>
      <c r="G237" t="inlineStr"/>
    </row>
    <row r="238">
      <c r="A238" t="inlineStr">
        <is>
          <t>NA</t>
        </is>
      </c>
      <c r="B238" t="inlineStr">
        <is>
          <t>NA</t>
        </is>
      </c>
      <c r="C238" t="inlineStr">
        <is>
          <t>NA</t>
        </is>
      </c>
      <c r="D238" t="inlineStr">
        <is>
          <t>NA</t>
        </is>
      </c>
      <c r="E238" t="inlineStr">
        <is>
          <t>NA</t>
        </is>
      </c>
      <c r="F238" t="inlineStr">
        <is>
          <t>NA</t>
        </is>
      </c>
      <c r="G238" t="inlineStr">
        <is>
          <t>NA</t>
        </is>
      </c>
    </row>
    <row r="239">
      <c r="A239" t="inlineStr">
        <is>
          <t>$matureModel</t>
        </is>
      </c>
      <c r="B239" t="inlineStr"/>
      <c r="C239" t="inlineStr"/>
      <c r="D239" t="inlineStr"/>
      <c r="E239" t="inlineStr"/>
      <c r="F239" t="inlineStr"/>
      <c r="G239" t="inlineStr"/>
    </row>
    <row r="240">
      <c r="A240" t="inlineStr">
        <is>
          <t># Integer code describing</t>
        </is>
      </c>
      <c r="B240" t="inlineStr">
        <is>
          <t>the treatment</t>
        </is>
      </c>
      <c r="C240" t="inlineStr">
        <is>
          <t>of proportion</t>
        </is>
      </c>
      <c r="D240" t="inlineStr">
        <is>
          <t>mature in the model (0 use as known,</t>
        </is>
      </c>
      <c r="E240" t="inlineStr"/>
      <c r="F240" t="inlineStr"/>
      <c r="G240" t="inlineStr"/>
    </row>
    <row r="241">
      <c r="A241" t="inlineStr">
        <is>
          <t>1 use as observations</t>
        </is>
      </c>
      <c r="B241" t="inlineStr">
        <is>
          <t>to inform proportion</t>
        </is>
      </c>
      <c r="C241" t="inlineStr">
        <is>
          <t>mature process (GMRF with cohort and within</t>
        </is>
      </c>
      <c r="D241" t="inlineStr"/>
      <c r="E241" t="inlineStr"/>
      <c r="F241" t="inlineStr"/>
      <c r="G241" t="inlineStr"/>
    </row>
    <row r="242">
      <c r="A242" t="inlineStr">
        <is>
          <t>year correlations</t>
        </is>
      </c>
      <c r="B242" t="inlineStr">
        <is>
          <t>on logit(proportion</t>
        </is>
      </c>
      <c r="C242" t="inlineStr">
        <is>
          <t>mature))),</t>
        </is>
      </c>
      <c r="D242" t="inlineStr">
        <is>
          <t>2 to add extra correlation</t>
        </is>
      </c>
      <c r="E242" t="inlineStr">
        <is>
          <t>to plusgroup</t>
        </is>
      </c>
      <c r="F242" t="inlineStr"/>
      <c r="G242" t="inlineStr"/>
    </row>
    <row r="243">
      <c r="A243" t="inlineStr">
        <is>
          <t>2</t>
        </is>
      </c>
      <c r="B243" t="inlineStr"/>
      <c r="C243" t="inlineStr"/>
      <c r="D243" t="inlineStr"/>
      <c r="E243" t="inlineStr"/>
      <c r="F243" t="inlineStr"/>
      <c r="G243" t="inlineStr"/>
    </row>
    <row r="244">
      <c r="A244" t="inlineStr">
        <is>
          <t>$keyMatureMean</t>
        </is>
      </c>
      <c r="B244" t="inlineStr"/>
      <c r="C244" t="inlineStr"/>
      <c r="D244" t="inlineStr"/>
      <c r="E244" t="inlineStr"/>
      <c r="F244" t="inlineStr"/>
      <c r="G244" t="inlineStr"/>
    </row>
    <row r="245">
      <c r="A245" t="inlineStr">
        <is>
          <t># Coupling</t>
        </is>
      </c>
      <c r="B245" t="inlineStr">
        <is>
          <t>of mature process mean parameters</t>
        </is>
      </c>
      <c r="C245" t="inlineStr">
        <is>
          <t>(not used if matureModel==0)</t>
        </is>
      </c>
      <c r="D245" t="inlineStr"/>
      <c r="E245" t="inlineStr"/>
      <c r="F245" t="inlineStr"/>
      <c r="G245" t="inlineStr"/>
    </row>
    <row r="246">
      <c r="A246" t="inlineStr">
        <is>
          <t>0 1 2 3 4 5 6</t>
        </is>
      </c>
      <c r="B246" t="inlineStr"/>
      <c r="C246" t="inlineStr"/>
      <c r="D246" t="inlineStr"/>
      <c r="E246" t="inlineStr"/>
      <c r="F246" t="inlineStr"/>
      <c r="G246" t="inlineStr"/>
    </row>
    <row r="247">
      <c r="A247" t="inlineStr">
        <is>
          <t>$mortalityModel</t>
        </is>
      </c>
      <c r="B247" t="inlineStr"/>
      <c r="C247" t="inlineStr"/>
      <c r="D247" t="inlineStr"/>
      <c r="E247" t="inlineStr"/>
      <c r="F247" t="inlineStr"/>
      <c r="G247" t="inlineStr"/>
    </row>
    <row r="248">
      <c r="A248" t="inlineStr">
        <is>
          <t># Integer code describing</t>
        </is>
      </c>
      <c r="B248" t="inlineStr">
        <is>
          <t>the treatment</t>
        </is>
      </c>
      <c r="C248" t="inlineStr">
        <is>
          <t>of natural mortality</t>
        </is>
      </c>
      <c r="D248" t="inlineStr">
        <is>
          <t>in the model (0 use as known,</t>
        </is>
      </c>
      <c r="E248" t="inlineStr"/>
      <c r="F248" t="inlineStr"/>
      <c r="G248" t="inlineStr"/>
    </row>
    <row r="249">
      <c r="A249" t="inlineStr">
        <is>
          <t>1 use as observations</t>
        </is>
      </c>
      <c r="B249" t="inlineStr">
        <is>
          <t>to inform natural mortality</t>
        </is>
      </c>
      <c r="C249" t="inlineStr">
        <is>
          <t>process (GMRF with cohort and within</t>
        </is>
      </c>
      <c r="D249" t="inlineStr"/>
      <c r="E249" t="inlineStr"/>
      <c r="F249" t="inlineStr"/>
      <c r="G249" t="inlineStr"/>
    </row>
    <row r="250">
      <c r="A250" t="inlineStr">
        <is>
          <t>year correlations)),</t>
        </is>
      </c>
      <c r="B250" t="inlineStr">
        <is>
          <t>2 to add extra correlation</t>
        </is>
      </c>
      <c r="C250" t="inlineStr">
        <is>
          <t>to plusgroup</t>
        </is>
      </c>
      <c r="D250" t="inlineStr"/>
      <c r="E250" t="inlineStr"/>
      <c r="F250" t="inlineStr"/>
      <c r="G250" t="inlineStr"/>
    </row>
    <row r="251">
      <c r="A251" t="inlineStr">
        <is>
          <t>1</t>
        </is>
      </c>
      <c r="B251" t="inlineStr"/>
      <c r="C251" t="inlineStr"/>
      <c r="D251" t="inlineStr"/>
      <c r="E251" t="inlineStr"/>
      <c r="F251" t="inlineStr"/>
      <c r="G251" t="inlineStr"/>
    </row>
    <row r="252">
      <c r="A252" t="inlineStr">
        <is>
          <t>$keyMortalityMean</t>
        </is>
      </c>
      <c r="B252" t="inlineStr"/>
      <c r="C252" t="inlineStr"/>
      <c r="D252" t="inlineStr"/>
      <c r="E252" t="inlineStr"/>
      <c r="F252" t="inlineStr"/>
      <c r="G252" t="inlineStr"/>
    </row>
    <row r="253">
      <c r="A253" t="inlineStr">
        <is>
          <t>#</t>
        </is>
      </c>
      <c r="B253" t="inlineStr"/>
      <c r="C253" t="inlineStr"/>
      <c r="D253" t="inlineStr"/>
      <c r="E253" t="inlineStr"/>
      <c r="F253" t="inlineStr"/>
      <c r="G253" t="inlineStr"/>
    </row>
    <row r="254">
      <c r="A254" t="inlineStr">
        <is>
          <t>0 1 2 3 3 3 3</t>
        </is>
      </c>
      <c r="B254" t="inlineStr"/>
      <c r="C254" t="inlineStr"/>
      <c r="D254" t="inlineStr"/>
      <c r="E254" t="inlineStr"/>
      <c r="F254" t="inlineStr"/>
      <c r="G254" t="inlineStr"/>
    </row>
    <row r="255">
      <c r="A255" t="inlineStr">
        <is>
          <t>$keyMortalityObsVar</t>
        </is>
      </c>
      <c r="B255" t="inlineStr"/>
      <c r="C255" t="inlineStr"/>
      <c r="D255" t="inlineStr"/>
      <c r="E255" t="inlineStr"/>
      <c r="F255" t="inlineStr"/>
      <c r="G255" t="inlineStr"/>
    </row>
    <row r="256">
      <c r="A256" t="inlineStr">
        <is>
          <t>ICES</t>
        </is>
      </c>
      <c r="B256" t="inlineStr">
        <is>
          <t>| WGNSSK</t>
        </is>
      </c>
      <c r="C256" t="inlineStr">
        <is>
          <t>2025</t>
        </is>
      </c>
      <c r="D256" t="inlineStr">
        <is>
          <t>| 149</t>
        </is>
      </c>
      <c r="E256" t="inlineStr"/>
      <c r="F256" t="inlineStr"/>
      <c r="G256" t="inlineStr"/>
    </row>
    <row r="257">
      <c r="A257" t="inlineStr">
        <is>
          <t># Coupling</t>
        </is>
      </c>
      <c r="B257" t="inlineStr">
        <is>
          <t>of natural mortality</t>
        </is>
      </c>
      <c r="C257" t="inlineStr">
        <is>
          <t>observation</t>
        </is>
      </c>
      <c r="D257" t="inlineStr">
        <is>
          <t>variance</t>
        </is>
      </c>
      <c r="E257" t="inlineStr">
        <is>
          <t>parameters</t>
        </is>
      </c>
      <c r="F257" t="inlineStr">
        <is>
          <t>(not used if mortali-</t>
        </is>
      </c>
      <c r="G257" t="inlineStr"/>
    </row>
    <row r="258">
      <c r="A258" t="inlineStr">
        <is>
          <t>tyModel==0)</t>
        </is>
      </c>
      <c r="B258" t="inlineStr"/>
      <c r="C258" t="inlineStr"/>
      <c r="D258" t="inlineStr"/>
      <c r="E258" t="inlineStr"/>
      <c r="F258" t="inlineStr"/>
      <c r="G258" t="inlineStr"/>
    </row>
    <row r="259">
      <c r="A259" t="inlineStr">
        <is>
          <t>0 0 0 0 0 0 0</t>
        </is>
      </c>
      <c r="B259" t="inlineStr"/>
      <c r="C259" t="inlineStr"/>
      <c r="D259" t="inlineStr"/>
      <c r="E259" t="inlineStr"/>
      <c r="F259" t="inlineStr"/>
      <c r="G259" t="inlineStr"/>
    </row>
    <row r="260">
      <c r="A260" t="inlineStr">
        <is>
          <t>$keyXtraSd</t>
        </is>
      </c>
      <c r="B260" t="inlineStr"/>
      <c r="C260" t="inlineStr"/>
      <c r="D260" t="inlineStr"/>
      <c r="E260" t="inlineStr"/>
      <c r="F260" t="inlineStr"/>
      <c r="G260" t="inlineStr"/>
    </row>
    <row r="261">
      <c r="A261" t="inlineStr">
        <is>
          <t># An integer matrix with 4 columns (fleet year age coupling),</t>
        </is>
      </c>
      <c r="B261" t="inlineStr">
        <is>
          <t>which allows additional</t>
        </is>
      </c>
      <c r="C261" t="inlineStr"/>
      <c r="D261" t="inlineStr"/>
      <c r="E261" t="inlineStr"/>
      <c r="F261" t="inlineStr"/>
      <c r="G261" t="inlineStr"/>
    </row>
    <row r="262">
      <c r="A262" t="inlineStr">
        <is>
          <t>uncertainty</t>
        </is>
      </c>
      <c r="B262" t="inlineStr">
        <is>
          <t>to be estimated</t>
        </is>
      </c>
      <c r="C262" t="inlineStr">
        <is>
          <t>for the specified</t>
        </is>
      </c>
      <c r="D262" t="inlineStr">
        <is>
          <t>observations</t>
        </is>
      </c>
      <c r="E262" t="inlineStr"/>
      <c r="F262" t="inlineStr"/>
      <c r="G262" t="inlineStr"/>
    </row>
    <row r="263">
      <c r="A263" t="inlineStr">
        <is>
          <t>$logNMeanAssumption</t>
        </is>
      </c>
      <c r="B263" t="inlineStr"/>
      <c r="C263" t="inlineStr"/>
      <c r="D263" t="inlineStr"/>
      <c r="E263" t="inlineStr"/>
      <c r="F263" t="inlineStr"/>
      <c r="G263" t="inlineStr"/>
    </row>
    <row r="264">
      <c r="A264" t="inlineStr">
        <is>
          <t># Flags indicating</t>
        </is>
      </c>
      <c r="B264" t="inlineStr">
        <is>
          <t>what the population</t>
        </is>
      </c>
      <c r="C264" t="inlineStr">
        <is>
          <t>model should correspond</t>
        </is>
      </c>
      <c r="D264" t="inlineStr">
        <is>
          <t>to. 0: Median, 1: Mean,</t>
        </is>
      </c>
      <c r="E264" t="inlineStr"/>
      <c r="F264" t="inlineStr"/>
      <c r="G264" t="inlineStr"/>
    </row>
    <row r="265">
      <c r="A265" t="inlineStr">
        <is>
          <t>2: Mode. Two values are are given to differentiate</t>
        </is>
      </c>
      <c r="B265" t="inlineStr">
        <is>
          <t>recruitment</t>
        </is>
      </c>
      <c r="C265" t="inlineStr">
        <is>
          <t>and other ages.</t>
        </is>
      </c>
      <c r="D265" t="inlineStr"/>
      <c r="E265" t="inlineStr"/>
      <c r="F265" t="inlineStr"/>
      <c r="G265" t="inlineStr"/>
    </row>
    <row r="266">
      <c r="A266" t="inlineStr">
        <is>
          <t>0 0</t>
        </is>
      </c>
      <c r="B266" t="inlineStr"/>
      <c r="C266" t="inlineStr"/>
      <c r="D266" t="inlineStr"/>
      <c r="E266" t="inlineStr"/>
      <c r="F266" t="inlineStr"/>
      <c r="G266" t="inlineStr"/>
    </row>
    <row r="267">
      <c r="A267" t="inlineStr">
        <is>
          <t>$initState</t>
        </is>
      </c>
      <c r="B267" t="inlineStr"/>
      <c r="C267" t="inlineStr"/>
      <c r="D267" t="inlineStr"/>
      <c r="E267" t="inlineStr"/>
      <c r="F267" t="inlineStr"/>
      <c r="G267" t="inlineStr"/>
    </row>
    <row r="268">
      <c r="A268" t="inlineStr">
        <is>
          <t># Flag indicating</t>
        </is>
      </c>
      <c r="B268" t="inlineStr">
        <is>
          <t>whether initial parameters</t>
        </is>
      </c>
      <c r="C268" t="inlineStr">
        <is>
          <t>should be added for the latent processes.</t>
        </is>
      </c>
      <c r="D268" t="inlineStr"/>
      <c r="E268" t="inlineStr"/>
      <c r="F268" t="inlineStr"/>
      <c r="G268" t="inlineStr"/>
    </row>
    <row r="269">
      <c r="A269" t="inlineStr">
        <is>
          <t>0</t>
        </is>
      </c>
      <c r="B269" t="inlineStr"/>
      <c r="C269" t="inlineStr"/>
      <c r="D269" t="inlineStr"/>
      <c r="E269" t="inlineStr"/>
      <c r="F269" t="inlineStr"/>
      <c r="G269" t="inlineStr"/>
    </row>
    <row r="270">
      <c r="A270" t="inlineStr">
        <is>
          <t>$recruitmentAutocorrelation</t>
        </is>
      </c>
      <c r="B270" t="inlineStr"/>
      <c r="C270" t="inlineStr"/>
      <c r="D270" t="inlineStr"/>
      <c r="E270" t="inlineStr"/>
      <c r="F270" t="inlineStr"/>
      <c r="G270" t="inlineStr"/>
    </row>
    <row r="271">
      <c r="A271" t="inlineStr">
        <is>
          <t># Number of auto-correlation</t>
        </is>
      </c>
      <c r="B271" t="inlineStr">
        <is>
          <t>parameters</t>
        </is>
      </c>
      <c r="C271" t="inlineStr">
        <is>
          <t>for recruitment.</t>
        </is>
      </c>
      <c r="D271" t="inlineStr">
        <is>
          <t>The auto-regressive</t>
        </is>
      </c>
      <c r="E271" t="inlineStr">
        <is>
          <t>process is</t>
        </is>
      </c>
      <c r="F271" t="inlineStr"/>
      <c r="G271" t="inlineStr"/>
    </row>
    <row r="272">
      <c r="A272" t="inlineStr">
        <is>
          <t>forced to be stationary</t>
        </is>
      </c>
      <c r="B272" t="inlineStr">
        <is>
          <t>with real characteristic</t>
        </is>
      </c>
      <c r="C272" t="inlineStr">
        <is>
          <t>roots.</t>
        </is>
      </c>
      <c r="D272" t="inlineStr"/>
      <c r="E272" t="inlineStr"/>
      <c r="F272" t="inlineStr"/>
      <c r="G272" t="inlineStr"/>
    </row>
    <row r="273">
      <c r="A273" t="inlineStr">
        <is>
          <t>0</t>
        </is>
      </c>
      <c r="B273" t="inlineStr"/>
      <c r="C273" t="inlineStr"/>
      <c r="D273" t="inlineStr"/>
      <c r="E273" t="inlineStr"/>
      <c r="F273" t="inlineStr"/>
      <c r="G273" t="inlineStr"/>
    </row>
    <row r="274">
      <c r="A274" t="inlineStr">
        <is>
          <t>$keyLogFseason</t>
        </is>
      </c>
      <c r="B274" t="inlineStr"/>
      <c r="C274" t="inlineStr"/>
      <c r="D274" t="inlineStr"/>
      <c r="E274" t="inlineStr"/>
      <c r="F274" t="inlineStr"/>
      <c r="G274" t="inlineStr"/>
    </row>
    <row r="275">
      <c r="A275" t="inlineStr">
        <is>
          <t># Coupling</t>
        </is>
      </c>
      <c r="B275" t="inlineStr">
        <is>
          <t>of the seasonality</t>
        </is>
      </c>
      <c r="C275" t="inlineStr">
        <is>
          <t>parameters.</t>
        </is>
      </c>
      <c r="D275" t="inlineStr"/>
      <c r="E275" t="inlineStr"/>
      <c r="F275" t="inlineStr"/>
      <c r="G275" t="inlineStr"/>
    </row>
    <row r="276">
      <c r="A276" t="inlineStr">
        <is>
          <t>0</t>
        </is>
      </c>
      <c r="B276" t="inlineStr">
        <is>
          <t>0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</row>
    <row r="277">
      <c r="A277" t="inlineStr">
        <is>
          <t>- 1</t>
        </is>
      </c>
      <c r="B277" t="inlineStr">
        <is>
          <t>-1</t>
        </is>
      </c>
      <c r="C277" t="inlineStr">
        <is>
          <t>-1</t>
        </is>
      </c>
      <c r="D277" t="inlineStr">
        <is>
          <t>-1</t>
        </is>
      </c>
      <c r="E277" t="inlineStr">
        <is>
          <t>-1</t>
        </is>
      </c>
      <c r="F277" t="inlineStr">
        <is>
          <t>-1</t>
        </is>
      </c>
      <c r="G277" t="inlineStr">
        <is>
          <t>-1</t>
        </is>
      </c>
    </row>
    <row r="278">
      <c r="A278" t="inlineStr">
        <is>
          <t>- 1</t>
        </is>
      </c>
      <c r="B278" t="inlineStr">
        <is>
          <t>-1</t>
        </is>
      </c>
      <c r="C278" t="inlineStr">
        <is>
          <t>-1</t>
        </is>
      </c>
      <c r="D278" t="inlineStr">
        <is>
          <t>-1</t>
        </is>
      </c>
      <c r="E278" t="inlineStr">
        <is>
          <t>-1</t>
        </is>
      </c>
      <c r="F278" t="inlineStr">
        <is>
          <t>-1</t>
        </is>
      </c>
      <c r="G278" t="inlineStr">
        <is>
          <t>-1</t>
        </is>
      </c>
    </row>
    <row r="279">
      <c r="A279" t="inlineStr">
        <is>
          <t>- 1</t>
        </is>
      </c>
      <c r="B279" t="inlineStr">
        <is>
          <t>-1</t>
        </is>
      </c>
      <c r="C279" t="inlineStr">
        <is>
          <t>-1</t>
        </is>
      </c>
      <c r="D279" t="inlineStr">
        <is>
          <t>-1</t>
        </is>
      </c>
      <c r="E279" t="inlineStr">
        <is>
          <t>-1</t>
        </is>
      </c>
      <c r="F279" t="inlineStr">
        <is>
          <t>-1</t>
        </is>
      </c>
      <c r="G279" t="inlineStr">
        <is>
          <t>-1</t>
        </is>
      </c>
    </row>
    <row r="280">
      <c r="A280" t="inlineStr">
        <is>
          <t>- 1</t>
        </is>
      </c>
      <c r="B280" t="inlineStr">
        <is>
          <t>-1</t>
        </is>
      </c>
      <c r="C280" t="inlineStr">
        <is>
          <t>-1</t>
        </is>
      </c>
      <c r="D280" t="inlineStr">
        <is>
          <t>-1</t>
        </is>
      </c>
      <c r="E280" t="inlineStr">
        <is>
          <t>-1</t>
        </is>
      </c>
      <c r="F280" t="inlineStr">
        <is>
          <t>-1</t>
        </is>
      </c>
      <c r="G280" t="inlineStr">
        <is>
          <t>-1</t>
        </is>
      </c>
    </row>
    <row r="281">
      <c r="A281" t="inlineStr">
        <is>
          <t>- 1</t>
        </is>
      </c>
      <c r="B281" t="inlineStr">
        <is>
          <t>-1</t>
        </is>
      </c>
      <c r="C281" t="inlineStr">
        <is>
          <t>-1</t>
        </is>
      </c>
      <c r="D281" t="inlineStr">
        <is>
          <t>-1</t>
        </is>
      </c>
      <c r="E281" t="inlineStr">
        <is>
          <t>-1</t>
        </is>
      </c>
      <c r="F281" t="inlineStr">
        <is>
          <t>-1</t>
        </is>
      </c>
      <c r="G281" t="inlineStr">
        <is>
          <t>-1</t>
        </is>
      </c>
    </row>
    <row r="282">
      <c r="A282" t="inlineStr">
        <is>
          <t>- 1</t>
        </is>
      </c>
      <c r="B282" t="inlineStr">
        <is>
          <t>-1</t>
        </is>
      </c>
      <c r="C282" t="inlineStr">
        <is>
          <t>-1</t>
        </is>
      </c>
      <c r="D282" t="inlineStr">
        <is>
          <t>-1</t>
        </is>
      </c>
      <c r="E282" t="inlineStr">
        <is>
          <t>-1</t>
        </is>
      </c>
      <c r="F282" t="inlineStr">
        <is>
          <t>-1</t>
        </is>
      </c>
      <c r="G282" t="inlineStr">
        <is>
          <t>-1</t>
        </is>
      </c>
    </row>
    <row r="283">
      <c r="A283" t="inlineStr">
        <is>
          <t>- 1</t>
        </is>
      </c>
      <c r="B283" t="inlineStr">
        <is>
          <t>-1</t>
        </is>
      </c>
      <c r="C283" t="inlineStr">
        <is>
          <t>-1</t>
        </is>
      </c>
      <c r="D283" t="inlineStr">
        <is>
          <t>-1</t>
        </is>
      </c>
      <c r="E283" t="inlineStr">
        <is>
          <t>-1</t>
        </is>
      </c>
      <c r="F283" t="inlineStr">
        <is>
          <t>-1</t>
        </is>
      </c>
      <c r="G283" t="inlineStr">
        <is>
          <t>-1</t>
        </is>
      </c>
    </row>
    <row r="284">
      <c r="A284" t="inlineStr">
        <is>
          <t>- 1</t>
        </is>
      </c>
      <c r="B284" t="inlineStr">
        <is>
          <t>-1</t>
        </is>
      </c>
      <c r="C284" t="inlineStr">
        <is>
          <t>-1</t>
        </is>
      </c>
      <c r="D284" t="inlineStr">
        <is>
          <t>-1</t>
        </is>
      </c>
      <c r="E284" t="inlineStr">
        <is>
          <t>-1</t>
        </is>
      </c>
      <c r="F284" t="inlineStr">
        <is>
          <t>-1</t>
        </is>
      </c>
      <c r="G284" t="inlineStr">
        <is>
          <t>-1</t>
        </is>
      </c>
    </row>
    <row r="285">
      <c r="A285" t="inlineStr">
        <is>
          <t>- 1</t>
        </is>
      </c>
      <c r="B285" t="inlineStr">
        <is>
          <t>-1</t>
        </is>
      </c>
      <c r="C285" t="inlineStr">
        <is>
          <t>-1</t>
        </is>
      </c>
      <c r="D285" t="inlineStr">
        <is>
          <t>-1</t>
        </is>
      </c>
      <c r="E285" t="inlineStr">
        <is>
          <t>-1</t>
        </is>
      </c>
      <c r="F285" t="inlineStr">
        <is>
          <t>-1</t>
        </is>
      </c>
      <c r="G285" t="inlineStr">
        <is>
          <t>-1</t>
        </is>
      </c>
    </row>
    <row r="286">
      <c r="A286" t="inlineStr">
        <is>
          <t>$seasonTimes</t>
        </is>
      </c>
      <c r="B286" t="inlineStr"/>
      <c r="C286" t="inlineStr"/>
      <c r="D286" t="inlineStr"/>
      <c r="E286" t="inlineStr"/>
      <c r="F286" t="inlineStr"/>
      <c r="G286" t="inlineStr"/>
    </row>
    <row r="287">
      <c r="A287" t="inlineStr">
        <is>
          <t># Vector of time endpoints</t>
        </is>
      </c>
      <c r="B287" t="inlineStr">
        <is>
          <t>for seasons.</t>
        </is>
      </c>
      <c r="C287" t="inlineStr">
        <is>
          <t>Should start with 0 and end with 1. Default is</t>
        </is>
      </c>
      <c r="D287" t="inlineStr"/>
      <c r="E287" t="inlineStr"/>
      <c r="F287" t="inlineStr"/>
      <c r="G287" t="inlineStr"/>
    </row>
    <row r="288">
      <c r="A288" t="inlineStr">
        <is>
          <t>c(0,1).</t>
        </is>
      </c>
      <c r="B288" t="inlineStr"/>
      <c r="C288" t="inlineStr"/>
      <c r="D288" t="inlineStr"/>
      <c r="E288" t="inlineStr"/>
      <c r="F288" t="inlineStr"/>
      <c r="G288" t="inlineStr"/>
    </row>
    <row r="289">
      <c r="A289" t="inlineStr">
        <is>
          <t>0 0.25 0.5 0.75 1</t>
        </is>
      </c>
      <c r="B289" t="inlineStr"/>
      <c r="C289" t="inlineStr"/>
      <c r="D289" t="inlineStr"/>
      <c r="E289" t="inlineStr"/>
      <c r="F289" t="inlineStr"/>
      <c r="G289" t="inlineStr"/>
    </row>
    <row r="290">
      <c r="A290" t="inlineStr">
        <is>
          <t>$isFishingSeason</t>
        </is>
      </c>
      <c r="B290" t="inlineStr"/>
      <c r="C290" t="inlineStr"/>
      <c r="D290" t="inlineStr"/>
      <c r="E290" t="inlineStr"/>
      <c r="F290" t="inlineStr"/>
      <c r="G290" t="inlineStr"/>
    </row>
    <row r="291">
      <c r="A291" t="inlineStr">
        <is>
          <t># Vector of 0/1 indicating</t>
        </is>
      </c>
      <c r="B291" t="inlineStr">
        <is>
          <t>if there is fishing in the season. Length should be one less</t>
        </is>
      </c>
      <c r="C291" t="inlineStr"/>
      <c r="D291" t="inlineStr"/>
      <c r="E291" t="inlineStr"/>
      <c r="F291" t="inlineStr"/>
      <c r="G291" t="inlineStr"/>
    </row>
    <row r="292">
      <c r="A292" t="inlineStr">
        <is>
          <t>than seasonTimes</t>
        </is>
      </c>
      <c r="B292" t="inlineStr"/>
      <c r="C292" t="inlineStr"/>
      <c r="D292" t="inlineStr"/>
      <c r="E292" t="inlineStr"/>
      <c r="F292" t="inlineStr"/>
      <c r="G292" t="inlineStr"/>
    </row>
    <row r="293">
      <c r="A293" t="inlineStr">
        <is>
          <t>1 1 1 1</t>
        </is>
      </c>
      <c r="B293" t="inlineStr"/>
      <c r="C293" t="inlineStr"/>
      <c r="D293" t="inlineStr"/>
      <c r="E293" t="inlineStr"/>
      <c r="F293" t="inlineStr"/>
      <c r="G293" t="inlineStr"/>
    </row>
    <row r="294">
      <c r="A294" t="inlineStr">
        <is>
          <t>$seasonFirstYear</t>
        </is>
      </c>
      <c r="B294" t="inlineStr"/>
      <c r="C294" t="inlineStr"/>
      <c r="D294" t="inlineStr"/>
      <c r="E294" t="inlineStr"/>
      <c r="F294" t="inlineStr"/>
      <c r="G294" t="inlineStr"/>
    </row>
    <row r="295">
      <c r="A295" t="inlineStr">
        <is>
          <t># First year where seasons are used. Default is -Inf.</t>
        </is>
      </c>
      <c r="B295" t="inlineStr"/>
      <c r="C295" t="inlineStr"/>
      <c r="D295" t="inlineStr"/>
      <c r="E295" t="inlineStr"/>
      <c r="F295" t="inlineStr"/>
      <c r="G295" t="inlineStr"/>
    </row>
    <row r="296">
      <c r="A296" t="inlineStr">
        <is>
          <t>-I nf</t>
        </is>
      </c>
      <c r="B296" t="inlineStr"/>
      <c r="C296" t="inlineStr"/>
      <c r="D296" t="inlineStr"/>
      <c r="E296" t="inlineStr"/>
      <c r="F296" t="inlineStr"/>
      <c r="G296" t="inlineStr"/>
    </row>
    <row r="297">
      <c r="A297" t="inlineStr">
        <is>
          <t>$seasonFixedEffect</t>
        </is>
      </c>
      <c r="B297" t="inlineStr"/>
      <c r="C297" t="inlineStr"/>
      <c r="D297" t="inlineStr"/>
      <c r="E297" t="inlineStr"/>
      <c r="F297" t="inlineStr"/>
      <c r="G297" t="inlineStr"/>
    </row>
    <row r="298">
      <c r="A298" t="inlineStr">
        <is>
          <t># 0: Seasonality</t>
        </is>
      </c>
      <c r="B298" t="inlineStr">
        <is>
          <t>is modelled</t>
        </is>
      </c>
      <c r="C298" t="inlineStr">
        <is>
          <t>by random effects.</t>
        </is>
      </c>
      <c r="D298" t="inlineStr">
        <is>
          <t>1: Seasonality</t>
        </is>
      </c>
      <c r="E298" t="inlineStr">
        <is>
          <t>is modelled</t>
        </is>
      </c>
      <c r="F298" t="inlineStr">
        <is>
          <t>by fixed</t>
        </is>
      </c>
      <c r="G298" t="inlineStr"/>
    </row>
    <row r="299">
      <c r="A299" t="inlineStr">
        <is>
          <t>effects.</t>
        </is>
      </c>
      <c r="B299" t="inlineStr"/>
      <c r="C299" t="inlineStr"/>
      <c r="D299" t="inlineStr"/>
      <c r="E299" t="inlineStr"/>
      <c r="F299" t="inlineStr"/>
      <c r="G299" t="inlineStr"/>
    </row>
    <row r="300">
      <c r="A300" t="inlineStr">
        <is>
          <t>1</t>
        </is>
      </c>
      <c r="B300" t="inlineStr"/>
      <c r="C300" t="inlineStr"/>
      <c r="D300" t="inlineStr"/>
      <c r="E300" t="inlineStr"/>
      <c r="F300" t="inlineStr"/>
      <c r="G300" t="inlineStr"/>
    </row>
    <row r="301">
      <c r="A301" t="inlineStr">
        <is>
          <t>$keyMatureObsVar</t>
        </is>
      </c>
      <c r="B301" t="inlineStr"/>
      <c r="C301" t="inlineStr"/>
      <c r="D301" t="inlineStr"/>
      <c r="E301" t="inlineStr"/>
      <c r="F301" t="inlineStr"/>
      <c r="G301" t="inlineStr"/>
    </row>
    <row r="302">
      <c r="A302" t="inlineStr">
        <is>
          <t>#</t>
        </is>
      </c>
      <c r="B302" t="inlineStr"/>
      <c r="C302" t="inlineStr"/>
      <c r="D302" t="inlineStr"/>
      <c r="E302" t="inlineStr"/>
      <c r="F302" t="inlineStr"/>
      <c r="G302" t="inlineStr"/>
    </row>
    <row r="303">
      <c r="A303" t="inlineStr">
        <is>
          <t>$keyLogFbound_kappa</t>
        </is>
      </c>
      <c r="B303" t="inlineStr"/>
      <c r="C303" t="inlineStr"/>
      <c r="D303" t="inlineStr"/>
      <c r="E303" t="inlineStr"/>
      <c r="F303" t="inlineStr"/>
      <c r="G303" t="inlineStr"/>
    </row>
    <row r="304">
      <c r="A304" t="inlineStr">
        <is>
          <t>#</t>
        </is>
      </c>
      <c r="B304" t="inlineStr"/>
      <c r="C304" t="inlineStr"/>
      <c r="D304" t="inlineStr"/>
      <c r="E304" t="inlineStr"/>
      <c r="F304" t="inlineStr"/>
      <c r="G304" t="inlineStr"/>
    </row>
    <row r="305">
      <c r="A305" t="inlineStr">
        <is>
          <t>- 1</t>
        </is>
      </c>
      <c r="B305" t="inlineStr">
        <is>
          <t>-1</t>
        </is>
      </c>
      <c r="C305" t="inlineStr">
        <is>
          <t>-1</t>
        </is>
      </c>
      <c r="D305" t="inlineStr">
        <is>
          <t>-1</t>
        </is>
      </c>
      <c r="E305" t="inlineStr">
        <is>
          <t>-1</t>
        </is>
      </c>
      <c r="F305" t="inlineStr">
        <is>
          <t>-1</t>
        </is>
      </c>
      <c r="G305" t="inlineStr">
        <is>
          <t>-1</t>
        </is>
      </c>
    </row>
    <row r="306">
      <c r="A306" t="inlineStr">
        <is>
          <t>- 1</t>
        </is>
      </c>
      <c r="B306" t="inlineStr">
        <is>
          <t>-1</t>
        </is>
      </c>
      <c r="C306" t="inlineStr">
        <is>
          <t>-1</t>
        </is>
      </c>
      <c r="D306" t="inlineStr">
        <is>
          <t>-1</t>
        </is>
      </c>
      <c r="E306" t="inlineStr">
        <is>
          <t>-1</t>
        </is>
      </c>
      <c r="F306" t="inlineStr">
        <is>
          <t>-1</t>
        </is>
      </c>
      <c r="G306" t="inlineStr">
        <is>
          <t>-1</t>
        </is>
      </c>
    </row>
    <row r="307">
      <c r="A307" t="inlineStr">
        <is>
          <t>150 | ICES SCIENTIFIC REPORTS 6:38 | ICES</t>
        </is>
      </c>
      <c r="B307" t="inlineStr"/>
      <c r="C307" t="inlineStr"/>
      <c r="D307" t="inlineStr"/>
      <c r="E307" t="inlineStr"/>
      <c r="F307" t="inlineStr"/>
      <c r="G307" t="inlineStr"/>
    </row>
    <row r="308">
      <c r="A308" t="inlineStr">
        <is>
          <t>- 1</t>
        </is>
      </c>
      <c r="B308" t="inlineStr">
        <is>
          <t>-1</t>
        </is>
      </c>
      <c r="C308" t="inlineStr">
        <is>
          <t>-1</t>
        </is>
      </c>
      <c r="D308" t="inlineStr">
        <is>
          <t>-1</t>
        </is>
      </c>
      <c r="E308" t="inlineStr">
        <is>
          <t>-1</t>
        </is>
      </c>
      <c r="F308" t="inlineStr">
        <is>
          <t>-1</t>
        </is>
      </c>
      <c r="G308" t="inlineStr">
        <is>
          <t>-1</t>
        </is>
      </c>
    </row>
    <row r="309">
      <c r="A309" t="inlineStr">
        <is>
          <t>- 1</t>
        </is>
      </c>
      <c r="B309" t="inlineStr">
        <is>
          <t>-1</t>
        </is>
      </c>
      <c r="C309" t="inlineStr">
        <is>
          <t>-1</t>
        </is>
      </c>
      <c r="D309" t="inlineStr">
        <is>
          <t>-1</t>
        </is>
      </c>
      <c r="E309" t="inlineStr">
        <is>
          <t>-1</t>
        </is>
      </c>
      <c r="F309" t="inlineStr">
        <is>
          <t>-1</t>
        </is>
      </c>
      <c r="G309" t="inlineStr">
        <is>
          <t>-1</t>
        </is>
      </c>
    </row>
    <row r="310">
      <c r="A310" t="inlineStr">
        <is>
          <t>- 1</t>
        </is>
      </c>
      <c r="B310" t="inlineStr">
        <is>
          <t>-1</t>
        </is>
      </c>
      <c r="C310" t="inlineStr">
        <is>
          <t>-1</t>
        </is>
      </c>
      <c r="D310" t="inlineStr">
        <is>
          <t>-1</t>
        </is>
      </c>
      <c r="E310" t="inlineStr">
        <is>
          <t>-1</t>
        </is>
      </c>
      <c r="F310" t="inlineStr">
        <is>
          <t>-1</t>
        </is>
      </c>
      <c r="G310" t="inlineStr">
        <is>
          <t>-1</t>
        </is>
      </c>
    </row>
    <row r="311">
      <c r="A311" t="inlineStr">
        <is>
          <t>- 1</t>
        </is>
      </c>
      <c r="B311" t="inlineStr">
        <is>
          <t>-1</t>
        </is>
      </c>
      <c r="C311" t="inlineStr">
        <is>
          <t>-1</t>
        </is>
      </c>
      <c r="D311" t="inlineStr">
        <is>
          <t>-1</t>
        </is>
      </c>
      <c r="E311" t="inlineStr">
        <is>
          <t>-1</t>
        </is>
      </c>
      <c r="F311" t="inlineStr">
        <is>
          <t>-1</t>
        </is>
      </c>
      <c r="G311" t="inlineStr">
        <is>
          <t>-1</t>
        </is>
      </c>
    </row>
    <row r="312">
      <c r="A312" t="inlineStr">
        <is>
          <t>- 1</t>
        </is>
      </c>
      <c r="B312" t="inlineStr">
        <is>
          <t>-1</t>
        </is>
      </c>
      <c r="C312" t="inlineStr">
        <is>
          <t>-1</t>
        </is>
      </c>
      <c r="D312" t="inlineStr">
        <is>
          <t>-1</t>
        </is>
      </c>
      <c r="E312" t="inlineStr">
        <is>
          <t>-1</t>
        </is>
      </c>
      <c r="F312" t="inlineStr">
        <is>
          <t>-1</t>
        </is>
      </c>
      <c r="G312" t="inlineStr">
        <is>
          <t>-1</t>
        </is>
      </c>
    </row>
    <row r="313">
      <c r="A313" t="inlineStr">
        <is>
          <t>- 1</t>
        </is>
      </c>
      <c r="B313" t="inlineStr">
        <is>
          <t>-1</t>
        </is>
      </c>
      <c r="C313" t="inlineStr">
        <is>
          <t>-1</t>
        </is>
      </c>
      <c r="D313" t="inlineStr">
        <is>
          <t>-1</t>
        </is>
      </c>
      <c r="E313" t="inlineStr">
        <is>
          <t>-1</t>
        </is>
      </c>
      <c r="F313" t="inlineStr">
        <is>
          <t>-1</t>
        </is>
      </c>
      <c r="G313" t="inlineStr">
        <is>
          <t>-1</t>
        </is>
      </c>
    </row>
    <row r="314">
      <c r="A314" t="inlineStr">
        <is>
          <t>- 1</t>
        </is>
      </c>
      <c r="B314" t="inlineStr">
        <is>
          <t>-1</t>
        </is>
      </c>
      <c r="C314" t="inlineStr">
        <is>
          <t>-1</t>
        </is>
      </c>
      <c r="D314" t="inlineStr">
        <is>
          <t>-1</t>
        </is>
      </c>
      <c r="E314" t="inlineStr">
        <is>
          <t>-1</t>
        </is>
      </c>
      <c r="F314" t="inlineStr">
        <is>
          <t>-1</t>
        </is>
      </c>
      <c r="G314" t="inlineStr">
        <is>
          <t>-1</t>
        </is>
      </c>
    </row>
    <row r="315">
      <c r="A315" t="inlineStr">
        <is>
          <t>- 1</t>
        </is>
      </c>
      <c r="B315" t="inlineStr">
        <is>
          <t>-1</t>
        </is>
      </c>
      <c r="C315" t="inlineStr">
        <is>
          <t>-1</t>
        </is>
      </c>
      <c r="D315" t="inlineStr">
        <is>
          <t>-1</t>
        </is>
      </c>
      <c r="E315" t="inlineStr">
        <is>
          <t>-1</t>
        </is>
      </c>
      <c r="F315" t="inlineStr">
        <is>
          <t>-1</t>
        </is>
      </c>
      <c r="G315" t="inlineStr">
        <is>
          <t>-1</t>
        </is>
      </c>
    </row>
    <row r="316">
      <c r="A316" t="inlineStr">
        <is>
          <t>$keyLogFbound_alpha</t>
        </is>
      </c>
      <c r="B316" t="inlineStr"/>
      <c r="C316" t="inlineStr"/>
      <c r="D316" t="inlineStr"/>
      <c r="E316" t="inlineStr"/>
      <c r="F316" t="inlineStr"/>
      <c r="G316" t="inlineStr"/>
    </row>
    <row r="317">
      <c r="A317" t="inlineStr">
        <is>
          <t>#</t>
        </is>
      </c>
      <c r="B317" t="inlineStr"/>
      <c r="C317" t="inlineStr"/>
      <c r="D317" t="inlineStr"/>
      <c r="E317" t="inlineStr"/>
      <c r="F317" t="inlineStr"/>
      <c r="G317" t="inlineStr"/>
    </row>
    <row r="318">
      <c r="A318" t="inlineStr">
        <is>
          <t>- 1</t>
        </is>
      </c>
      <c r="B318" t="inlineStr">
        <is>
          <t>-1</t>
        </is>
      </c>
      <c r="C318" t="inlineStr">
        <is>
          <t>-1</t>
        </is>
      </c>
      <c r="D318" t="inlineStr">
        <is>
          <t>-1</t>
        </is>
      </c>
      <c r="E318" t="inlineStr">
        <is>
          <t>-1</t>
        </is>
      </c>
      <c r="F318" t="inlineStr">
        <is>
          <t>-1</t>
        </is>
      </c>
      <c r="G318" t="inlineStr">
        <is>
          <t>-1</t>
        </is>
      </c>
    </row>
    <row r="319">
      <c r="A319" t="inlineStr">
        <is>
          <t>- 1</t>
        </is>
      </c>
      <c r="B319" t="inlineStr">
        <is>
          <t>-1</t>
        </is>
      </c>
      <c r="C319" t="inlineStr">
        <is>
          <t>-1</t>
        </is>
      </c>
      <c r="D319" t="inlineStr">
        <is>
          <t>-1</t>
        </is>
      </c>
      <c r="E319" t="inlineStr">
        <is>
          <t>-1</t>
        </is>
      </c>
      <c r="F319" t="inlineStr">
        <is>
          <t>-1</t>
        </is>
      </c>
      <c r="G319" t="inlineStr">
        <is>
          <t>-1</t>
        </is>
      </c>
    </row>
    <row r="320">
      <c r="A320" t="inlineStr">
        <is>
          <t>- 1</t>
        </is>
      </c>
      <c r="B320" t="inlineStr">
        <is>
          <t>-1</t>
        </is>
      </c>
      <c r="C320" t="inlineStr">
        <is>
          <t>-1</t>
        </is>
      </c>
      <c r="D320" t="inlineStr">
        <is>
          <t>-1</t>
        </is>
      </c>
      <c r="E320" t="inlineStr">
        <is>
          <t>-1</t>
        </is>
      </c>
      <c r="F320" t="inlineStr">
        <is>
          <t>-1</t>
        </is>
      </c>
      <c r="G320" t="inlineStr">
        <is>
          <t>-1</t>
        </is>
      </c>
    </row>
    <row r="321">
      <c r="A321" t="inlineStr">
        <is>
          <t>- 1</t>
        </is>
      </c>
      <c r="B321" t="inlineStr">
        <is>
          <t>-1</t>
        </is>
      </c>
      <c r="C321" t="inlineStr">
        <is>
          <t>-1</t>
        </is>
      </c>
      <c r="D321" t="inlineStr">
        <is>
          <t>-1</t>
        </is>
      </c>
      <c r="E321" t="inlineStr">
        <is>
          <t>-1</t>
        </is>
      </c>
      <c r="F321" t="inlineStr">
        <is>
          <t>-1</t>
        </is>
      </c>
      <c r="G321" t="inlineStr">
        <is>
          <t>-1</t>
        </is>
      </c>
    </row>
    <row r="322">
      <c r="A322" t="inlineStr">
        <is>
          <t>- 1</t>
        </is>
      </c>
      <c r="B322" t="inlineStr">
        <is>
          <t>-1</t>
        </is>
      </c>
      <c r="C322" t="inlineStr">
        <is>
          <t>-1</t>
        </is>
      </c>
      <c r="D322" t="inlineStr">
        <is>
          <t>-1</t>
        </is>
      </c>
      <c r="E322" t="inlineStr">
        <is>
          <t>-1</t>
        </is>
      </c>
      <c r="F322" t="inlineStr">
        <is>
          <t>-1</t>
        </is>
      </c>
      <c r="G322" t="inlineStr">
        <is>
          <t>-1</t>
        </is>
      </c>
    </row>
    <row r="323">
      <c r="A323" t="inlineStr">
        <is>
          <t>- 1</t>
        </is>
      </c>
      <c r="B323" t="inlineStr">
        <is>
          <t>-1</t>
        </is>
      </c>
      <c r="C323" t="inlineStr">
        <is>
          <t>-1</t>
        </is>
      </c>
      <c r="D323" t="inlineStr">
        <is>
          <t>-1</t>
        </is>
      </c>
      <c r="E323" t="inlineStr">
        <is>
          <t>-1</t>
        </is>
      </c>
      <c r="F323" t="inlineStr">
        <is>
          <t>-1</t>
        </is>
      </c>
      <c r="G323" t="inlineStr">
        <is>
          <t>-1</t>
        </is>
      </c>
    </row>
    <row r="324">
      <c r="A324" t="inlineStr">
        <is>
          <t>- 1</t>
        </is>
      </c>
      <c r="B324" t="inlineStr">
        <is>
          <t>-1</t>
        </is>
      </c>
      <c r="C324" t="inlineStr">
        <is>
          <t>-1</t>
        </is>
      </c>
      <c r="D324" t="inlineStr">
        <is>
          <t>-1</t>
        </is>
      </c>
      <c r="E324" t="inlineStr">
        <is>
          <t>-1</t>
        </is>
      </c>
      <c r="F324" t="inlineStr">
        <is>
          <t>-1</t>
        </is>
      </c>
      <c r="G324" t="inlineStr">
        <is>
          <t>-1</t>
        </is>
      </c>
    </row>
    <row r="325">
      <c r="A325" t="inlineStr">
        <is>
          <t>- 1</t>
        </is>
      </c>
      <c r="B325" t="inlineStr">
        <is>
          <t>-1</t>
        </is>
      </c>
      <c r="C325" t="inlineStr">
        <is>
          <t>-1</t>
        </is>
      </c>
      <c r="D325" t="inlineStr">
        <is>
          <t>-1</t>
        </is>
      </c>
      <c r="E325" t="inlineStr">
        <is>
          <t>-1</t>
        </is>
      </c>
      <c r="F325" t="inlineStr">
        <is>
          <t>-1</t>
        </is>
      </c>
      <c r="G325" t="inlineStr">
        <is>
          <t>-1</t>
        </is>
      </c>
    </row>
    <row r="326">
      <c r="A326" t="inlineStr">
        <is>
          <t>- 1</t>
        </is>
      </c>
      <c r="B326" t="inlineStr">
        <is>
          <t>-1</t>
        </is>
      </c>
      <c r="C326" t="inlineStr">
        <is>
          <t>-1</t>
        </is>
      </c>
      <c r="D326" t="inlineStr">
        <is>
          <t>-1</t>
        </is>
      </c>
      <c r="E326" t="inlineStr">
        <is>
          <t>-1</t>
        </is>
      </c>
      <c r="F326" t="inlineStr">
        <is>
          <t>-1</t>
        </is>
      </c>
      <c r="G326" t="inlineStr">
        <is>
          <t>-1</t>
        </is>
      </c>
    </row>
    <row r="327">
      <c r="A327" t="inlineStr">
        <is>
          <t>- 1</t>
        </is>
      </c>
      <c r="B327" t="inlineStr">
        <is>
          <t>-1</t>
        </is>
      </c>
      <c r="C327" t="inlineStr">
        <is>
          <t>-1</t>
        </is>
      </c>
      <c r="D327" t="inlineStr">
        <is>
          <t>-1</t>
        </is>
      </c>
      <c r="E327" t="inlineStr">
        <is>
          <t>-1</t>
        </is>
      </c>
      <c r="F327" t="inlineStr">
        <is>
          <t>-1</t>
        </is>
      </c>
      <c r="G327" t="inlineStr">
        <is>
          <t>-1</t>
        </is>
      </c>
    </row>
    <row r="328">
      <c r="A328" t="inlineStr">
        <is>
          <t>$keyLogFbound_tau</t>
        </is>
      </c>
      <c r="B328" t="inlineStr"/>
      <c r="C328" t="inlineStr"/>
      <c r="D328" t="inlineStr"/>
      <c r="E328" t="inlineStr"/>
      <c r="F328" t="inlineStr"/>
      <c r="G328" t="inlineStr"/>
    </row>
    <row r="329">
      <c r="A329" t="inlineStr">
        <is>
          <t>#</t>
        </is>
      </c>
      <c r="B329" t="inlineStr"/>
      <c r="C329" t="inlineStr"/>
      <c r="D329" t="inlineStr"/>
      <c r="E329" t="inlineStr"/>
      <c r="F329" t="inlineStr"/>
      <c r="G329" t="inlineStr"/>
    </row>
    <row r="330">
      <c r="A330" t="inlineStr">
        <is>
          <t>- 1</t>
        </is>
      </c>
      <c r="B330" t="inlineStr">
        <is>
          <t>-1</t>
        </is>
      </c>
      <c r="C330" t="inlineStr">
        <is>
          <t>-1</t>
        </is>
      </c>
      <c r="D330" t="inlineStr">
        <is>
          <t>-1</t>
        </is>
      </c>
      <c r="E330" t="inlineStr">
        <is>
          <t>-1</t>
        </is>
      </c>
      <c r="F330" t="inlineStr">
        <is>
          <t>-1</t>
        </is>
      </c>
      <c r="G330" t="inlineStr">
        <is>
          <t>-1</t>
        </is>
      </c>
    </row>
    <row r="331">
      <c r="A331" t="inlineStr">
        <is>
          <t>- 1</t>
        </is>
      </c>
      <c r="B331" t="inlineStr">
        <is>
          <t>-1</t>
        </is>
      </c>
      <c r="C331" t="inlineStr">
        <is>
          <t>-1</t>
        </is>
      </c>
      <c r="D331" t="inlineStr">
        <is>
          <t>-1</t>
        </is>
      </c>
      <c r="E331" t="inlineStr">
        <is>
          <t>-1</t>
        </is>
      </c>
      <c r="F331" t="inlineStr">
        <is>
          <t>-1</t>
        </is>
      </c>
      <c r="G331" t="inlineStr">
        <is>
          <t>-1</t>
        </is>
      </c>
    </row>
    <row r="332">
      <c r="A332" t="inlineStr">
        <is>
          <t>- 1</t>
        </is>
      </c>
      <c r="B332" t="inlineStr">
        <is>
          <t>-1</t>
        </is>
      </c>
      <c r="C332" t="inlineStr">
        <is>
          <t>-1</t>
        </is>
      </c>
      <c r="D332" t="inlineStr">
        <is>
          <t>-1</t>
        </is>
      </c>
      <c r="E332" t="inlineStr">
        <is>
          <t>-1</t>
        </is>
      </c>
      <c r="F332" t="inlineStr">
        <is>
          <t>-1</t>
        </is>
      </c>
      <c r="G332" t="inlineStr">
        <is>
          <t>-1</t>
        </is>
      </c>
    </row>
    <row r="333">
      <c r="A333" t="inlineStr">
        <is>
          <t>- 1</t>
        </is>
      </c>
      <c r="B333" t="inlineStr">
        <is>
          <t>-1</t>
        </is>
      </c>
      <c r="C333" t="inlineStr">
        <is>
          <t>-1</t>
        </is>
      </c>
      <c r="D333" t="inlineStr">
        <is>
          <t>-1</t>
        </is>
      </c>
      <c r="E333" t="inlineStr">
        <is>
          <t>-1</t>
        </is>
      </c>
      <c r="F333" t="inlineStr">
        <is>
          <t>-1</t>
        </is>
      </c>
      <c r="G333" t="inlineStr">
        <is>
          <t>-1</t>
        </is>
      </c>
    </row>
    <row r="334">
      <c r="A334" t="inlineStr">
        <is>
          <t>- 1</t>
        </is>
      </c>
      <c r="B334" t="inlineStr">
        <is>
          <t>-1</t>
        </is>
      </c>
      <c r="C334" t="inlineStr">
        <is>
          <t>-1</t>
        </is>
      </c>
      <c r="D334" t="inlineStr">
        <is>
          <t>-1</t>
        </is>
      </c>
      <c r="E334" t="inlineStr">
        <is>
          <t>-1</t>
        </is>
      </c>
      <c r="F334" t="inlineStr">
        <is>
          <t>-1</t>
        </is>
      </c>
      <c r="G334" t="inlineStr">
        <is>
          <t>-1</t>
        </is>
      </c>
    </row>
    <row r="335">
      <c r="A335" t="inlineStr">
        <is>
          <t>- 1</t>
        </is>
      </c>
      <c r="B335" t="inlineStr">
        <is>
          <t>-1</t>
        </is>
      </c>
      <c r="C335" t="inlineStr">
        <is>
          <t>-1</t>
        </is>
      </c>
      <c r="D335" t="inlineStr">
        <is>
          <t>-1</t>
        </is>
      </c>
      <c r="E335" t="inlineStr">
        <is>
          <t>-1</t>
        </is>
      </c>
      <c r="F335" t="inlineStr">
        <is>
          <t>-1</t>
        </is>
      </c>
      <c r="G335" t="inlineStr">
        <is>
          <t>-1</t>
        </is>
      </c>
    </row>
    <row r="336">
      <c r="A336" t="inlineStr">
        <is>
          <t>- 1</t>
        </is>
      </c>
      <c r="B336" t="inlineStr">
        <is>
          <t>-1</t>
        </is>
      </c>
      <c r="C336" t="inlineStr">
        <is>
          <t>-1</t>
        </is>
      </c>
      <c r="D336" t="inlineStr">
        <is>
          <t>-1</t>
        </is>
      </c>
      <c r="E336" t="inlineStr">
        <is>
          <t>-1</t>
        </is>
      </c>
      <c r="F336" t="inlineStr">
        <is>
          <t>-1</t>
        </is>
      </c>
      <c r="G336" t="inlineStr">
        <is>
          <t>-1</t>
        </is>
      </c>
    </row>
    <row r="337">
      <c r="A337" t="inlineStr">
        <is>
          <t>- 1</t>
        </is>
      </c>
      <c r="B337" t="inlineStr">
        <is>
          <t>-1</t>
        </is>
      </c>
      <c r="C337" t="inlineStr">
        <is>
          <t>-1</t>
        </is>
      </c>
      <c r="D337" t="inlineStr">
        <is>
          <t>-1</t>
        </is>
      </c>
      <c r="E337" t="inlineStr">
        <is>
          <t>-1</t>
        </is>
      </c>
      <c r="F337" t="inlineStr">
        <is>
          <t>-1</t>
        </is>
      </c>
      <c r="G337" t="inlineStr">
        <is>
          <t>-1</t>
        </is>
      </c>
    </row>
    <row r="338">
      <c r="A338" t="inlineStr">
        <is>
          <t>- 1</t>
        </is>
      </c>
      <c r="B338" t="inlineStr">
        <is>
          <t>-1</t>
        </is>
      </c>
      <c r="C338" t="inlineStr">
        <is>
          <t>-1</t>
        </is>
      </c>
      <c r="D338" t="inlineStr">
        <is>
          <t>-1</t>
        </is>
      </c>
      <c r="E338" t="inlineStr">
        <is>
          <t>-1</t>
        </is>
      </c>
      <c r="F338" t="inlineStr">
        <is>
          <t>-1</t>
        </is>
      </c>
      <c r="G338" t="inlineStr">
        <is>
          <t>-1</t>
        </is>
      </c>
    </row>
    <row r="339">
      <c r="A339" t="inlineStr">
        <is>
          <t>- 1</t>
        </is>
      </c>
      <c r="B339" t="inlineStr">
        <is>
          <t>-1</t>
        </is>
      </c>
      <c r="C339" t="inlineStr">
        <is>
          <t>-1</t>
        </is>
      </c>
      <c r="D339" t="inlineStr">
        <is>
          <t>-1</t>
        </is>
      </c>
      <c r="E339" t="inlineStr">
        <is>
          <t>-1</t>
        </is>
      </c>
      <c r="F339" t="inlineStr">
        <is>
          <t>-1</t>
        </is>
      </c>
      <c r="G339" t="inlineStr">
        <is>
          <t>-1</t>
        </is>
      </c>
    </row>
    <row r="340">
      <c r="A340" t="inlineStr">
        <is>
          <t>$boundF</t>
        </is>
      </c>
      <c r="B340" t="inlineStr"/>
      <c r="C340" t="inlineStr"/>
      <c r="D340" t="inlineStr"/>
      <c r="E340" t="inlineStr"/>
      <c r="F340" t="inlineStr"/>
      <c r="G340" t="inlineStr"/>
    </row>
    <row r="341">
      <c r="A341" t="inlineStr">
        <is>
          <t># (Soft) lower and upper bound for the average fishing mortality.</t>
        </is>
      </c>
      <c r="B341" t="inlineStr">
        <is>
          <t>Default is NA for no</t>
        </is>
      </c>
      <c r="C341" t="inlineStr"/>
      <c r="D341" t="inlineStr"/>
      <c r="E341" t="inlineStr"/>
      <c r="F341" t="inlineStr"/>
      <c r="G341" t="inlineStr"/>
    </row>
    <row r="342">
      <c r="A342" t="inlineStr">
        <is>
          <t>bound.</t>
        </is>
      </c>
      <c r="B342" t="inlineStr"/>
      <c r="C342" t="inlineStr"/>
      <c r="D342" t="inlineStr"/>
      <c r="E342" t="inlineStr"/>
      <c r="F342" t="inlineStr"/>
      <c r="G342" t="inlineStr"/>
    </row>
    <row r="343">
      <c r="A343" t="inlineStr">
        <is>
          <t>NA NA</t>
        </is>
      </c>
      <c r="B343" t="inlineStr"/>
      <c r="C343" t="inlineStr"/>
      <c r="D343" t="inlineStr"/>
      <c r="E343" t="inlineStr"/>
      <c r="F343" t="inlineStr"/>
      <c r="G343" t="inlineStr"/>
    </row>
    <row r="344">
      <c r="A344" t="inlineStr">
        <is>
          <t>$fecundityScaling</t>
        </is>
      </c>
      <c r="B344" t="inlineStr"/>
      <c r="C344" t="inlineStr"/>
      <c r="D344" t="inlineStr"/>
      <c r="E344" t="inlineStr"/>
      <c r="F344" t="inlineStr"/>
      <c r="G344" t="inlineStr"/>
    </row>
    <row r="345">
      <c r="A345" t="inlineStr">
        <is>
          <t># Allometric</t>
        </is>
      </c>
      <c r="B345" t="inlineStr">
        <is>
          <t>scaling of fecundity.</t>
        </is>
      </c>
      <c r="C345" t="inlineStr">
        <is>
          <t>Use NA to estimate.</t>
        </is>
      </c>
      <c r="D345" t="inlineStr"/>
      <c r="E345" t="inlineStr"/>
      <c r="F345" t="inlineStr"/>
      <c r="G345" t="inlineStr"/>
    </row>
    <row r="346">
      <c r="A346" t="inlineStr">
        <is>
          <t>1</t>
        </is>
      </c>
      <c r="B346" t="inlineStr"/>
      <c r="C346" t="inlineStr"/>
      <c r="D346" t="inlineStr"/>
      <c r="E346" t="inlineStr"/>
      <c r="F346" t="inlineStr"/>
      <c r="G34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</row>
    <row r="2">
      <c r="A2" t="inlineStr">
        <is>
          <t>ration arguments.</t>
        </is>
      </c>
      <c r="B2" t="inlineStr"/>
      <c r="C2" t="inlineStr"/>
      <c r="D2" t="inlineStr"/>
      <c r="E2" t="inlineStr"/>
      <c r="F2" t="inlineStr"/>
    </row>
    <row r="3">
      <c r="A3" t="inlineStr">
        <is>
          <t>$newtonsteps</t>
        </is>
      </c>
      <c r="B3" t="inlineStr"/>
      <c r="C3" t="inlineStr"/>
      <c r="D3" t="inlineStr"/>
      <c r="E3" t="inlineStr"/>
      <c r="F3" t="inlineStr"/>
    </row>
    <row r="4">
      <c r="A4" t="inlineStr">
        <is>
          <t>0</t>
        </is>
      </c>
      <c r="B4" t="inlineStr"/>
      <c r="C4" t="inlineStr"/>
      <c r="D4" t="inlineStr"/>
      <c r="E4" t="inlineStr"/>
      <c r="F4" t="inlineStr"/>
    </row>
    <row r="5">
      <c r="A5" t="inlineStr">
        <is>
          <t>$rm.unidentified</t>
        </is>
      </c>
      <c r="B5" t="inlineStr"/>
      <c r="C5" t="inlineStr"/>
      <c r="D5" t="inlineStr"/>
      <c r="E5" t="inlineStr"/>
      <c r="F5" t="inlineStr"/>
    </row>
    <row r="6">
      <c r="A6" t="inlineStr">
        <is>
          <t>FALSE</t>
        </is>
      </c>
      <c r="B6" t="inlineStr"/>
      <c r="C6" t="inlineStr"/>
      <c r="D6" t="inlineStr"/>
      <c r="E6" t="inlineStr"/>
      <c r="F6" t="inlineStr"/>
    </row>
    <row r="7">
      <c r="A7" t="inlineStr">
        <is>
          <t>$lower</t>
        </is>
      </c>
      <c r="B7" t="inlineStr"/>
      <c r="C7" t="inlineStr"/>
      <c r="D7" t="inlineStr"/>
      <c r="E7" t="inlineStr"/>
      <c r="F7" t="inlineStr"/>
    </row>
    <row r="8">
      <c r="A8" t="inlineStr">
        <is>
          <t>list(initLogN =</t>
        </is>
      </c>
      <c r="B8" t="inlineStr">
        <is>
          <t>10, shared_lfsSd =</t>
        </is>
      </c>
      <c r="C8" t="inlineStr">
        <is>
          <t>-3, logSdLogObs =</t>
        </is>
      </c>
      <c r="D8" t="inlineStr">
        <is>
          <t>-5, logitArea =</t>
        </is>
      </c>
      <c r="E8" t="inlineStr">
        <is>
          <t>-5, sigmaObsParUS =</t>
        </is>
      </c>
      <c r="F8" t="inlineStr"/>
    </row>
    <row r="9">
      <c r="A9" t="inlineStr">
        <is>
          <t>-3, transfIRARdist =</t>
        </is>
      </c>
      <c r="B9" t="inlineStr">
        <is>
          <t>-3, seasonMu =</t>
        </is>
      </c>
      <c r="C9" t="inlineStr">
        <is>
          <t>-8)</t>
        </is>
      </c>
      <c r="D9" t="inlineStr"/>
      <c r="E9" t="inlineStr"/>
      <c r="F9" t="inlineStr"/>
    </row>
    <row r="10">
      <c r="A10" t="inlineStr">
        <is>
          <t>$upper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list(initLogN =</t>
        </is>
      </c>
      <c r="B11" t="inlineStr">
        <is>
          <t>15, transfIRARdist =</t>
        </is>
      </c>
      <c r="C11" t="inlineStr">
        <is>
          <t>3, logSdMO =</t>
        </is>
      </c>
      <c r="D11" t="inlineStr">
        <is>
          <t>5, logSdLogObs =</t>
        </is>
      </c>
      <c r="E11" t="inlineStr">
        <is>
          <t>2, logitArea =</t>
        </is>
      </c>
      <c r="F11" t="inlineStr">
        <is>
          <t>5,</t>
        </is>
      </c>
    </row>
    <row r="12">
      <c r="A12" t="inlineStr">
        <is>
          <t>sigmaObsParUS =</t>
        </is>
      </c>
      <c r="B12" t="inlineStr">
        <is>
          <t>3)</t>
        </is>
      </c>
      <c r="C12" t="inlineStr"/>
      <c r="D12" t="inlineStr"/>
      <c r="E12" t="inlineStr"/>
      <c r="F12" t="inlineStr"/>
    </row>
    <row r="13">
      <c r="A13" t="inlineStr">
        <is>
          <t>$starting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list()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$shared_keys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c("keyLogFpar" , "keyQpow" , "keyVarF" , "keyVarLogN" , "keyVarObs" , "keyCorObs" , "sea-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sonRho", "seasonSd" , "keyLogFmu" , "keyLogFrho" , "keyStockWeightObsVar" , "procSdSW" ,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ICES</t>
        </is>
      </c>
      <c r="B18" t="inlineStr">
        <is>
          <t>| WGNSSK</t>
        </is>
      </c>
      <c r="C18" t="inlineStr">
        <is>
          <t>2025</t>
        </is>
      </c>
      <c r="D18" t="inlineStr">
        <is>
          <t>| 151</t>
        </is>
      </c>
      <c r="E18" t="inlineStr"/>
      <c r="F18" t="inlineStr"/>
    </row>
    <row r="19">
      <c r="A19" t="inlineStr">
        <is>
          <t>"phiSW", "procSdMO" , "phiMO", "sdMO", "keyMortalityObsVar" , "procSdNM" , "phiNM", "keyMor-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talityMean" , "sigmaObsParUS" , "rec_transphi" , "predVarObsLink" , "keyXtraSd" )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$shared_selectivity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4L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$shared_seasonality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0L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$shared_stockrecruitment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FALSE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$shared_oneFScalePars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TRUE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$shared_initN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FALSE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$shared_proportionalHazard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~poly(Age,3)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$skip_stock_observations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TRUE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$initN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2L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$initF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FALSE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$inner.control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list(maxit = 2000)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Finally, the following fleet -to-stock key was passed to the fitting procedure with the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shared observations: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T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able 4.7c. Cod in Subarea 4, divisions 6.a and 7.d, and Subdivision 20 . Multistock</t>
        </is>
      </c>
      <c r="B44" t="inlineStr">
        <is>
          <t>SAM final run fleet -to-stock key.</t>
        </is>
      </c>
      <c r="C44" t="inlineStr"/>
      <c r="D44" t="inlineStr"/>
      <c r="E44" t="inlineStr"/>
      <c r="F44" t="inlineStr"/>
    </row>
    <row r="45">
      <c r="A45" t="inlineStr">
        <is>
          <t>North-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west South Viking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Catch 1 1 1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Survey_Q34</t>
        </is>
      </c>
      <c r="B48" t="inlineStr">
        <is>
          <t>1 1 1</t>
        </is>
      </c>
      <c r="C48" t="inlineStr"/>
      <c r="D48" t="inlineStr"/>
      <c r="E48" t="inlineStr"/>
      <c r="F48" t="inlineStr"/>
    </row>
    <row r="49">
      <c r="A49" t="inlineStr">
        <is>
          <t>Survey_Q1_NW</t>
        </is>
      </c>
      <c r="B49" t="inlineStr">
        <is>
          <t>1 0 0</t>
        </is>
      </c>
      <c r="C49" t="inlineStr"/>
      <c r="D49" t="inlineStr"/>
      <c r="E49" t="inlineStr"/>
      <c r="F49" t="inlineStr"/>
    </row>
    <row r="50">
      <c r="A50" t="inlineStr">
        <is>
          <t>Survey_Q1_SO</t>
        </is>
      </c>
      <c r="B50" t="inlineStr">
        <is>
          <t>0 1 0</t>
        </is>
      </c>
      <c r="C50" t="inlineStr"/>
      <c r="D50" t="inlineStr"/>
      <c r="E50" t="inlineStr"/>
      <c r="F50" t="inlineStr"/>
    </row>
    <row r="51">
      <c r="A51" t="inlineStr">
        <is>
          <t>Survey_Q1_VI</t>
        </is>
      </c>
      <c r="B51" t="inlineStr">
        <is>
          <t>0 0 1</t>
        </is>
      </c>
      <c r="C51" t="inlineStr"/>
      <c r="D51" t="inlineStr"/>
      <c r="E51" t="inlineStr"/>
      <c r="F51" t="inlineStr"/>
    </row>
    <row r="52">
      <c r="A52" t="inlineStr">
        <is>
          <t>Survey_Rec_NW</t>
        </is>
      </c>
      <c r="B52" t="inlineStr">
        <is>
          <t>1 0 0</t>
        </is>
      </c>
      <c r="C52" t="inlineStr"/>
      <c r="D52" t="inlineStr"/>
      <c r="E52" t="inlineStr"/>
      <c r="F52" t="inlineStr"/>
    </row>
    <row r="53">
      <c r="A53" t="inlineStr">
        <is>
          <t>Survey_Rec_SO</t>
        </is>
      </c>
      <c r="B53" t="inlineStr">
        <is>
          <t>0 0.75 0</t>
        </is>
      </c>
      <c r="C53" t="inlineStr"/>
      <c r="D53" t="inlineStr"/>
      <c r="E53" t="inlineStr"/>
      <c r="F53" t="inlineStr"/>
    </row>
    <row r="54">
      <c r="A54" t="inlineStr">
        <is>
          <t>Survey_Rec_VI</t>
        </is>
      </c>
      <c r="B54" t="inlineStr">
        <is>
          <t>0 0.25 1</t>
        </is>
      </c>
      <c r="C54" t="inlineStr"/>
      <c r="D54" t="inlineStr"/>
      <c r="E54" t="inlineStr"/>
      <c r="F54" t="inlineStr"/>
    </row>
    <row r="55">
      <c r="A55" t="inlineStr">
        <is>
          <t>AUX_SeasonProp</t>
        </is>
      </c>
      <c r="B55" t="inlineStr">
        <is>
          <t>1 1 1</t>
        </is>
      </c>
      <c r="C55" t="inlineStr"/>
      <c r="D55" t="inlineStr"/>
      <c r="E55" t="inlineStr"/>
      <c r="F55" t="inlineStr"/>
    </row>
    <row r="56">
      <c r="A56" t="inlineStr">
        <is>
          <t>AUX_SubNew</t>
        </is>
      </c>
      <c r="B56" t="inlineStr">
        <is>
          <t>1 1 1</t>
        </is>
      </c>
      <c r="C56" t="inlineStr"/>
      <c r="D56" t="inlineStr"/>
      <c r="E56" t="inlineStr"/>
      <c r="F5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inlineStr">
        <is>
          <t>Model fitting</t>
        </is>
      </c>
      <c r="B2" t="inlineStr"/>
      <c r="C2" t="inlineStr"/>
    </row>
    <row r="3">
      <c r="A3" t="inlineStr">
        <is>
          <t>log(L)</t>
        </is>
      </c>
      <c r="B3" t="inlineStr">
        <is>
          <t>#par</t>
        </is>
      </c>
      <c r="C3" t="inlineStr">
        <is>
          <t>AIC</t>
        </is>
      </c>
    </row>
    <row r="4">
      <c r="A4" t="inlineStr">
        <is>
          <t>1405.673 146 -2519.35</t>
        </is>
      </c>
      <c r="B4" t="inlineStr"/>
      <c r="C4" t="inlineStr"/>
    </row>
    <row r="5">
      <c r="A5" t="inlineStr">
        <is>
          <t>152 | ICES SCIENTIFIC REPORTS 6:38 | ICES</t>
        </is>
      </c>
      <c r="B5" t="inlineStr"/>
      <c r="C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</row>
    <row r="2">
      <c r="A2" t="inlineStr">
        <is>
          <t>ity-at-age for each substock.</t>
        </is>
      </c>
      <c r="B2" t="inlineStr"/>
      <c r="C2" t="inlineStr"/>
      <c r="D2" t="inlineStr"/>
    </row>
    <row r="3">
      <c r="A3" t="inlineStr">
        <is>
          <t>Northwest ern</t>
        </is>
      </c>
      <c r="B3" t="inlineStr"/>
      <c r="C3" t="inlineStr"/>
      <c r="D3" t="inlineStr"/>
    </row>
    <row r="4">
      <c r="A4" t="inlineStr">
        <is>
          <t>Year/Age</t>
        </is>
      </c>
      <c r="B4" t="inlineStr">
        <is>
          <t>1 2 3 4 5 6 7+ Fbar</t>
        </is>
      </c>
      <c r="C4" t="inlineStr"/>
      <c r="D4" t="inlineStr"/>
    </row>
    <row r="5">
      <c r="A5" t="inlineStr">
        <is>
          <t>1983 0.3 0.928 0.767 0.745 0.628 0.673 1.017 0.813</t>
        </is>
      </c>
      <c r="B5" t="inlineStr"/>
      <c r="C5" t="inlineStr"/>
      <c r="D5" t="inlineStr"/>
    </row>
    <row r="6">
      <c r="A6" t="inlineStr">
        <is>
          <t>1984 0.345 1.067 0.895 0.86 0.748 0.81 1.179 0.941</t>
        </is>
      </c>
      <c r="B6" t="inlineStr"/>
      <c r="C6" t="inlineStr"/>
      <c r="D6" t="inlineStr"/>
    </row>
    <row r="7">
      <c r="A7" t="inlineStr">
        <is>
          <t>1985 0.343 1.057 0.908 0.86 0.744 0.801 1.13 0.942</t>
        </is>
      </c>
      <c r="B7" t="inlineStr"/>
      <c r="C7" t="inlineStr"/>
      <c r="D7" t="inlineStr"/>
    </row>
    <row r="8">
      <c r="A8" t="inlineStr">
        <is>
          <t>1986 0.342 1.067 0.963 0.907 0.782 0.818 1.094 0.979</t>
        </is>
      </c>
      <c r="B8" t="inlineStr"/>
      <c r="C8" t="inlineStr"/>
      <c r="D8" t="inlineStr"/>
    </row>
    <row r="9">
      <c r="A9" t="inlineStr">
        <is>
          <t>1987 0.315 0.998 0.934 0.871 0.749 0.786 0.989 0.934</t>
        </is>
      </c>
      <c r="B9" t="inlineStr"/>
      <c r="C9" t="inlineStr"/>
      <c r="D9" t="inlineStr"/>
    </row>
    <row r="10">
      <c r="A10" t="inlineStr">
        <is>
          <t>1988 0.286 0.911 0.899 0.825 0.719 0.738 0.866 0.878</t>
        </is>
      </c>
      <c r="B10" t="inlineStr"/>
      <c r="C10" t="inlineStr"/>
      <c r="D10" t="inlineStr"/>
    </row>
    <row r="11">
      <c r="A11" t="inlineStr">
        <is>
          <t>1989 0.304 0.977 0.97 0.903 0.786 0.788 0.86 0.95</t>
        </is>
      </c>
      <c r="B11" t="inlineStr"/>
      <c r="C11" t="inlineStr"/>
      <c r="D11" t="inlineStr"/>
    </row>
    <row r="12">
      <c r="A12" t="inlineStr">
        <is>
          <t>1990 0.322 1.053 1.03 0.98 0.874 0.86 0.878 1.021</t>
        </is>
      </c>
      <c r="B12" t="inlineStr"/>
      <c r="C12" t="inlineStr"/>
      <c r="D12" t="inlineStr"/>
    </row>
    <row r="13">
      <c r="A13" t="inlineStr">
        <is>
          <t>1991 0.304 1.003 1.009 0.973 0.901 0.904 0.889 0.995</t>
        </is>
      </c>
      <c r="B13" t="inlineStr"/>
      <c r="C13" t="inlineStr"/>
      <c r="D13" t="inlineStr"/>
    </row>
    <row r="14">
      <c r="A14" t="inlineStr">
        <is>
          <t>1992 0.279 0.931 0.944 0.913 0.855 0.869 0.833 0.93</t>
        </is>
      </c>
      <c r="B14" t="inlineStr"/>
      <c r="C14" t="inlineStr"/>
      <c r="D14" t="inlineStr"/>
    </row>
    <row r="15">
      <c r="A15" t="inlineStr">
        <is>
          <t>1993 0.275 0.941 0.962 0.897 0.843 0.853 0.789 0.933</t>
        </is>
      </c>
      <c r="B15" t="inlineStr"/>
      <c r="C15" t="inlineStr"/>
      <c r="D15" t="inlineStr"/>
    </row>
    <row r="16">
      <c r="A16" t="inlineStr">
        <is>
          <t>1994 0.265 0.919 0.992 0.902 0.843 0.849 0.759 0.938</t>
        </is>
      </c>
      <c r="B16" t="inlineStr"/>
      <c r="C16" t="inlineStr"/>
      <c r="D16" t="inlineStr"/>
    </row>
    <row r="17">
      <c r="A17" t="inlineStr">
        <is>
          <t>1995 0.282 1.033 1.121 0.987 0.908 0.895 0.772 1.047</t>
        </is>
      </c>
      <c r="B17" t="inlineStr"/>
      <c r="C17" t="inlineStr"/>
      <c r="D17" t="inlineStr"/>
    </row>
    <row r="18">
      <c r="A18" t="inlineStr">
        <is>
          <t>1996 0.275 1.047 1.183 1.026 0.953 0.93 0.788 1.085</t>
        </is>
      </c>
      <c r="B18" t="inlineStr"/>
      <c r="C18" t="inlineStr"/>
      <c r="D18" t="inlineStr"/>
    </row>
    <row r="19">
      <c r="A19" t="inlineStr">
        <is>
          <t>1997 0.242 0.929 1.103 0.987 0.926 0.893 0.735 1.006</t>
        </is>
      </c>
      <c r="B19" t="inlineStr"/>
      <c r="C19" t="inlineStr"/>
      <c r="D19" t="inlineStr"/>
    </row>
    <row r="20">
      <c r="A20" t="inlineStr">
        <is>
          <t>1998 0.25 0.981 1.195 1.094 1.04 0.971 0.765 1.09</t>
        </is>
      </c>
      <c r="B20" t="inlineStr"/>
      <c r="C20" t="inlineStr"/>
      <c r="D20" t="inlineStr"/>
    </row>
    <row r="21">
      <c r="A21" t="inlineStr">
        <is>
          <t>1999 0.24 0.957 1.224 1.156 1.113 1.048 0.806 1.112</t>
        </is>
      </c>
      <c r="B21" t="inlineStr"/>
      <c r="C21" t="inlineStr"/>
      <c r="D21" t="inlineStr"/>
    </row>
    <row r="22">
      <c r="A22" t="inlineStr">
        <is>
          <t>2000 0.221 0.891 1.15 1.16 1.16 1.089 0.82 1.067</t>
        </is>
      </c>
      <c r="B22" t="inlineStr"/>
      <c r="C22" t="inlineStr"/>
      <c r="D22" t="inlineStr"/>
    </row>
    <row r="23">
      <c r="A23" t="inlineStr">
        <is>
          <t>2001 0.189 0.768 0.997 1.018 1.037 0.996 0.753 0.928</t>
        </is>
      </c>
      <c r="B23" t="inlineStr"/>
      <c r="C23" t="inlineStr"/>
      <c r="D23" t="inlineStr"/>
    </row>
    <row r="24">
      <c r="A24" t="inlineStr">
        <is>
          <t>2002 0.181 0.741 0.968 0.988 0.987 0.972 0.729 0.899</t>
        </is>
      </c>
      <c r="B24" t="inlineStr"/>
      <c r="C24" t="inlineStr"/>
      <c r="D24" t="inlineStr"/>
    </row>
    <row r="25">
      <c r="A25" t="inlineStr">
        <is>
          <t>2003 0.161 0.665 0.897 0.933 0.929 0.917 0.681 0.832</t>
        </is>
      </c>
      <c r="B25" t="inlineStr"/>
      <c r="C25" t="inlineStr"/>
      <c r="D25" t="inlineStr"/>
    </row>
    <row r="26">
      <c r="A26" t="inlineStr">
        <is>
          <t>2004 0.154 0.637 0.879 0.908 0.914 0.903 0.655 0.808</t>
        </is>
      </c>
      <c r="B26" t="inlineStr"/>
      <c r="C26" t="inlineStr"/>
      <c r="D26" t="inlineStr"/>
    </row>
    <row r="27">
      <c r="A27" t="inlineStr">
        <is>
          <t>2005 0.135 0.562 0.795 0.817 0.856 0.857 0.613 0.725</t>
        </is>
      </c>
      <c r="B27" t="inlineStr"/>
      <c r="C27" t="inlineStr"/>
      <c r="D27" t="inlineStr"/>
    </row>
    <row r="28">
      <c r="A28" t="inlineStr">
        <is>
          <t>2006 0.124 0.518 0.731 0.737 0.804 0.831 0.592 0.662</t>
        </is>
      </c>
      <c r="B28" t="inlineStr"/>
      <c r="C28" t="inlineStr"/>
      <c r="D28" t="inlineStr"/>
    </row>
    <row r="29">
      <c r="A29" t="inlineStr">
        <is>
          <t>2007 0.113 0.471 0.695 0.7 0.773 0.811 0.577 0.622</t>
        </is>
      </c>
      <c r="B29" t="inlineStr"/>
      <c r="C29" t="inlineStr"/>
      <c r="D29" t="inlineStr"/>
    </row>
    <row r="30">
      <c r="A30" t="inlineStr">
        <is>
          <t>2008 0.114 0.486 0.751 0.754 0.866 0.917 0.647 0.664</t>
        </is>
      </c>
      <c r="B30" t="inlineStr"/>
      <c r="C30" t="inlineStr"/>
      <c r="D30" t="inlineStr"/>
    </row>
    <row r="31">
      <c r="A31" t="inlineStr">
        <is>
          <t>2009 0.099 0.422 0.69 0.716 0.85 0.923 0.658 0.609</t>
        </is>
      </c>
      <c r="B31" t="inlineStr"/>
      <c r="C31" t="inlineStr"/>
      <c r="D31" t="inlineStr"/>
    </row>
    <row r="32">
      <c r="A32" t="inlineStr">
        <is>
          <t>ICES</t>
        </is>
      </c>
      <c r="B32" t="inlineStr">
        <is>
          <t>| WGNSSK</t>
        </is>
      </c>
      <c r="C32" t="inlineStr">
        <is>
          <t>2025</t>
        </is>
      </c>
      <c r="D32" t="inlineStr">
        <is>
          <t>| 153</t>
        </is>
      </c>
    </row>
    <row r="33">
      <c r="A33" t="inlineStr">
        <is>
          <t>Year/Age</t>
        </is>
      </c>
      <c r="B33" t="inlineStr">
        <is>
          <t>1 2 3 4 5 6 7+ Fbar</t>
        </is>
      </c>
      <c r="C33" t="inlineStr"/>
      <c r="D33" t="inlineStr"/>
    </row>
    <row r="34">
      <c r="A34" t="inlineStr">
        <is>
          <t>2010 0.087 0.37 0.635 0.669 0.822 0.896 0.653 0.558</t>
        </is>
      </c>
      <c r="B34" t="inlineStr"/>
      <c r="C34" t="inlineStr"/>
      <c r="D34" t="inlineStr"/>
    </row>
    <row r="35">
      <c r="A35" t="inlineStr">
        <is>
          <t>2011 0.073 0.309 0.556 0.603 0.763 0.839 0.619 0.489</t>
        </is>
      </c>
      <c r="B35" t="inlineStr"/>
      <c r="C35" t="inlineStr"/>
      <c r="D35" t="inlineStr"/>
    </row>
    <row r="36">
      <c r="A36" t="inlineStr">
        <is>
          <t>2012 0.072 0.301 0.551 0.605 0.781 0.851 0.634 0.486</t>
        </is>
      </c>
      <c r="B36" t="inlineStr"/>
      <c r="C36" t="inlineStr"/>
      <c r="D36" t="inlineStr"/>
    </row>
    <row r="37">
      <c r="A37" t="inlineStr">
        <is>
          <t>2013 0.066 0.28 0.526 0.581 0.753 0.807 0.617 0.463</t>
        </is>
      </c>
      <c r="B37" t="inlineStr"/>
      <c r="C37" t="inlineStr"/>
      <c r="D37" t="inlineStr"/>
    </row>
    <row r="38">
      <c r="A38" t="inlineStr">
        <is>
          <t>2014 0.059 0.249 0.479 0.525 0.676 0.713 0.555 0.418</t>
        </is>
      </c>
      <c r="B38" t="inlineStr"/>
      <c r="C38" t="inlineStr"/>
      <c r="D38" t="inlineStr"/>
    </row>
    <row r="39">
      <c r="A39" t="inlineStr">
        <is>
          <t>2015 0.059 0.25 0.484 0.527 0.679 0.699 0.555 0.421</t>
        </is>
      </c>
      <c r="B39" t="inlineStr"/>
      <c r="C39" t="inlineStr"/>
      <c r="D39" t="inlineStr"/>
    </row>
    <row r="40">
      <c r="A40" t="inlineStr">
        <is>
          <t>2016 0.064 0.278 0.544 0.589 0.756 0.75 0.603 0.47</t>
        </is>
      </c>
      <c r="B40" t="inlineStr"/>
      <c r="C40" t="inlineStr"/>
      <c r="D40" t="inlineStr"/>
    </row>
    <row r="41">
      <c r="A41" t="inlineStr">
        <is>
          <t>2017 0.075 0.335 0.655 0.719 0.915 0.889 0.719 0.57</t>
        </is>
      </c>
      <c r="B41" t="inlineStr"/>
      <c r="C41" t="inlineStr"/>
      <c r="D41" t="inlineStr"/>
    </row>
    <row r="42">
      <c r="A42" t="inlineStr">
        <is>
          <t>2018 0.084 0.381 0.751 0.816 1.063 1.029 0.864 0.649</t>
        </is>
      </c>
      <c r="B42" t="inlineStr"/>
      <c r="C42" t="inlineStr"/>
      <c r="D42" t="inlineStr"/>
    </row>
    <row r="43">
      <c r="A43" t="inlineStr">
        <is>
          <t>2019 0.071 0.319 0.653 0.717 0.949 0.937 0.816 0.563</t>
        </is>
      </c>
      <c r="B43" t="inlineStr"/>
      <c r="C43" t="inlineStr"/>
      <c r="D43" t="inlineStr"/>
    </row>
    <row r="44">
      <c r="A44" t="inlineStr">
        <is>
          <t>2020 0.055 0.245 0.513 0.581 0.772 0.771 0.686 0.446</t>
        </is>
      </c>
      <c r="B44" t="inlineStr"/>
      <c r="C44" t="inlineStr"/>
      <c r="D44" t="inlineStr"/>
    </row>
    <row r="45">
      <c r="A45" t="inlineStr">
        <is>
          <t>2021 0.043 0.19 0.416 0.487 0.655 0.656 0.611 0.364</t>
        </is>
      </c>
      <c r="B45" t="inlineStr"/>
      <c r="C45" t="inlineStr"/>
      <c r="D45" t="inlineStr"/>
    </row>
    <row r="46">
      <c r="A46" t="inlineStr">
        <is>
          <t>2022 0.04 0.181 0.403 0.478 0.64 0.645 0.614 0.354</t>
        </is>
      </c>
      <c r="B46" t="inlineStr"/>
      <c r="C46" t="inlineStr"/>
      <c r="D46" t="inlineStr"/>
    </row>
    <row r="47">
      <c r="A47" t="inlineStr">
        <is>
          <t>2023 0.043 0.197 0.447 0.533 0.705 0.701 0.668 0.392</t>
        </is>
      </c>
      <c r="B47" t="inlineStr"/>
      <c r="C47" t="inlineStr"/>
      <c r="D47" t="inlineStr"/>
    </row>
    <row r="48">
      <c r="A48" t="inlineStr">
        <is>
          <t>2024 0.043 0.204 0.477 0.576 0.765 0.743 0.713 0.419</t>
        </is>
      </c>
      <c r="B48" t="inlineStr"/>
      <c r="C48" t="inlineStr"/>
      <c r="D48" t="inlineStr"/>
    </row>
    <row r="49">
      <c r="A49" t="inlineStr">
        <is>
          <t>Southern</t>
        </is>
      </c>
      <c r="B49" t="inlineStr"/>
      <c r="C49" t="inlineStr"/>
      <c r="D49" t="inlineStr"/>
    </row>
    <row r="50">
      <c r="A50" t="inlineStr">
        <is>
          <t>Year/Age</t>
        </is>
      </c>
      <c r="B50" t="inlineStr">
        <is>
          <t>1 2 3 4 5 6 7+ Fbar</t>
        </is>
      </c>
      <c r="C50" t="inlineStr"/>
      <c r="D50" t="inlineStr"/>
    </row>
    <row r="51">
      <c r="A51" t="inlineStr">
        <is>
          <t>1983 0.37 1.263 1.097 1.057 0.828 0.763 0.913 1.139</t>
        </is>
      </c>
      <c r="B51" t="inlineStr"/>
      <c r="C51" t="inlineStr"/>
      <c r="D51" t="inlineStr"/>
    </row>
    <row r="52">
      <c r="A52" t="inlineStr">
        <is>
          <t>1984 0.432 1.473 1.298 1.237 1 0.932 1.073 1.336</t>
        </is>
      </c>
      <c r="B52" t="inlineStr"/>
      <c r="C52" t="inlineStr"/>
      <c r="D52" t="inlineStr"/>
    </row>
    <row r="53">
      <c r="A53" t="inlineStr">
        <is>
          <t>1985 0.427 1.455 1.313 1.234 0.992 0.919 1.026 1.334</t>
        </is>
      </c>
      <c r="B53" t="inlineStr"/>
      <c r="C53" t="inlineStr"/>
      <c r="D53" t="inlineStr"/>
    </row>
    <row r="54">
      <c r="A54" t="inlineStr">
        <is>
          <t>1986 0.422 1.451 1.376 1.286 1.03 0.927 0.981 1.371</t>
        </is>
      </c>
      <c r="B54" t="inlineStr"/>
      <c r="C54" t="inlineStr"/>
      <c r="D54" t="inlineStr"/>
    </row>
    <row r="55">
      <c r="A55" t="inlineStr">
        <is>
          <t>1987 0.382 1.338 1.316 1.218 0.973 0.879 0.875 1.291</t>
        </is>
      </c>
      <c r="B55" t="inlineStr"/>
      <c r="C55" t="inlineStr"/>
      <c r="D55" t="inlineStr"/>
    </row>
    <row r="56">
      <c r="A56" t="inlineStr">
        <is>
          <t>1988 0.344 1.21 1.255 1.143 0.925 0.817 0.759 1.203</t>
        </is>
      </c>
      <c r="B56" t="inlineStr"/>
      <c r="C56" t="inlineStr"/>
      <c r="D56" t="inlineStr"/>
    </row>
    <row r="57">
      <c r="A57" t="inlineStr">
        <is>
          <t>1989 0.365 1.292 1.35 1.246 1.008 0.869 0.751 1.296</t>
        </is>
      </c>
      <c r="B57" t="inlineStr"/>
      <c r="C57" t="inlineStr"/>
      <c r="D57" t="inlineStr"/>
    </row>
    <row r="58">
      <c r="A58" t="inlineStr">
        <is>
          <t>1990 0.389 1.404 1.442 1.363 1.128 0.956 0.772 1.403</t>
        </is>
      </c>
      <c r="B58" t="inlineStr"/>
      <c r="C58" t="inlineStr"/>
      <c r="D58" t="inlineStr"/>
    </row>
    <row r="59">
      <c r="A59" t="inlineStr">
        <is>
          <t>1991 0.363 1.322 1.396 1.336 1.149 0.993 0.773 1.351</t>
        </is>
      </c>
      <c r="B59" t="inlineStr"/>
      <c r="C59" t="inlineStr"/>
      <c r="D59" t="inlineStr"/>
    </row>
    <row r="60">
      <c r="A60" t="inlineStr">
        <is>
          <t>1992 0.326 1.198 1.276 1.225 1.064 0.932 0.707 1.233</t>
        </is>
      </c>
      <c r="B60" t="inlineStr"/>
      <c r="C60" t="inlineStr"/>
      <c r="D60" t="inlineStr"/>
    </row>
    <row r="61">
      <c r="A61" t="inlineStr">
        <is>
          <t>1993 0.312 1.175 1.264 1.168 1.019 0.889 0.65 1.202</t>
        </is>
      </c>
      <c r="B61" t="inlineStr"/>
      <c r="C61" t="inlineStr"/>
      <c r="D61" t="inlineStr"/>
    </row>
    <row r="62">
      <c r="A62" t="inlineStr">
        <is>
          <t>1994 0.294 1.125 1.276 1.152 1 0.867 0.613 1.184</t>
        </is>
      </c>
      <c r="B62" t="inlineStr"/>
      <c r="C62" t="inlineStr"/>
      <c r="D62" t="inlineStr"/>
    </row>
    <row r="63">
      <c r="A63" t="inlineStr">
        <is>
          <t>154 | ICES SCIENTIFIC REPORTS 6:38 | ICES</t>
        </is>
      </c>
      <c r="B63" t="inlineStr"/>
      <c r="C63" t="inlineStr"/>
      <c r="D63" t="inlineStr"/>
    </row>
    <row r="64">
      <c r="A64" t="inlineStr">
        <is>
          <t>Year/Age</t>
        </is>
      </c>
      <c r="B64" t="inlineStr">
        <is>
          <t>1 2 3 4 5 6 7+ Fbar</t>
        </is>
      </c>
      <c r="C64" t="inlineStr"/>
      <c r="D64" t="inlineStr"/>
    </row>
    <row r="65">
      <c r="A65" t="inlineStr">
        <is>
          <t>1995 0.31 1.251 1.427 1.247 1.065 0.904 0.617 1.309</t>
        </is>
      </c>
      <c r="B65" t="inlineStr"/>
      <c r="C65" t="inlineStr"/>
      <c r="D65" t="inlineStr"/>
    </row>
    <row r="66">
      <c r="A66" t="inlineStr">
        <is>
          <t>1996 0.302 1.269 1.508 1.297 1.119 0.94 0.631 1.358</t>
        </is>
      </c>
      <c r="B66" t="inlineStr"/>
      <c r="C66" t="inlineStr"/>
      <c r="D66" t="inlineStr"/>
    </row>
    <row r="67">
      <c r="A67" t="inlineStr">
        <is>
          <t>1997 0.264 1.118 1.395 1.239 1.079 0.896 0.584 1.251</t>
        </is>
      </c>
      <c r="B67" t="inlineStr"/>
      <c r="C67" t="inlineStr"/>
      <c r="D67" t="inlineStr"/>
    </row>
    <row r="68">
      <c r="A68" t="inlineStr">
        <is>
          <t>1998 0.28 1.215 1.554 1.412 1.247 1.002 0.625 1.394</t>
        </is>
      </c>
      <c r="B68" t="inlineStr"/>
      <c r="C68" t="inlineStr"/>
      <c r="D68" t="inlineStr"/>
    </row>
    <row r="69">
      <c r="A69" t="inlineStr">
        <is>
          <t>1999 0.277 1.218 1.637 1.534 1.371 1.112 0.677 1.463</t>
        </is>
      </c>
      <c r="B69" t="inlineStr"/>
      <c r="C69" t="inlineStr"/>
      <c r="D69" t="inlineStr"/>
    </row>
    <row r="70">
      <c r="A70" t="inlineStr">
        <is>
          <t>2000 0.261 1.164 1.578 1.58 1.467 1.185 0.707 1.44</t>
        </is>
      </c>
      <c r="B70" t="inlineStr"/>
      <c r="C70" t="inlineStr"/>
      <c r="D70" t="inlineStr"/>
    </row>
    <row r="71">
      <c r="A71" t="inlineStr">
        <is>
          <t>2001 0.224 1.009 1.376 1.394 1.319 1.091 0.653 1.26</t>
        </is>
      </c>
      <c r="B71" t="inlineStr"/>
      <c r="C71" t="inlineStr"/>
      <c r="D71" t="inlineStr"/>
    </row>
    <row r="72">
      <c r="A72" t="inlineStr">
        <is>
          <t>2002 0.218 0.984 1.351 1.368 1.269 1.076 0.639 1.235</t>
        </is>
      </c>
      <c r="B72" t="inlineStr"/>
      <c r="C72" t="inlineStr"/>
      <c r="D72" t="inlineStr"/>
    </row>
    <row r="73">
      <c r="A73" t="inlineStr">
        <is>
          <t>2003 0.194 0.884 1.252 1.293 1.195 1.015 0.597 1.143</t>
        </is>
      </c>
      <c r="B73" t="inlineStr"/>
      <c r="C73" t="inlineStr"/>
      <c r="D73" t="inlineStr"/>
    </row>
    <row r="74">
      <c r="A74" t="inlineStr">
        <is>
          <t>2004 0.189 0.863 1.251 1.283 1.199 1.02 0.586 1.132</t>
        </is>
      </c>
      <c r="B74" t="inlineStr"/>
      <c r="C74" t="inlineStr"/>
      <c r="D74" t="inlineStr"/>
    </row>
    <row r="75">
      <c r="A75" t="inlineStr">
        <is>
          <t>2005 0.165 0.757 1.126 1.148 1.117 0.963 0.545 1.01</t>
        </is>
      </c>
      <c r="B75" t="inlineStr"/>
      <c r="C75" t="inlineStr"/>
      <c r="D75" t="inlineStr"/>
    </row>
    <row r="76">
      <c r="A76" t="inlineStr">
        <is>
          <t>2006 0.152 0.7 1.038 1.038 1.052 0.936 0.528 0.925</t>
        </is>
      </c>
      <c r="B76" t="inlineStr"/>
      <c r="C76" t="inlineStr"/>
      <c r="D76" t="inlineStr"/>
    </row>
    <row r="77">
      <c r="A77" t="inlineStr">
        <is>
          <t>2007 0.139 0.644 0.998 0.996 1.022 0.923 0.52 0.879</t>
        </is>
      </c>
      <c r="B77" t="inlineStr"/>
      <c r="C77" t="inlineStr"/>
      <c r="D77" t="inlineStr"/>
    </row>
    <row r="78">
      <c r="A78" t="inlineStr">
        <is>
          <t>2008 0.146 0.686 1.115 1.111 1.184 1.08 0.602 0.971</t>
        </is>
      </c>
      <c r="B78" t="inlineStr"/>
      <c r="C78" t="inlineStr"/>
      <c r="D78" t="inlineStr"/>
    </row>
    <row r="79">
      <c r="A79" t="inlineStr">
        <is>
          <t>2009 0.13 0.614 1.055 1.087 1.199 1.121 0.632 0.919</t>
        </is>
      </c>
      <c r="B79" t="inlineStr"/>
      <c r="C79" t="inlineStr"/>
      <c r="D79" t="inlineStr"/>
    </row>
    <row r="80">
      <c r="A80" t="inlineStr">
        <is>
          <t>2010 0.119 0.559 1.007 1.053 1.202 1.128 0.651 0.873</t>
        </is>
      </c>
      <c r="B80" t="inlineStr"/>
      <c r="C80" t="inlineStr"/>
      <c r="D80" t="inlineStr"/>
    </row>
    <row r="81">
      <c r="A81" t="inlineStr">
        <is>
          <t>2011 0.102 0.473 0.897 0.965 1.133 1.073 0.626 0.778</t>
        </is>
      </c>
      <c r="B81" t="inlineStr"/>
      <c r="C81" t="inlineStr"/>
      <c r="D81" t="inlineStr"/>
    </row>
    <row r="82">
      <c r="A82" t="inlineStr">
        <is>
          <t>2012 0.101 0.468 0.901 0.982 1.175 1.103 0.65 0.783</t>
        </is>
      </c>
      <c r="B82" t="inlineStr"/>
      <c r="C82" t="inlineStr"/>
      <c r="D82" t="inlineStr"/>
    </row>
    <row r="83">
      <c r="A83" t="inlineStr">
        <is>
          <t>2013 0.095 0.44 0.869 0.953 1.147 1.058 0.64 0.754</t>
        </is>
      </c>
      <c r="B83" t="inlineStr"/>
      <c r="C83" t="inlineStr"/>
      <c r="D83" t="inlineStr"/>
    </row>
    <row r="84">
      <c r="A84" t="inlineStr">
        <is>
          <t>2014 0.084 0.391 0.792 0.86 1.029 0.935 0.576 0.681</t>
        </is>
      </c>
      <c r="B84" t="inlineStr"/>
      <c r="C84" t="inlineStr"/>
      <c r="D84" t="inlineStr"/>
    </row>
    <row r="85">
      <c r="A85" t="inlineStr">
        <is>
          <t>2015 0.084 0.395 0.804 0.869 1.039 0.921 0.579 0.689</t>
        </is>
      </c>
      <c r="B85" t="inlineStr"/>
      <c r="C85" t="inlineStr"/>
      <c r="D85" t="inlineStr"/>
    </row>
    <row r="86">
      <c r="A86" t="inlineStr">
        <is>
          <t>2016 0.092 0.437 0.896 0.963 1.149 0.981 0.624 0.765</t>
        </is>
      </c>
      <c r="B86" t="inlineStr"/>
      <c r="C86" t="inlineStr"/>
      <c r="D86" t="inlineStr"/>
    </row>
    <row r="87">
      <c r="A87" t="inlineStr">
        <is>
          <t>2017 0.105 0.513 1.055 1.149 1.358 1.135 0.726 0.905</t>
        </is>
      </c>
      <c r="B87" t="inlineStr"/>
      <c r="C87" t="inlineStr"/>
      <c r="D87" t="inlineStr"/>
    </row>
    <row r="88">
      <c r="A88" t="inlineStr">
        <is>
          <t>2018 0.114 0.571 1.185 1.277 1.545 1.288 0.856 1.011</t>
        </is>
      </c>
      <c r="B88" t="inlineStr"/>
      <c r="C88" t="inlineStr"/>
      <c r="D88" t="inlineStr"/>
    </row>
    <row r="89">
      <c r="A89" t="inlineStr">
        <is>
          <t>2019 0.093 0.463 0.995 1.084 1.332 1.133 0.78 0.847</t>
        </is>
      </c>
      <c r="B89" t="inlineStr"/>
      <c r="C89" t="inlineStr"/>
      <c r="D89" t="inlineStr"/>
    </row>
    <row r="90">
      <c r="A90" t="inlineStr">
        <is>
          <t>2020 0.071 0.346 0.763 0.856 1.057 0.909 0.64 0.655</t>
        </is>
      </c>
      <c r="B90" t="inlineStr"/>
      <c r="C90" t="inlineStr"/>
      <c r="D90" t="inlineStr"/>
    </row>
    <row r="91">
      <c r="A91" t="inlineStr">
        <is>
          <t>2021 0.055 0.266 0.609 0.708 0.884 0.762 0.562 0.528</t>
        </is>
      </c>
      <c r="B91" t="inlineStr"/>
      <c r="C91" t="inlineStr"/>
      <c r="D91" t="inlineStr"/>
    </row>
    <row r="92">
      <c r="A92" t="inlineStr">
        <is>
          <t>2022 0.05 0.248 0.58 0.684 0.85 0.737 0.555 0.504</t>
        </is>
      </c>
      <c r="B92" t="inlineStr"/>
      <c r="C92" t="inlineStr"/>
      <c r="D92" t="inlineStr"/>
    </row>
    <row r="93">
      <c r="A93" t="inlineStr">
        <is>
          <t>2023 0.053 0.272 0.646 0.765 0.941 0.805 0.607 0.561</t>
        </is>
      </c>
      <c r="B93" t="inlineStr"/>
      <c r="C93" t="inlineStr"/>
      <c r="D93" t="inlineStr"/>
    </row>
    <row r="94">
      <c r="A94" t="inlineStr">
        <is>
          <t>ICES</t>
        </is>
      </c>
      <c r="B94" t="inlineStr">
        <is>
          <t>| WGNSSK</t>
        </is>
      </c>
      <c r="C94" t="inlineStr">
        <is>
          <t>2025</t>
        </is>
      </c>
      <c r="D94" t="inlineStr">
        <is>
          <t>| 155</t>
        </is>
      </c>
    </row>
    <row r="95">
      <c r="A95" t="inlineStr">
        <is>
          <t>Year/Age</t>
        </is>
      </c>
      <c r="B95" t="inlineStr">
        <is>
          <t>1 2 3 4 5 6 7+ Fbar</t>
        </is>
      </c>
      <c r="C95" t="inlineStr"/>
      <c r="D95" t="inlineStr"/>
    </row>
    <row r="96">
      <c r="A96" t="inlineStr">
        <is>
          <t>2024 0.054 0.278 0.683 0.818 1.008 0.844 0.641 0.593</t>
        </is>
      </c>
      <c r="B96" t="inlineStr"/>
      <c r="C96" t="inlineStr"/>
      <c r="D96" t="inlineStr"/>
    </row>
    <row r="97">
      <c r="A97" t="inlineStr">
        <is>
          <t>Viking</t>
        </is>
      </c>
      <c r="B97" t="inlineStr"/>
      <c r="C97" t="inlineStr"/>
      <c r="D97" t="inlineStr"/>
    </row>
    <row r="98">
      <c r="A98" t="inlineStr">
        <is>
          <t>Year/Age</t>
        </is>
      </c>
      <c r="B98" t="inlineStr">
        <is>
          <t>1 2 3 4 5 6 7+ Fbar</t>
        </is>
      </c>
      <c r="C98" t="inlineStr"/>
      <c r="D98" t="inlineStr"/>
    </row>
    <row r="99">
      <c r="A99" t="inlineStr">
        <is>
          <t>1983 0.076 0.549 0.655 0.686 0.56 0.629 1.309 0.63</t>
        </is>
      </c>
      <c r="B99" t="inlineStr"/>
      <c r="C99" t="inlineStr"/>
      <c r="D99" t="inlineStr"/>
    </row>
    <row r="100">
      <c r="A100" t="inlineStr">
        <is>
          <t>1984 0.086 0.619 0.749 0.775 0.653 0.743 1.487 0.714</t>
        </is>
      </c>
      <c r="B100" t="inlineStr"/>
      <c r="C100" t="inlineStr"/>
      <c r="D100" t="inlineStr"/>
    </row>
    <row r="101">
      <c r="A101" t="inlineStr">
        <is>
          <t>1985 0.084 0.607 0.753 0.768 0.643 0.727 1.411 0.709</t>
        </is>
      </c>
      <c r="B101" t="inlineStr"/>
      <c r="C101" t="inlineStr"/>
      <c r="D101" t="inlineStr"/>
    </row>
    <row r="102">
      <c r="A102" t="inlineStr">
        <is>
          <t>1986 0.084 0.612 0.798 0.809 0.675 0.742 1.365 0.739</t>
        </is>
      </c>
      <c r="B102" t="inlineStr"/>
      <c r="C102" t="inlineStr"/>
      <c r="D102" t="inlineStr"/>
    </row>
    <row r="103">
      <c r="A103" t="inlineStr">
        <is>
          <t>1987 0.076 0.562 0.76 0.763 0.635 0.7 1.213 0.695</t>
        </is>
      </c>
      <c r="B103" t="inlineStr"/>
      <c r="C103" t="inlineStr"/>
      <c r="D103" t="inlineStr"/>
    </row>
    <row r="104">
      <c r="A104" t="inlineStr">
        <is>
          <t>1988 0.068 0.506 0.721 0.713 0.601 0.648 1.047 0.646</t>
        </is>
      </c>
      <c r="B104" t="inlineStr"/>
      <c r="C104" t="inlineStr"/>
      <c r="D104" t="inlineStr"/>
    </row>
    <row r="105">
      <c r="A105" t="inlineStr">
        <is>
          <t>1989 0.072 0.543 0.779 0.781 0.658 0.693 1.041 0.701</t>
        </is>
      </c>
      <c r="B105" t="inlineStr"/>
      <c r="C105" t="inlineStr"/>
      <c r="D105" t="inlineStr"/>
    </row>
    <row r="106">
      <c r="A106" t="inlineStr">
        <is>
          <t>1990 0.076 0.582 0.822 0.842 0.727 0.752 1.056 0.748</t>
        </is>
      </c>
      <c r="B106" t="inlineStr"/>
      <c r="C106" t="inlineStr"/>
      <c r="D106" t="inlineStr"/>
    </row>
    <row r="107">
      <c r="A107" t="inlineStr">
        <is>
          <t>1991 0.072 0.554 0.805 0.836 0.75 0.79 1.07 0.732</t>
        </is>
      </c>
      <c r="B107" t="inlineStr"/>
      <c r="C107" t="inlineStr"/>
      <c r="D107" t="inlineStr"/>
    </row>
    <row r="108">
      <c r="A108" t="inlineStr">
        <is>
          <t>1992 0.066 0.513 0.752 0.783 0.709 0.758 0.999 0.683</t>
        </is>
      </c>
      <c r="B108" t="inlineStr"/>
      <c r="C108" t="inlineStr"/>
      <c r="D108" t="inlineStr"/>
    </row>
    <row r="109">
      <c r="A109" t="inlineStr">
        <is>
          <t>1993 0.065 0.52 0.768 0.77 0.701 0.746 0.949 0.686</t>
        </is>
      </c>
      <c r="B109" t="inlineStr"/>
      <c r="C109" t="inlineStr"/>
      <c r="D109" t="inlineStr"/>
    </row>
    <row r="110">
      <c r="A110" t="inlineStr">
        <is>
          <t>1994 0.063 0.51 0.795 0.778 0.704 0.745 0.916 0.694</t>
        </is>
      </c>
      <c r="B110" t="inlineStr"/>
      <c r="C110" t="inlineStr"/>
      <c r="D110" t="inlineStr"/>
    </row>
    <row r="111">
      <c r="A111" t="inlineStr">
        <is>
          <t>1995 0.067 0.572 0.897 0.85 0.757 0.784 0.931 0.773</t>
        </is>
      </c>
      <c r="B111" t="inlineStr"/>
      <c r="C111" t="inlineStr"/>
      <c r="D111" t="inlineStr"/>
    </row>
    <row r="112">
      <c r="A112" t="inlineStr">
        <is>
          <t>1996 0.064 0.569 0.929 0.867 0.78 0.8 0.933 0.788</t>
        </is>
      </c>
      <c r="B112" t="inlineStr"/>
      <c r="C112" t="inlineStr"/>
      <c r="D112" t="inlineStr"/>
    </row>
    <row r="113">
      <c r="A113" t="inlineStr">
        <is>
          <t>1997 0.055 0.491 0.843 0.812 0.738 0.747 0.847 0.716</t>
        </is>
      </c>
      <c r="B113" t="inlineStr"/>
      <c r="C113" t="inlineStr"/>
      <c r="D113" t="inlineStr"/>
    </row>
    <row r="114">
      <c r="A114" t="inlineStr">
        <is>
          <t>1998 0.055 0.508 0.894 0.881 0.812 0.796 0.862 0.761</t>
        </is>
      </c>
      <c r="B114" t="inlineStr"/>
      <c r="C114" t="inlineStr"/>
      <c r="D114" t="inlineStr"/>
    </row>
    <row r="115">
      <c r="A115" t="inlineStr">
        <is>
          <t>1999 0.054 0.499 0.921 0.937 0.873 0.864 0.914 0.785</t>
        </is>
      </c>
      <c r="B115" t="inlineStr"/>
      <c r="C115" t="inlineStr"/>
      <c r="D115" t="inlineStr"/>
    </row>
    <row r="116">
      <c r="A116" t="inlineStr">
        <is>
          <t>2000 0.049 0.464 0.864 0.939 0.909 0.896 0.929 0.755</t>
        </is>
      </c>
      <c r="B116" t="inlineStr"/>
      <c r="C116" t="inlineStr"/>
      <c r="D116" t="inlineStr"/>
    </row>
    <row r="117">
      <c r="A117" t="inlineStr">
        <is>
          <t>2001 0.042 0.398 0.746 0.821 0.809 0.817 0.85 0.655</t>
        </is>
      </c>
      <c r="B117" t="inlineStr"/>
      <c r="C117" t="inlineStr"/>
      <c r="D117" t="inlineStr"/>
    </row>
    <row r="118">
      <c r="A118" t="inlineStr">
        <is>
          <t>2002 0.039 0.377 0.711 0.781 0.755 0.781 0.807 0.623</t>
        </is>
      </c>
      <c r="B118" t="inlineStr"/>
      <c r="C118" t="inlineStr"/>
      <c r="D118" t="inlineStr"/>
    </row>
    <row r="119">
      <c r="A119" t="inlineStr">
        <is>
          <t>2003 0.036 0.347 0.676 0.757 0.73 0.757 0.773 0.593</t>
        </is>
      </c>
      <c r="B119" t="inlineStr"/>
      <c r="C119" t="inlineStr"/>
      <c r="D119" t="inlineStr"/>
    </row>
    <row r="120">
      <c r="A120" t="inlineStr">
        <is>
          <t>2004 0.035 0.334 0.666 0.742 0.723 0.75 0.749 0.581</t>
        </is>
      </c>
      <c r="B120" t="inlineStr"/>
      <c r="C120" t="inlineStr"/>
      <c r="D120" t="inlineStr"/>
    </row>
    <row r="121">
      <c r="A121" t="inlineStr">
        <is>
          <t>2005 0.031 0.3 0.614 0.68 0.69 0.726 0.714 0.532</t>
        </is>
      </c>
      <c r="B121" t="inlineStr"/>
      <c r="C121" t="inlineStr"/>
      <c r="D121" t="inlineStr"/>
    </row>
    <row r="122">
      <c r="A122" t="inlineStr">
        <is>
          <t>2006 0.028 0.277 0.566 0.614 0.649 0.704 0.691 0.486</t>
        </is>
      </c>
      <c r="B122" t="inlineStr"/>
      <c r="C122" t="inlineStr"/>
      <c r="D122" t="inlineStr"/>
    </row>
    <row r="123">
      <c r="A123" t="inlineStr">
        <is>
          <t>2007 0.025 0.249 0.531 0.576 0.616 0.679 0.664 0.452</t>
        </is>
      </c>
      <c r="B123" t="inlineStr"/>
      <c r="C123" t="inlineStr"/>
      <c r="D123" t="inlineStr"/>
    </row>
    <row r="124">
      <c r="A124" t="inlineStr">
        <is>
          <t>2008 0.026 0.257 0.575 0.622 0.692 0.77 0.746 0.485</t>
        </is>
      </c>
      <c r="B124" t="inlineStr"/>
      <c r="C124" t="inlineStr"/>
      <c r="D124" t="inlineStr"/>
    </row>
    <row r="125">
      <c r="A125" t="inlineStr">
        <is>
          <t>156 | ICES SCIENTIFIC REPORTS 6:38 | ICES</t>
        </is>
      </c>
      <c r="B125" t="inlineStr"/>
      <c r="C125" t="inlineStr"/>
      <c r="D125" t="inlineStr"/>
    </row>
    <row r="126">
      <c r="A126" t="inlineStr">
        <is>
          <t>Year/Age</t>
        </is>
      </c>
      <c r="B126" t="inlineStr">
        <is>
          <t>1 2 3 4 5 6 7+ Fbar</t>
        </is>
      </c>
      <c r="C126" t="inlineStr"/>
      <c r="D126" t="inlineStr"/>
    </row>
    <row r="127">
      <c r="A127" t="inlineStr">
        <is>
          <t>2009 0.023 0.227 0.537 0.6 0.69 0.787 0.772 0.455</t>
        </is>
      </c>
      <c r="B127" t="inlineStr"/>
      <c r="C127" t="inlineStr"/>
      <c r="D127" t="inlineStr"/>
    </row>
    <row r="128">
      <c r="A128" t="inlineStr">
        <is>
          <t>2010 0.02 0.198 0.491 0.557 0.663 0.759 0.761 0.415</t>
        </is>
      </c>
      <c r="B128" t="inlineStr"/>
      <c r="C128" t="inlineStr"/>
      <c r="D128" t="inlineStr"/>
    </row>
    <row r="129">
      <c r="A129" t="inlineStr">
        <is>
          <t>2011 0.017 0.167 0.434 0.507 0.621 0.717 0.728 0.369</t>
        </is>
      </c>
      <c r="B129" t="inlineStr"/>
      <c r="C129" t="inlineStr"/>
      <c r="D129" t="inlineStr"/>
    </row>
    <row r="130">
      <c r="A130" t="inlineStr">
        <is>
          <t>2012 0.017 0.163 0.431 0.51 0.636 0.729 0.747 0.368</t>
        </is>
      </c>
      <c r="B130" t="inlineStr"/>
      <c r="C130" t="inlineStr"/>
      <c r="D130" t="inlineStr"/>
    </row>
    <row r="131">
      <c r="A131" t="inlineStr">
        <is>
          <t>2013 0.015 0.151 0.411 0.488 0.613 0.69 0.725 0.35</t>
        </is>
      </c>
      <c r="B131" t="inlineStr"/>
      <c r="C131" t="inlineStr"/>
      <c r="D131" t="inlineStr"/>
    </row>
    <row r="132">
      <c r="A132" t="inlineStr">
        <is>
          <t>2014 0.013 0.132 0.367 0.433 0.541 0.599 0.642 0.311</t>
        </is>
      </c>
      <c r="B132" t="inlineStr"/>
      <c r="C132" t="inlineStr"/>
      <c r="D132" t="inlineStr"/>
    </row>
    <row r="133">
      <c r="A133" t="inlineStr">
        <is>
          <t>2015 0.013 0.133 0.372 0.436 0.544 0.589 0.643 0.314</t>
        </is>
      </c>
      <c r="B133" t="inlineStr"/>
      <c r="C133" t="inlineStr"/>
      <c r="D133" t="inlineStr"/>
    </row>
    <row r="134">
      <c r="A134" t="inlineStr">
        <is>
          <t>2016 0.015 0.152 0.43 0.501 0.623 0.649 0.718 0.361</t>
        </is>
      </c>
      <c r="B134" t="inlineStr"/>
      <c r="C134" t="inlineStr"/>
      <c r="D134" t="inlineStr"/>
    </row>
    <row r="135">
      <c r="A135" t="inlineStr">
        <is>
          <t>2017 0.018 0.192 0.544 0.643 0.792 0.808 0.898 0.459</t>
        </is>
      </c>
      <c r="B135" t="inlineStr"/>
      <c r="C135" t="inlineStr"/>
      <c r="D135" t="inlineStr"/>
    </row>
    <row r="136">
      <c r="A136" t="inlineStr">
        <is>
          <t>2018 0.021 0.223 0.635 0.743 0.938 0.953 1.101 0.534</t>
        </is>
      </c>
      <c r="B136" t="inlineStr"/>
      <c r="C136" t="inlineStr"/>
      <c r="D136" t="inlineStr"/>
    </row>
    <row r="137">
      <c r="A137" t="inlineStr">
        <is>
          <t>2019 0.018 0.186 0.55 0.651 0.834 0.865 1.036 0.462</t>
        </is>
      </c>
      <c r="B137" t="inlineStr"/>
      <c r="C137" t="inlineStr"/>
      <c r="D137" t="inlineStr"/>
    </row>
    <row r="138">
      <c r="A138" t="inlineStr">
        <is>
          <t>2020 0.013 0.139 0.421 0.512 0.659 0.692 0.848 0.357</t>
        </is>
      </c>
      <c r="B138" t="inlineStr"/>
      <c r="C138" t="inlineStr"/>
      <c r="D138" t="inlineStr"/>
    </row>
    <row r="139">
      <c r="A139" t="inlineStr">
        <is>
          <t>2021 0.01 0.105 0.333 0.419 0.546 0.574 0.737 0.286</t>
        </is>
      </c>
      <c r="B139" t="inlineStr"/>
      <c r="C139" t="inlineStr"/>
      <c r="D139" t="inlineStr"/>
    </row>
    <row r="140">
      <c r="A140" t="inlineStr">
        <is>
          <t>2022 0.01 0.1 0.323 0.413 0.535 0.567 0.742 0.279</t>
        </is>
      </c>
      <c r="B140" t="inlineStr"/>
      <c r="C140" t="inlineStr"/>
      <c r="D140" t="inlineStr"/>
    </row>
    <row r="141">
      <c r="A141" t="inlineStr">
        <is>
          <t>2023 0.01 0.109 0.355 0.457 0.586 0.611 0.801 0.307</t>
        </is>
      </c>
      <c r="B141" t="inlineStr"/>
      <c r="C141" t="inlineStr"/>
      <c r="D141" t="inlineStr"/>
    </row>
    <row r="142">
      <c r="A142" t="inlineStr">
        <is>
          <t>2024 0.011 0.116 0.392 0.51 0.655 0.67 0.884 0.339</t>
        </is>
      </c>
      <c r="B142" t="inlineStr"/>
      <c r="C142" t="inlineStr"/>
      <c r="D14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</row>
    <row r="2">
      <c r="A2" t="inlineStr">
        <is>
          <t>numbers -at-age (start of year; thousands) for each substock.</t>
        </is>
      </c>
      <c r="B2" t="inlineStr"/>
      <c r="C2" t="inlineStr"/>
      <c r="D2" t="inlineStr"/>
    </row>
    <row r="3">
      <c r="A3" t="inlineStr">
        <is>
          <t>Northwest ern</t>
        </is>
      </c>
      <c r="B3" t="inlineStr"/>
      <c r="C3" t="inlineStr"/>
      <c r="D3" t="inlineStr"/>
    </row>
    <row r="4">
      <c r="A4" t="inlineStr">
        <is>
          <t>Year/Age</t>
        </is>
      </c>
      <c r="B4" t="inlineStr">
        <is>
          <t>1 2 3 4 5 6 7+ Total</t>
        </is>
      </c>
      <c r="C4" t="inlineStr"/>
      <c r="D4" t="inlineStr"/>
    </row>
    <row r="5">
      <c r="A5" t="inlineStr">
        <is>
          <t>1983 485860 122291 22759 8066 3110 1359 568 644013</t>
        </is>
      </c>
      <c r="B5" t="inlineStr"/>
      <c r="C5" t="inlineStr"/>
      <c r="D5" t="inlineStr"/>
    </row>
    <row r="6">
      <c r="A6" t="inlineStr">
        <is>
          <t>1984 705249 101092 30038 5542 4128 1234 717 848000</t>
        </is>
      </c>
      <c r="B6" t="inlineStr"/>
      <c r="C6" t="inlineStr"/>
      <c r="D6" t="inlineStr"/>
    </row>
    <row r="7">
      <c r="A7" t="inlineStr">
        <is>
          <t>1985 217360 182976 15195 10726 1822 1732 545 430356</t>
        </is>
      </c>
      <c r="B7" t="inlineStr"/>
      <c r="C7" t="inlineStr"/>
      <c r="D7" t="inlineStr"/>
    </row>
    <row r="8">
      <c r="A8" t="inlineStr">
        <is>
          <t>1986 617300 53268 30131 5343 3445 746 792 711024</t>
        </is>
      </c>
      <c r="B8" t="inlineStr"/>
      <c r="C8" t="inlineStr"/>
      <c r="D8" t="inlineStr"/>
    </row>
    <row r="9">
      <c r="A9" t="inlineStr">
        <is>
          <t>1987 368304 167800 10341 8658 1737 1197 498 558535</t>
        </is>
      </c>
      <c r="B9" t="inlineStr"/>
      <c r="C9" t="inlineStr"/>
      <c r="D9" t="inlineStr"/>
    </row>
    <row r="10">
      <c r="A10" t="inlineStr">
        <is>
          <t>1988 141601 105680 27487 3392 2691 745 556 282153</t>
        </is>
      </c>
      <c r="B10" t="inlineStr"/>
      <c r="C10" t="inlineStr"/>
      <c r="D10" t="inlineStr"/>
    </row>
    <row r="11">
      <c r="A11" t="inlineStr">
        <is>
          <t>1989 501989 40266 22253 7866 1150 1113 493 575130</t>
        </is>
      </c>
      <c r="B11" t="inlineStr"/>
      <c r="C11" t="inlineStr"/>
      <c r="D11" t="inlineStr"/>
    </row>
    <row r="12">
      <c r="A12" t="inlineStr">
        <is>
          <t>1990 154300 138215 7410 5968 2645 420 595 309554</t>
        </is>
      </c>
      <c r="B12" t="inlineStr"/>
      <c r="C12" t="inlineStr"/>
      <c r="D12" t="inlineStr"/>
    </row>
    <row r="13">
      <c r="A13" t="inlineStr">
        <is>
          <t>1991 221082 39482 18835 2401 1752 892 363 284808</t>
        </is>
      </c>
      <c r="B13" t="inlineStr"/>
      <c r="C13" t="inlineStr"/>
      <c r="D13" t="inlineStr"/>
    </row>
    <row r="14">
      <c r="A14" t="inlineStr">
        <is>
          <t>1992 530724 61803 6919 4486 865 560 423 605781</t>
        </is>
      </c>
      <c r="B14" t="inlineStr"/>
      <c r="C14" t="inlineStr"/>
      <c r="D14" t="inlineStr"/>
    </row>
    <row r="15">
      <c r="A15" t="inlineStr">
        <is>
          <t>ICES</t>
        </is>
      </c>
      <c r="B15" t="inlineStr">
        <is>
          <t>| WGNSSK</t>
        </is>
      </c>
      <c r="C15" t="inlineStr">
        <is>
          <t>2025</t>
        </is>
      </c>
      <c r="D15" t="inlineStr">
        <is>
          <t>| 157</t>
        </is>
      </c>
    </row>
    <row r="16">
      <c r="A16" t="inlineStr">
        <is>
          <t>Year/Age</t>
        </is>
      </c>
      <c r="B16" t="inlineStr">
        <is>
          <t>1 2 3 4 5 6 7+ Total</t>
        </is>
      </c>
      <c r="C16" t="inlineStr"/>
      <c r="D16" t="inlineStr"/>
    </row>
    <row r="17">
      <c r="A17" t="inlineStr">
        <is>
          <t>1993 247560 148073 12336 2284 1282 344 336 412216</t>
        </is>
      </c>
      <c r="B17" t="inlineStr"/>
      <c r="C17" t="inlineStr"/>
      <c r="D17" t="inlineStr"/>
    </row>
    <row r="18">
      <c r="A18" t="inlineStr">
        <is>
          <t>1994 528984 69563 23827 3784 791 432 260 627641</t>
        </is>
      </c>
      <c r="B18" t="inlineStr"/>
      <c r="C18" t="inlineStr"/>
      <c r="D18" t="inlineStr"/>
    </row>
    <row r="19">
      <c r="A19" t="inlineStr">
        <is>
          <t>1995 317602 143065 14856 6928 1197 278 257 484183</t>
        </is>
      </c>
      <c r="B19" t="inlineStr"/>
      <c r="C19" t="inlineStr"/>
      <c r="D19" t="inlineStr"/>
    </row>
    <row r="20">
      <c r="A20" t="inlineStr">
        <is>
          <t>1996 158151 82734 21144 3474 2173 389 206 268272</t>
        </is>
      </c>
      <c r="B20" t="inlineStr"/>
      <c r="C20" t="inlineStr"/>
      <c r="D20" t="inlineStr"/>
    </row>
    <row r="21">
      <c r="A21" t="inlineStr">
        <is>
          <t>1997 597300 42331 12626 4776 1046 674 214 658966</t>
        </is>
      </c>
      <c r="B21" t="inlineStr"/>
      <c r="C21" t="inlineStr"/>
      <c r="D21" t="inlineStr"/>
    </row>
    <row r="22">
      <c r="A22" t="inlineStr">
        <is>
          <t>1998 68584 160212 7686 3119 1394 335 309 241638</t>
        </is>
      </c>
      <c r="B22" t="inlineStr"/>
      <c r="C22" t="inlineStr"/>
      <c r="D22" t="inlineStr"/>
    </row>
    <row r="23">
      <c r="A23" t="inlineStr">
        <is>
          <t>1999 96646 19166 23816 1750 889 346 247 142860</t>
        </is>
      </c>
      <c r="B23" t="inlineStr"/>
      <c r="C23" t="inlineStr"/>
      <c r="D23" t="inlineStr"/>
    </row>
    <row r="24">
      <c r="A24" t="inlineStr">
        <is>
          <t>2000 200838 27145 4007 4251 463 244 187 237135</t>
        </is>
      </c>
      <c r="B24" t="inlineStr"/>
      <c r="C24" t="inlineStr"/>
      <c r="D24" t="inlineStr"/>
    </row>
    <row r="25">
      <c r="A25" t="inlineStr">
        <is>
          <t>2001 65633 63439 4954 1104 1001 115 132 136378</t>
        </is>
      </c>
      <c r="B25" t="inlineStr"/>
      <c r="C25" t="inlineStr"/>
      <c r="D25" t="inlineStr"/>
    </row>
    <row r="26">
      <c r="A26" t="inlineStr">
        <is>
          <t>2002 96320 20602 13321 1551 322 292 79 132488</t>
        </is>
      </c>
      <c r="B26" t="inlineStr"/>
      <c r="C26" t="inlineStr"/>
      <c r="D26" t="inlineStr"/>
    </row>
    <row r="27">
      <c r="A27" t="inlineStr">
        <is>
          <t>2003 56697 27659 3797 3142 452 98 120 91965</t>
        </is>
      </c>
      <c r="B27" t="inlineStr"/>
      <c r="C27" t="inlineStr"/>
      <c r="D27" t="inlineStr"/>
    </row>
    <row r="28">
      <c r="A28" t="inlineStr">
        <is>
          <t>2004 86786 16642 4813 1160 942 138 74 110556</t>
        </is>
      </c>
      <c r="B28" t="inlineStr"/>
      <c r="C28" t="inlineStr"/>
      <c r="D28" t="inlineStr"/>
    </row>
    <row r="29">
      <c r="A29" t="inlineStr">
        <is>
          <t>2005 71474 21414 3273 1190 364 311 74 98101</t>
        </is>
      </c>
      <c r="B29" t="inlineStr"/>
      <c r="C29" t="inlineStr"/>
      <c r="D29" t="inlineStr"/>
    </row>
    <row r="30">
      <c r="A30" t="inlineStr">
        <is>
          <t>2006 270473 17774 4330 963 369 130 140 294180</t>
        </is>
      </c>
      <c r="B30" t="inlineStr"/>
      <c r="C30" t="inlineStr"/>
      <c r="D30" t="inlineStr"/>
    </row>
    <row r="31">
      <c r="A31" t="inlineStr">
        <is>
          <t>2007 87319 71292 3976 1441 359 138 102 164627</t>
        </is>
      </c>
      <c r="B31" t="inlineStr"/>
      <c r="C31" t="inlineStr"/>
      <c r="D31" t="inlineStr"/>
    </row>
    <row r="32">
      <c r="A32" t="inlineStr">
        <is>
          <t>2008 97619 20276 15136 1299 554 143 90 135117</t>
        </is>
      </c>
      <c r="B32" t="inlineStr"/>
      <c r="C32" t="inlineStr"/>
      <c r="D32" t="inlineStr"/>
    </row>
    <row r="33">
      <c r="A33" t="inlineStr">
        <is>
          <t>2009 171864 23294 4302 3861 491 177 88 204077</t>
        </is>
      </c>
      <c r="B33" t="inlineStr"/>
      <c r="C33" t="inlineStr"/>
      <c r="D33" t="inlineStr"/>
    </row>
    <row r="34">
      <c r="A34" t="inlineStr">
        <is>
          <t>2010 212578 46139 5497 1397 1463 187 88 267348</t>
        </is>
      </c>
      <c r="B34" t="inlineStr"/>
      <c r="C34" t="inlineStr"/>
      <c r="D34" t="inlineStr"/>
    </row>
    <row r="35">
      <c r="A35" t="inlineStr">
        <is>
          <t>2011 95756 63316 11349 1793 665 525 101 173506</t>
        </is>
      </c>
      <c r="B35" t="inlineStr"/>
      <c r="C35" t="inlineStr"/>
      <c r="D35" t="inlineStr"/>
    </row>
    <row r="36">
      <c r="A36" t="inlineStr">
        <is>
          <t>2012 147506 27097 17854 4130 797 260 235 197880</t>
        </is>
      </c>
      <c r="B36" t="inlineStr"/>
      <c r="C36" t="inlineStr"/>
      <c r="D36" t="inlineStr"/>
    </row>
    <row r="37">
      <c r="A37" t="inlineStr">
        <is>
          <t>2013 202760 35837 7472 6400 1767 287 197 254721</t>
        </is>
      </c>
      <c r="B37" t="inlineStr"/>
      <c r="C37" t="inlineStr"/>
      <c r="D37" t="inlineStr"/>
    </row>
    <row r="38">
      <c r="A38" t="inlineStr">
        <is>
          <t>2014 249065 52004 10101 3123 2755 630 199 317877</t>
        </is>
      </c>
      <c r="B38" t="inlineStr"/>
      <c r="C38" t="inlineStr"/>
      <c r="D38" t="inlineStr"/>
    </row>
    <row r="39">
      <c r="A39" t="inlineStr">
        <is>
          <t>2015 154181 71458 16702 4167 1460 1140 338 249446</t>
        </is>
      </c>
      <c r="B39" t="inlineStr"/>
      <c r="C39" t="inlineStr"/>
      <c r="D39" t="inlineStr"/>
    </row>
    <row r="40">
      <c r="A40" t="inlineStr">
        <is>
          <t>2016 100262 41358 20242 8042 1823 592 592 172909</t>
        </is>
      </c>
      <c r="B40" t="inlineStr"/>
      <c r="C40" t="inlineStr"/>
      <c r="D40" t="inlineStr"/>
    </row>
    <row r="41">
      <c r="A41" t="inlineStr">
        <is>
          <t>2017 271091 24541 12141 7451 3329 690 496 319741</t>
        </is>
      </c>
      <c r="B41" t="inlineStr"/>
      <c r="C41" t="inlineStr"/>
      <c r="D41" t="inlineStr"/>
    </row>
    <row r="42">
      <c r="A42" t="inlineStr">
        <is>
          <t>2018 64727 62493 6269 4498 2339 1025 485 141836</t>
        </is>
      </c>
      <c r="B42" t="inlineStr"/>
      <c r="C42" t="inlineStr"/>
      <c r="D42" t="inlineStr"/>
    </row>
    <row r="43">
      <c r="A43" t="inlineStr">
        <is>
          <t>2019 138905 15268 12324 1887 1526 589 458 170957</t>
        </is>
      </c>
      <c r="B43" t="inlineStr"/>
      <c r="C43" t="inlineStr"/>
      <c r="D43" t="inlineStr"/>
    </row>
    <row r="44">
      <c r="A44" t="inlineStr">
        <is>
          <t>2020 176537 37790 4335 3612 754 490 332 223851</t>
        </is>
      </c>
      <c r="B44" t="inlineStr"/>
      <c r="C44" t="inlineStr"/>
      <c r="D44" t="inlineStr"/>
    </row>
    <row r="45">
      <c r="A45" t="inlineStr">
        <is>
          <t>2021 128521 46755 10728 2105 1456 285 334 190184</t>
        </is>
      </c>
      <c r="B45" t="inlineStr"/>
      <c r="C45" t="inlineStr"/>
      <c r="D45" t="inlineStr"/>
    </row>
    <row r="46">
      <c r="A46" t="inlineStr">
        <is>
          <t>158 | ICES SCIENTIFIC REPORTS 6:38 | ICES</t>
        </is>
      </c>
      <c r="B46" t="inlineStr"/>
      <c r="C46" t="inlineStr"/>
      <c r="D46" t="inlineStr"/>
    </row>
    <row r="47">
      <c r="A47" t="inlineStr">
        <is>
          <t>Year/Age</t>
        </is>
      </c>
      <c r="B47" t="inlineStr">
        <is>
          <t>1 2 3 4 5 6 7+ Total</t>
        </is>
      </c>
      <c r="C47" t="inlineStr"/>
      <c r="D47" t="inlineStr"/>
    </row>
    <row r="48">
      <c r="A48" t="inlineStr">
        <is>
          <t>2022 152396 34814 14485 4613 1137 607 267 208319</t>
        </is>
      </c>
      <c r="B48" t="inlineStr"/>
      <c r="C48" t="inlineStr"/>
      <c r="D48" t="inlineStr"/>
    </row>
    <row r="49">
      <c r="A49" t="inlineStr">
        <is>
          <t>2023 106626 40181 10402 6299 2206 539 358 166611</t>
        </is>
      </c>
      <c r="B49" t="inlineStr"/>
      <c r="C49" t="inlineStr"/>
      <c r="D49" t="inlineStr"/>
    </row>
    <row r="50">
      <c r="A50" t="inlineStr">
        <is>
          <t>2024 39135 29183 10289 3868 2692 905 355 86427</t>
        </is>
      </c>
      <c r="B50" t="inlineStr"/>
      <c r="C50" t="inlineStr"/>
      <c r="D50" t="inlineStr"/>
    </row>
    <row r="51">
      <c r="A51" t="inlineStr">
        <is>
          <t>2025 64887 10480 9142 3829 1634 960 511 91443</t>
        </is>
      </c>
      <c r="B51" t="inlineStr"/>
      <c r="C51" t="inlineStr"/>
      <c r="D51" t="inlineStr"/>
    </row>
    <row r="52">
      <c r="A52" t="inlineStr">
        <is>
          <t>Southern</t>
        </is>
      </c>
      <c r="B52" t="inlineStr"/>
      <c r="C52" t="inlineStr"/>
      <c r="D52" t="inlineStr"/>
    </row>
    <row r="53">
      <c r="A53" t="inlineStr">
        <is>
          <t>Year/Age</t>
        </is>
      </c>
      <c r="B53" t="inlineStr">
        <is>
          <t>1 2 3 4 5 6 7+ Total</t>
        </is>
      </c>
      <c r="C53" t="inlineStr"/>
      <c r="D53" t="inlineStr"/>
    </row>
    <row r="54">
      <c r="A54" t="inlineStr">
        <is>
          <t>1983 318785 74586 9866 2511 709 254 97 406808</t>
        </is>
      </c>
      <c r="B54" t="inlineStr"/>
      <c r="C54" t="inlineStr"/>
      <c r="D54" t="inlineStr"/>
    </row>
    <row r="55">
      <c r="A55" t="inlineStr">
        <is>
          <t>1984 686071 71219 11194 1812 776 218 126 771417</t>
        </is>
      </c>
      <c r="B55" t="inlineStr"/>
      <c r="C55" t="inlineStr"/>
      <c r="D55" t="inlineStr"/>
    </row>
    <row r="56">
      <c r="A56" t="inlineStr">
        <is>
          <t>1985 135121 157153 8177 2335 420 237 95 303537</t>
        </is>
      </c>
      <c r="B56" t="inlineStr"/>
      <c r="C56" t="inlineStr"/>
      <c r="D56" t="inlineStr"/>
    </row>
    <row r="57">
      <c r="A57" t="inlineStr">
        <is>
          <t>1986 831514 29750 16005 1806 571 135 98 879879</t>
        </is>
      </c>
      <c r="B57" t="inlineStr"/>
      <c r="C57" t="inlineStr"/>
      <c r="D57" t="inlineStr"/>
    </row>
    <row r="58">
      <c r="A58" t="inlineStr">
        <is>
          <t>1987 325646 207162 3390 3158 383 172 80 539990</t>
        </is>
      </c>
      <c r="B58" t="inlineStr"/>
      <c r="C58" t="inlineStr"/>
      <c r="D58" t="inlineStr"/>
    </row>
    <row r="59">
      <c r="A59" t="inlineStr">
        <is>
          <t>1988 243076 77899 26170 703 725 139 81 348793</t>
        </is>
      </c>
      <c r="B59" t="inlineStr"/>
      <c r="C59" t="inlineStr"/>
      <c r="D59" t="inlineStr"/>
    </row>
    <row r="60">
      <c r="A60" t="inlineStr">
        <is>
          <t>1989 300883 63762 11028 5130 218 227 81 381330</t>
        </is>
      </c>
      <c r="B60" t="inlineStr"/>
      <c r="C60" t="inlineStr"/>
      <c r="D60" t="inlineStr"/>
    </row>
    <row r="61">
      <c r="A61" t="inlineStr">
        <is>
          <t>1990 133075 77693 8892 1964 1167 76 113 222981</t>
        </is>
      </c>
      <c r="B61" t="inlineStr"/>
      <c r="C61" t="inlineStr"/>
      <c r="D61" t="inlineStr"/>
    </row>
    <row r="62">
      <c r="A62" t="inlineStr">
        <is>
          <t>1991 137714 33354 8825 1625 368 293 68 182248</t>
        </is>
      </c>
      <c r="B62" t="inlineStr"/>
      <c r="C62" t="inlineStr"/>
      <c r="D62" t="inlineStr"/>
    </row>
    <row r="63">
      <c r="A63" t="inlineStr">
        <is>
          <t>1992 245280 34236 4453 1728 341 87 105 286230</t>
        </is>
      </c>
      <c r="B63" t="inlineStr"/>
      <c r="C63" t="inlineStr"/>
      <c r="D63" t="inlineStr"/>
    </row>
    <row r="64">
      <c r="A64" t="inlineStr">
        <is>
          <t>1993 169948 63406 4568 1074 454 90 63 239604</t>
        </is>
      </c>
      <c r="B64" t="inlineStr"/>
      <c r="C64" t="inlineStr"/>
      <c r="D64" t="inlineStr"/>
    </row>
    <row r="65">
      <c r="A65" t="inlineStr">
        <is>
          <t>1994 420627 46378 8871 1046 304 141 54 477421</t>
        </is>
      </c>
      <c r="B65" t="inlineStr"/>
      <c r="C65" t="inlineStr"/>
      <c r="D65" t="inlineStr"/>
    </row>
    <row r="66">
      <c r="A66" t="inlineStr">
        <is>
          <t>1995 273149 108916 8068 1837 283 94 73 392419</t>
        </is>
      </c>
      <c r="B66" t="inlineStr"/>
      <c r="C66" t="inlineStr"/>
      <c r="D66" t="inlineStr"/>
    </row>
    <row r="67">
      <c r="A67" t="inlineStr">
        <is>
          <t>1996 220064 69046 14678 1468 451 79 66 305852</t>
        </is>
      </c>
      <c r="B67" t="inlineStr"/>
      <c r="C67" t="inlineStr"/>
      <c r="D67" t="inlineStr"/>
    </row>
    <row r="68">
      <c r="A68" t="inlineStr">
        <is>
          <t>1997 585945 57619 9195 2455 330 124 54 655722</t>
        </is>
      </c>
      <c r="B68" t="inlineStr"/>
      <c r="C68" t="inlineStr"/>
      <c r="D68" t="inlineStr"/>
    </row>
    <row r="69">
      <c r="A69" t="inlineStr">
        <is>
          <t>1998 57442 166276 9440 1860 594 97 72 235782</t>
        </is>
      </c>
      <c r="B69" t="inlineStr"/>
      <c r="C69" t="inlineStr"/>
      <c r="D69" t="inlineStr"/>
    </row>
    <row r="70">
      <c r="A70" t="inlineStr">
        <is>
          <t>1999 122522 16620 21759 1435 393 132 71 162932</t>
        </is>
      </c>
      <c r="B70" t="inlineStr"/>
      <c r="C70" t="inlineStr"/>
      <c r="D70" t="inlineStr"/>
    </row>
    <row r="71">
      <c r="A71" t="inlineStr">
        <is>
          <t>2000 115164 33015 2627 2806 259 87 71 154029</t>
        </is>
      </c>
      <c r="B71" t="inlineStr"/>
      <c r="C71" t="inlineStr"/>
      <c r="D71" t="inlineStr"/>
    </row>
    <row r="72">
      <c r="A72" t="inlineStr">
        <is>
          <t>2001 69625 35507 4637 462 400 44 51 110727</t>
        </is>
      </c>
      <c r="B72" t="inlineStr"/>
      <c r="C72" t="inlineStr"/>
      <c r="D72" t="inlineStr"/>
    </row>
    <row r="73">
      <c r="A73" t="inlineStr">
        <is>
          <t>2002 143043 21767 5697 890 92 86 35 171609</t>
        </is>
      </c>
      <c r="B73" t="inlineStr"/>
      <c r="C73" t="inlineStr"/>
      <c r="D73" t="inlineStr"/>
    </row>
    <row r="74">
      <c r="A74" t="inlineStr">
        <is>
          <t>2003 50920 39359 3449 1100 165 22 38 95053</t>
        </is>
      </c>
      <c r="B74" t="inlineStr"/>
      <c r="C74" t="inlineStr"/>
      <c r="D74" t="inlineStr"/>
    </row>
    <row r="75">
      <c r="A75" t="inlineStr">
        <is>
          <t>2004 89465 14741 6728 680 256 39 23 111932</t>
        </is>
      </c>
      <c r="B75" t="inlineStr"/>
      <c r="C75" t="inlineStr"/>
      <c r="D75" t="inlineStr"/>
    </row>
    <row r="76">
      <c r="A76" t="inlineStr">
        <is>
          <t>2005 92569 21473 2296 1100 128 68 21 117654</t>
        </is>
      </c>
      <c r="B76" t="inlineStr"/>
      <c r="C76" t="inlineStr"/>
      <c r="D76" t="inlineStr"/>
    </row>
    <row r="77">
      <c r="A77" t="inlineStr">
        <is>
          <t>ICES</t>
        </is>
      </c>
      <c r="B77" t="inlineStr">
        <is>
          <t>| WGNSSK</t>
        </is>
      </c>
      <c r="C77" t="inlineStr">
        <is>
          <t>2025</t>
        </is>
      </c>
      <c r="D77" t="inlineStr">
        <is>
          <t>| 159</t>
        </is>
      </c>
    </row>
    <row r="78">
      <c r="A78" t="inlineStr">
        <is>
          <t>Year/Age</t>
        </is>
      </c>
      <c r="B78" t="inlineStr">
        <is>
          <t>1 2 3 4 5 6 7+ Total</t>
        </is>
      </c>
      <c r="C78" t="inlineStr"/>
      <c r="D78" t="inlineStr"/>
    </row>
    <row r="79">
      <c r="A79" t="inlineStr">
        <is>
          <t>2006 112309 23779 3800 466 229 34 32 140649</t>
        </is>
      </c>
      <c r="B79" t="inlineStr"/>
      <c r="C79" t="inlineStr"/>
      <c r="D79" t="inlineStr"/>
    </row>
    <row r="80">
      <c r="A80" t="inlineStr">
        <is>
          <t>2007 131576 27508 4051 904 135 67 26 164268</t>
        </is>
      </c>
      <c r="B80" t="inlineStr"/>
      <c r="C80" t="inlineStr"/>
      <c r="D80" t="inlineStr"/>
    </row>
    <row r="81">
      <c r="A81" t="inlineStr">
        <is>
          <t>2008 121415 30850 5105 950 291 44 37 158692</t>
        </is>
      </c>
      <c r="B81" t="inlineStr"/>
      <c r="C81" t="inlineStr"/>
      <c r="D81" t="inlineStr"/>
    </row>
    <row r="82">
      <c r="A82" t="inlineStr">
        <is>
          <t>2009 48710 27814 5212 1075 240 72 32 83154</t>
        </is>
      </c>
      <c r="B82" t="inlineStr"/>
      <c r="C82" t="inlineStr"/>
      <c r="D82" t="inlineStr"/>
    </row>
    <row r="83">
      <c r="A83" t="inlineStr">
        <is>
          <t>2010 77389 11819 5155 1144 294 60 34 95894</t>
        </is>
      </c>
      <c r="B83" t="inlineStr"/>
      <c r="C83" t="inlineStr"/>
      <c r="D83" t="inlineStr"/>
    </row>
    <row r="84">
      <c r="A84" t="inlineStr">
        <is>
          <t>2011 53391 21472 2451 1092 322 72 29 78828</t>
        </is>
      </c>
      <c r="B84" t="inlineStr"/>
      <c r="C84" t="inlineStr"/>
      <c r="D84" t="inlineStr"/>
    </row>
    <row r="85">
      <c r="A85" t="inlineStr">
        <is>
          <t>2012 55460 14110 4934 701 305 84 32 75626</t>
        </is>
      </c>
      <c r="B85" t="inlineStr"/>
      <c r="C85" t="inlineStr"/>
      <c r="D85" t="inlineStr"/>
    </row>
    <row r="86">
      <c r="A86" t="inlineStr">
        <is>
          <t>2013 53190 13619 3019 1211 238 68 36 71381</t>
        </is>
      </c>
      <c r="B86" t="inlineStr"/>
      <c r="C86" t="inlineStr"/>
      <c r="D86" t="inlineStr"/>
    </row>
    <row r="87">
      <c r="A87" t="inlineStr">
        <is>
          <t>2014 64955 12992 3113 752 373 57 32 82274</t>
        </is>
      </c>
      <c r="B87" t="inlineStr"/>
      <c r="C87" t="inlineStr"/>
      <c r="D87" t="inlineStr"/>
    </row>
    <row r="88">
      <c r="A88" t="inlineStr">
        <is>
          <t>2015 21528 17882 3159 893 258 105 32 43856</t>
        </is>
      </c>
      <c r="B88" t="inlineStr"/>
      <c r="C88" t="inlineStr"/>
      <c r="D88" t="inlineStr"/>
    </row>
    <row r="89">
      <c r="A89" t="inlineStr">
        <is>
          <t>2016 14824 5506 3937 814 302 75 51 25509</t>
        </is>
      </c>
      <c r="B89" t="inlineStr"/>
      <c r="C89" t="inlineStr"/>
      <c r="D89" t="inlineStr"/>
    </row>
    <row r="90">
      <c r="A90" t="inlineStr">
        <is>
          <t>2017 30841 3712 1291 888 235 74 45 37087</t>
        </is>
      </c>
      <c r="B90" t="inlineStr"/>
      <c r="C90" t="inlineStr"/>
      <c r="D90" t="inlineStr"/>
    </row>
    <row r="91">
      <c r="A91" t="inlineStr">
        <is>
          <t>2018 12145 7444 816 285 210 48 37 20985</t>
        </is>
      </c>
      <c r="B91" t="inlineStr"/>
      <c r="C91" t="inlineStr"/>
      <c r="D91" t="inlineStr"/>
    </row>
    <row r="92">
      <c r="A92" t="inlineStr">
        <is>
          <t>2019 16251 2882 1312 150 60 35 23 20714</t>
        </is>
      </c>
      <c r="B92" t="inlineStr"/>
      <c r="C92" t="inlineStr"/>
      <c r="D92" t="inlineStr"/>
    </row>
    <row r="93">
      <c r="A93" t="inlineStr">
        <is>
          <t>2020 22633 4169 673 278 39 13 18 27824</t>
        </is>
      </c>
      <c r="B93" t="inlineStr"/>
      <c r="C93" t="inlineStr"/>
      <c r="D93" t="inlineStr"/>
    </row>
    <row r="94">
      <c r="A94" t="inlineStr">
        <is>
          <t>2021 20384 6084 1142 200 88 11 12 27923</t>
        </is>
      </c>
      <c r="B94" t="inlineStr"/>
      <c r="C94" t="inlineStr"/>
      <c r="D94" t="inlineStr"/>
    </row>
    <row r="95">
      <c r="A95" t="inlineStr">
        <is>
          <t>2022 38976 5350 1593 376 78 29 10 46412</t>
        </is>
      </c>
      <c r="B95" t="inlineStr"/>
      <c r="C95" t="inlineStr"/>
      <c r="D95" t="inlineStr"/>
    </row>
    <row r="96">
      <c r="A96" t="inlineStr">
        <is>
          <t>2023 28374 10300 1423 505 148 28 16 40793</t>
        </is>
      </c>
      <c r="B96" t="inlineStr"/>
      <c r="C96" t="inlineStr"/>
      <c r="D96" t="inlineStr"/>
    </row>
    <row r="97">
      <c r="A97" t="inlineStr">
        <is>
          <t>2024 15952 7344 2531 382 177 47 17 26451</t>
        </is>
      </c>
      <c r="B97" t="inlineStr"/>
      <c r="C97" t="inlineStr"/>
      <c r="D97" t="inlineStr"/>
    </row>
    <row r="98">
      <c r="A98" t="inlineStr">
        <is>
          <t>2025 22210 4226 2037 729 121 50 24 29397</t>
        </is>
      </c>
      <c r="B98" t="inlineStr"/>
      <c r="C98" t="inlineStr"/>
      <c r="D98" t="inlineStr"/>
    </row>
    <row r="99">
      <c r="A99" t="inlineStr">
        <is>
          <t>Viking</t>
        </is>
      </c>
      <c r="B99" t="inlineStr"/>
      <c r="C99" t="inlineStr"/>
      <c r="D99" t="inlineStr"/>
    </row>
    <row r="100">
      <c r="A100" t="inlineStr">
        <is>
          <t>Year/Age</t>
        </is>
      </c>
      <c r="B100" t="inlineStr">
        <is>
          <t>1 2 3 4 5 6 7+ Total</t>
        </is>
      </c>
      <c r="C100" t="inlineStr"/>
      <c r="D100" t="inlineStr"/>
    </row>
    <row r="101">
      <c r="A101" t="inlineStr">
        <is>
          <t>1983 100334 31535 8530 3370 1377 645 281 146073</t>
        </is>
      </c>
      <c r="B101" t="inlineStr"/>
      <c r="C101" t="inlineStr"/>
      <c r="D101" t="inlineStr"/>
    </row>
    <row r="102">
      <c r="A102" t="inlineStr">
        <is>
          <t>1984 112122 33551 9595 2640 1518 581 334 160339</t>
        </is>
      </c>
      <c r="B102" t="inlineStr"/>
      <c r="C102" t="inlineStr"/>
      <c r="D102" t="inlineStr"/>
    </row>
    <row r="103">
      <c r="A103" t="inlineStr">
        <is>
          <t>1985 32054 40208 9697 3660 981 666 279 87545</t>
        </is>
      </c>
      <c r="B103" t="inlineStr"/>
      <c r="C103" t="inlineStr"/>
      <c r="D103" t="inlineStr"/>
    </row>
    <row r="104">
      <c r="A104" t="inlineStr">
        <is>
          <t>1986 109079 10058 10807 3693 1396 444 322 135799</t>
        </is>
      </c>
      <c r="B104" t="inlineStr"/>
      <c r="C104" t="inlineStr"/>
      <c r="D104" t="inlineStr"/>
    </row>
    <row r="105">
      <c r="A105" t="inlineStr">
        <is>
          <t>1987 55326 40143 2728 3344 1182 577 228 103528</t>
        </is>
      </c>
      <c r="B105" t="inlineStr"/>
      <c r="C105" t="inlineStr"/>
      <c r="D105" t="inlineStr"/>
    </row>
    <row r="106">
      <c r="A106" t="inlineStr">
        <is>
          <t>1988 50358 20379 10749 1127 1275 489 296 84673</t>
        </is>
      </c>
      <c r="B106" t="inlineStr"/>
      <c r="C106" t="inlineStr"/>
      <c r="D106" t="inlineStr"/>
    </row>
    <row r="107">
      <c r="A107" t="inlineStr">
        <is>
          <t>1989 77062 15988 7106 3456 535 606 285 105038</t>
        </is>
      </c>
      <c r="B107" t="inlineStr"/>
      <c r="C107" t="inlineStr"/>
      <c r="D107" t="inlineStr"/>
    </row>
    <row r="108">
      <c r="A108" t="inlineStr">
        <is>
          <t>160 | ICES SCIENTIFIC REPORTS 6:38 | ICES</t>
        </is>
      </c>
      <c r="B108" t="inlineStr"/>
      <c r="C108" t="inlineStr"/>
      <c r="D108" t="inlineStr"/>
    </row>
    <row r="109">
      <c r="A109" t="inlineStr">
        <is>
          <t>Year/Age</t>
        </is>
      </c>
      <c r="B109" t="inlineStr">
        <is>
          <t>1 2 3 4 5 6 7+ Total</t>
        </is>
      </c>
      <c r="C109" t="inlineStr"/>
      <c r="D109" t="inlineStr"/>
    </row>
    <row r="110">
      <c r="A110" t="inlineStr">
        <is>
          <t>1990 40102 26669 4639 2080 1224 227 349 75289</t>
        </is>
      </c>
      <c r="B110" t="inlineStr"/>
      <c r="C110" t="inlineStr"/>
      <c r="D110" t="inlineStr"/>
    </row>
    <row r="111">
      <c r="A111" t="inlineStr">
        <is>
          <t>1991 43440 13217 6658 1646 661 484 208 66314</t>
        </is>
      </c>
      <c r="B111" t="inlineStr"/>
      <c r="C111" t="inlineStr"/>
      <c r="D111" t="inlineStr"/>
    </row>
    <row r="112">
      <c r="A112" t="inlineStr">
        <is>
          <t>1992 82984 14326 3545 2170 573 243 256 104097</t>
        </is>
      </c>
      <c r="B112" t="inlineStr"/>
      <c r="C112" t="inlineStr"/>
      <c r="D112" t="inlineStr"/>
    </row>
    <row r="113">
      <c r="A113" t="inlineStr">
        <is>
          <t>1993 55726 29086 3968 1364 837 243 171 91395</t>
        </is>
      </c>
      <c r="B113" t="inlineStr"/>
      <c r="C113" t="inlineStr"/>
      <c r="D113" t="inlineStr"/>
    </row>
    <row r="114">
      <c r="A114" t="inlineStr">
        <is>
          <t>1994 103407 18269 7459 1463 570 326 156 131649</t>
        </is>
      </c>
      <c r="B114" t="inlineStr"/>
      <c r="C114" t="inlineStr"/>
      <c r="D114" t="inlineStr"/>
    </row>
    <row r="115">
      <c r="A115" t="inlineStr">
        <is>
          <t>1995 74721 35654 5501 2523 522 230 184 119334</t>
        </is>
      </c>
      <c r="B115" t="inlineStr"/>
      <c r="C115" t="inlineStr"/>
      <c r="D115" t="inlineStr"/>
    </row>
    <row r="116">
      <c r="A116" t="inlineStr">
        <is>
          <t>1996 49845 23318 8309 1669 878 201 156 84376</t>
        </is>
      </c>
      <c r="B116" t="inlineStr"/>
      <c r="C116" t="inlineStr"/>
      <c r="D116" t="inlineStr"/>
    </row>
    <row r="117">
      <c r="A117" t="inlineStr">
        <is>
          <t>1997 120273 15862 5540 2138 636 332 123 144904</t>
        </is>
      </c>
      <c r="B117" t="inlineStr"/>
      <c r="C117" t="inlineStr"/>
      <c r="D117" t="inlineStr"/>
    </row>
    <row r="118">
      <c r="A118" t="inlineStr">
        <is>
          <t>1998 16962 44142 4323 1781 778 266 172 68424</t>
        </is>
      </c>
      <c r="B118" t="inlineStr"/>
      <c r="C118" t="inlineStr"/>
      <c r="D118" t="inlineStr"/>
    </row>
    <row r="119">
      <c r="A119" t="inlineStr">
        <is>
          <t>1999 41764 5121 12087 1475 640 278 171 61536</t>
        </is>
      </c>
      <c r="B119" t="inlineStr"/>
      <c r="C119" t="inlineStr"/>
      <c r="D119" t="inlineStr"/>
    </row>
    <row r="120">
      <c r="A120" t="inlineStr">
        <is>
          <t>2000 60216 13639 1425 2878 528 240 153 79079</t>
        </is>
      </c>
      <c r="B120" t="inlineStr"/>
      <c r="C120" t="inlineStr"/>
      <c r="D120" t="inlineStr"/>
    </row>
    <row r="121">
      <c r="A121" t="inlineStr">
        <is>
          <t>2001 26664 23097 3657 571 695 168 131 54982</t>
        </is>
      </c>
      <c r="B121" t="inlineStr"/>
      <c r="C121" t="inlineStr"/>
      <c r="D121" t="inlineStr"/>
    </row>
    <row r="122">
      <c r="A122" t="inlineStr">
        <is>
          <t>2002 38179 9108 7126 1238 220 225 103 56199</t>
        </is>
      </c>
      <c r="B122" t="inlineStr"/>
      <c r="C122" t="inlineStr"/>
      <c r="D122" t="inlineStr"/>
    </row>
    <row r="123">
      <c r="A123" t="inlineStr">
        <is>
          <t>2003 24756 12448 2660 2348 521 90 116 42940</t>
        </is>
      </c>
      <c r="B123" t="inlineStr"/>
      <c r="C123" t="inlineStr"/>
      <c r="D123" t="inlineStr"/>
    </row>
    <row r="124">
      <c r="A124" t="inlineStr">
        <is>
          <t>2004 51790 8037 3234 920 807 217 74 65079</t>
        </is>
      </c>
      <c r="B124" t="inlineStr"/>
      <c r="C124" t="inlineStr"/>
      <c r="D124" t="inlineStr"/>
    </row>
    <row r="125">
      <c r="A125" t="inlineStr">
        <is>
          <t>2005 35749 14415 2219 973 370 323 111 54161</t>
        </is>
      </c>
      <c r="B125" t="inlineStr"/>
      <c r="C125" t="inlineStr"/>
      <c r="D125" t="inlineStr"/>
    </row>
    <row r="126">
      <c r="A126" t="inlineStr">
        <is>
          <t>2006 71289 9811 3593 733 353 163 169 86112</t>
        </is>
      </c>
      <c r="B126" t="inlineStr"/>
      <c r="C126" t="inlineStr"/>
      <c r="D126" t="inlineStr"/>
    </row>
    <row r="127">
      <c r="A127" t="inlineStr">
        <is>
          <t>2007 31849 19926 2672 1068 356 149 128 56149</t>
        </is>
      </c>
      <c r="B127" t="inlineStr"/>
      <c r="C127" t="inlineStr"/>
      <c r="D127" t="inlineStr"/>
    </row>
    <row r="128">
      <c r="A128" t="inlineStr">
        <is>
          <t>2008 38827 8017 5452 975 502 166 104 54043</t>
        </is>
      </c>
      <c r="B128" t="inlineStr"/>
      <c r="C128" t="inlineStr"/>
      <c r="D128" t="inlineStr"/>
    </row>
    <row r="129">
      <c r="A129" t="inlineStr">
        <is>
          <t>2009 45917 9927 2098 1910 450 193 104 60601</t>
        </is>
      </c>
      <c r="B129" t="inlineStr"/>
      <c r="C129" t="inlineStr"/>
      <c r="D129" t="inlineStr"/>
    </row>
    <row r="130">
      <c r="A130" t="inlineStr">
        <is>
          <t>2010 68327 12568 2715 837 827 187 97 85557</t>
        </is>
      </c>
      <c r="B130" t="inlineStr"/>
      <c r="C130" t="inlineStr"/>
      <c r="D130" t="inlineStr"/>
    </row>
    <row r="131">
      <c r="A131" t="inlineStr">
        <is>
          <t>2011 35294 21032 3808 1172 404 375 97 62182</t>
        </is>
      </c>
      <c r="B131" t="inlineStr"/>
      <c r="C131" t="inlineStr"/>
      <c r="D131" t="inlineStr"/>
    </row>
    <row r="132">
      <c r="A132" t="inlineStr">
        <is>
          <t>2012 59499 9733 6515 1806 603 186 172 78513</t>
        </is>
      </c>
      <c r="B132" t="inlineStr"/>
      <c r="C132" t="inlineStr"/>
      <c r="D132" t="inlineStr"/>
    </row>
    <row r="133">
      <c r="A133" t="inlineStr">
        <is>
          <t>2013 62775 14848 3160 2365 917 267 141 84472</t>
        </is>
      </c>
      <c r="B133" t="inlineStr"/>
      <c r="C133" t="inlineStr"/>
      <c r="D133" t="inlineStr"/>
    </row>
    <row r="134">
      <c r="A134" t="inlineStr">
        <is>
          <t>2014 77546 18051 4260 1301 1098 371 158 102785</t>
        </is>
      </c>
      <c r="B134" t="inlineStr"/>
      <c r="C134" t="inlineStr"/>
      <c r="D134" t="inlineStr"/>
    </row>
    <row r="135">
      <c r="A135" t="inlineStr">
        <is>
          <t>2015 39769 25270 6445 1946 667 508 205 74808</t>
        </is>
      </c>
      <c r="B135" t="inlineStr"/>
      <c r="C135" t="inlineStr"/>
      <c r="D135" t="inlineStr"/>
    </row>
    <row r="136">
      <c r="A136" t="inlineStr">
        <is>
          <t>2016 24330 11248 9122 3271 1051 325 304 49650</t>
        </is>
      </c>
      <c r="B136" t="inlineStr"/>
      <c r="C136" t="inlineStr"/>
      <c r="D136" t="inlineStr"/>
    </row>
    <row r="137">
      <c r="A137" t="inlineStr">
        <is>
          <t>2017 54148 6723 4034 3676 1868 441 242 71132</t>
        </is>
      </c>
      <c r="B137" t="inlineStr"/>
      <c r="C137" t="inlineStr"/>
      <c r="D137" t="inlineStr"/>
    </row>
    <row r="138">
      <c r="A138" t="inlineStr">
        <is>
          <t>2018 18086 16051 2292 1481 1298 698 248 40154</t>
        </is>
      </c>
      <c r="B138" t="inlineStr"/>
      <c r="C138" t="inlineStr"/>
      <c r="D138" t="inlineStr"/>
    </row>
    <row r="139">
      <c r="A139" t="inlineStr">
        <is>
          <t>ICES</t>
        </is>
      </c>
      <c r="B139" t="inlineStr">
        <is>
          <t>| WGNSSK</t>
        </is>
      </c>
      <c r="C139" t="inlineStr">
        <is>
          <t>2025</t>
        </is>
      </c>
      <c r="D139" t="inlineStr">
        <is>
          <t>| 161</t>
        </is>
      </c>
    </row>
    <row r="140">
      <c r="A140" t="inlineStr">
        <is>
          <t>Year/Age</t>
        </is>
      </c>
      <c r="B140" t="inlineStr">
        <is>
          <t>1 2 3 4 5 6 7+ Total</t>
        </is>
      </c>
      <c r="C140" t="inlineStr"/>
      <c r="D140" t="inlineStr"/>
    </row>
    <row r="141">
      <c r="A141" t="inlineStr">
        <is>
          <t>2019 33049 4730 4536 747 535 397 285 44280</t>
        </is>
      </c>
      <c r="B141" t="inlineStr"/>
      <c r="C141" t="inlineStr"/>
      <c r="D141" t="inlineStr"/>
    </row>
    <row r="142">
      <c r="A142" t="inlineStr">
        <is>
          <t>2020 70615 9944 1565 1403 337 175 218 84257</t>
        </is>
      </c>
      <c r="B142" t="inlineStr"/>
      <c r="C142" t="inlineStr"/>
      <c r="D142" t="inlineStr"/>
    </row>
    <row r="143">
      <c r="A143" t="inlineStr">
        <is>
          <t>2021 34006 21808 3765 796 531 147 155 61210</t>
        </is>
      </c>
      <c r="B143" t="inlineStr"/>
      <c r="C143" t="inlineStr"/>
      <c r="D143" t="inlineStr"/>
    </row>
    <row r="144">
      <c r="A144" t="inlineStr">
        <is>
          <t>2022 48755 10065 7690 1864 430 245 128 69177</t>
        </is>
      </c>
      <c r="B144" t="inlineStr"/>
      <c r="C144" t="inlineStr"/>
      <c r="D144" t="inlineStr"/>
    </row>
    <row r="145">
      <c r="A145" t="inlineStr">
        <is>
          <t>2023 32673 13458 3715 3043 919 213 153 54174</t>
        </is>
      </c>
      <c r="B145" t="inlineStr"/>
      <c r="C145" t="inlineStr"/>
      <c r="D145" t="inlineStr"/>
    </row>
    <row r="146">
      <c r="A146" t="inlineStr">
        <is>
          <t>2024 7800 9036 4592 1654 1486 470 148 25186</t>
        </is>
      </c>
      <c r="B146" t="inlineStr"/>
      <c r="C146" t="inlineStr"/>
      <c r="D146" t="inlineStr"/>
    </row>
    <row r="147">
      <c r="A147" t="inlineStr">
        <is>
          <t>2025 14658 2027 3335 1668 757 578 254 23277</t>
        </is>
      </c>
      <c r="B147" t="inlineStr"/>
      <c r="C147" t="inlineStr"/>
      <c r="D147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</row>
    <row r="2">
      <c r="A2" t="inlineStr">
        <is>
          <t>age (thousands) for each substock.</t>
        </is>
      </c>
      <c r="B2" t="inlineStr"/>
      <c r="C2" t="inlineStr"/>
      <c r="D2" t="inlineStr"/>
    </row>
    <row r="3">
      <c r="A3" t="inlineStr">
        <is>
          <t>Northwest ern</t>
        </is>
      </c>
      <c r="B3" t="inlineStr"/>
      <c r="C3" t="inlineStr"/>
      <c r="D3" t="inlineStr"/>
    </row>
    <row r="4">
      <c r="A4" t="inlineStr">
        <is>
          <t>Year/Age</t>
        </is>
      </c>
      <c r="B4" t="inlineStr">
        <is>
          <t>1 2 3 4 5 6 7+</t>
        </is>
      </c>
      <c r="C4" t="inlineStr"/>
      <c r="D4" t="inlineStr"/>
    </row>
    <row r="5">
      <c r="A5" t="inlineStr">
        <is>
          <t>1983 68807 49796 10490 3778 1296 595 326</t>
        </is>
      </c>
      <c r="B5" t="inlineStr"/>
      <c r="C5" t="inlineStr"/>
      <c r="D5" t="inlineStr"/>
    </row>
    <row r="6">
      <c r="A6" t="inlineStr">
        <is>
          <t>1984 116898 45590 15409 2861 1946 614 447</t>
        </is>
      </c>
      <c r="B6" t="inlineStr"/>
      <c r="C6" t="inlineStr"/>
      <c r="D6" t="inlineStr"/>
    </row>
    <row r="7">
      <c r="A7" t="inlineStr">
        <is>
          <t>1985 35205 82110 7856 5538 856 855 332</t>
        </is>
      </c>
      <c r="B7" t="inlineStr"/>
      <c r="C7" t="inlineStr"/>
      <c r="D7" t="inlineStr"/>
    </row>
    <row r="8">
      <c r="A8" t="inlineStr">
        <is>
          <t>1986 103725 24301 16131 2843 1674 373 473</t>
        </is>
      </c>
      <c r="B8" t="inlineStr"/>
      <c r="C8" t="inlineStr"/>
      <c r="D8" t="inlineStr"/>
    </row>
    <row r="9">
      <c r="A9" t="inlineStr">
        <is>
          <t>1987 57060 73320 5428 4481 820 583 281</t>
        </is>
      </c>
      <c r="B9" t="inlineStr"/>
      <c r="C9" t="inlineStr"/>
      <c r="D9" t="inlineStr"/>
    </row>
    <row r="10">
      <c r="A10" t="inlineStr">
        <is>
          <t>1988 19894 43159 14064 1687 1235 348 289</t>
        </is>
      </c>
      <c r="B10" t="inlineStr"/>
      <c r="C10" t="inlineStr"/>
      <c r="D10" t="inlineStr"/>
    </row>
    <row r="11">
      <c r="A11" t="inlineStr">
        <is>
          <t>1989 76091 16978 11876 4159 561 543 255</t>
        </is>
      </c>
      <c r="B11" t="inlineStr"/>
      <c r="C11" t="inlineStr"/>
      <c r="D11" t="inlineStr"/>
    </row>
    <row r="12">
      <c r="A12" t="inlineStr">
        <is>
          <t>1990 24300 60588 4095 3321 1382 217 312</t>
        </is>
      </c>
      <c r="B12" t="inlineStr"/>
      <c r="C12" t="inlineStr"/>
      <c r="D12" t="inlineStr"/>
    </row>
    <row r="13">
      <c r="A13" t="inlineStr">
        <is>
          <t>1991 33273 16812 10291 1338 933 476 192</t>
        </is>
      </c>
      <c r="B13" t="inlineStr"/>
      <c r="C13" t="inlineStr"/>
      <c r="D13" t="inlineStr"/>
    </row>
    <row r="14">
      <c r="A14" t="inlineStr">
        <is>
          <t>1992 75876 25328 3674 2408 446 292 214</t>
        </is>
      </c>
      <c r="B14" t="inlineStr"/>
      <c r="C14" t="inlineStr"/>
      <c r="D14" t="inlineStr"/>
    </row>
    <row r="15">
      <c r="A15" t="inlineStr">
        <is>
          <t>1993 34318 61372 6644 1213 654 177 164</t>
        </is>
      </c>
      <c r="B15" t="inlineStr"/>
      <c r="C15" t="inlineStr"/>
      <c r="D15" t="inlineStr"/>
    </row>
    <row r="16">
      <c r="A16" t="inlineStr">
        <is>
          <t>1994 70552 28479 12989 2017 404 222 124</t>
        </is>
      </c>
      <c r="B16" t="inlineStr"/>
      <c r="C16" t="inlineStr"/>
      <c r="D16" t="inlineStr"/>
    </row>
    <row r="17">
      <c r="A17" t="inlineStr">
        <is>
          <t>1995 44646 62822 8663 3903 641 147 124</t>
        </is>
      </c>
      <c r="B17" t="inlineStr"/>
      <c r="C17" t="inlineStr"/>
      <c r="D17" t="inlineStr"/>
    </row>
    <row r="18">
      <c r="A18" t="inlineStr">
        <is>
          <t>1996 21215 36349 12686 2000 1199 211 101</t>
        </is>
      </c>
      <c r="B18" t="inlineStr"/>
      <c r="C18" t="inlineStr"/>
      <c r="D18" t="inlineStr"/>
    </row>
    <row r="19">
      <c r="A19" t="inlineStr">
        <is>
          <t>1997 72907 17373 7304 2676 567 357 100</t>
        </is>
      </c>
      <c r="B19" t="inlineStr"/>
      <c r="C19" t="inlineStr"/>
      <c r="D19" t="inlineStr"/>
    </row>
    <row r="20">
      <c r="A20" t="inlineStr">
        <is>
          <t>1998 8392 67241 4599 1848 810 187 148</t>
        </is>
      </c>
      <c r="B20" t="inlineStr"/>
      <c r="C20" t="inlineStr"/>
      <c r="D20" t="inlineStr"/>
    </row>
    <row r="21">
      <c r="A21" t="inlineStr">
        <is>
          <t>1999 11592 7767 14338 1066 537 202 123</t>
        </is>
      </c>
      <c r="B21" t="inlineStr"/>
      <c r="C21" t="inlineStr"/>
      <c r="D21" t="inlineStr"/>
    </row>
    <row r="22">
      <c r="A22" t="inlineStr">
        <is>
          <t>2000 23325 10591 2333 2584 286 146 94</t>
        </is>
      </c>
      <c r="B22" t="inlineStr"/>
      <c r="C22" t="inlineStr"/>
      <c r="D22" t="inlineStr"/>
    </row>
    <row r="23">
      <c r="A23" t="inlineStr">
        <is>
          <t>2001 6521 22323 2620 624 581 65 63</t>
        </is>
      </c>
      <c r="B23" t="inlineStr"/>
      <c r="C23" t="inlineStr"/>
      <c r="D23" t="inlineStr"/>
    </row>
    <row r="24">
      <c r="A24" t="inlineStr">
        <is>
          <t>162 | ICES SCIENTIFIC REPORTS 6:38 | ICES</t>
        </is>
      </c>
      <c r="B24" t="inlineStr"/>
      <c r="C24" t="inlineStr"/>
      <c r="D24" t="inlineStr"/>
    </row>
    <row r="25">
      <c r="A25" t="inlineStr">
        <is>
          <t>Year/Age</t>
        </is>
      </c>
      <c r="B25" t="inlineStr">
        <is>
          <t>1 2 3 4 5 6 7+</t>
        </is>
      </c>
      <c r="C25" t="inlineStr"/>
      <c r="D25" t="inlineStr"/>
    </row>
    <row r="26">
      <c r="A26" t="inlineStr">
        <is>
          <t>2002 8875 6799 6722 857 182 163 37</t>
        </is>
      </c>
      <c r="B26" t="inlineStr"/>
      <c r="C26" t="inlineStr"/>
      <c r="D26" t="inlineStr"/>
    </row>
    <row r="27">
      <c r="A27" t="inlineStr">
        <is>
          <t>2003 4494 8044 1775 1657 245 53 53</t>
        </is>
      </c>
      <c r="B27" t="inlineStr"/>
      <c r="C27" t="inlineStr"/>
      <c r="D27" t="inlineStr"/>
    </row>
    <row r="28">
      <c r="A28" t="inlineStr">
        <is>
          <t>2004 6304 4532 2180 592 506 74 32</t>
        </is>
      </c>
      <c r="B28" t="inlineStr"/>
      <c r="C28" t="inlineStr"/>
      <c r="D28" t="inlineStr"/>
    </row>
    <row r="29">
      <c r="A29" t="inlineStr">
        <is>
          <t>2005 4452 5174 1375 573 188 160 30</t>
        </is>
      </c>
      <c r="B29" t="inlineStr"/>
      <c r="C29" t="inlineStr"/>
      <c r="D29" t="inlineStr"/>
    </row>
    <row r="30">
      <c r="A30" t="inlineStr">
        <is>
          <t>2006 15460 4023 1734 436 183 66 56</t>
        </is>
      </c>
      <c r="B30" t="inlineStr"/>
      <c r="C30" t="inlineStr"/>
      <c r="D30" t="inlineStr"/>
    </row>
    <row r="31">
      <c r="A31" t="inlineStr">
        <is>
          <t>2007 4462 14885 1539 642 173 69 40</t>
        </is>
      </c>
      <c r="B31" t="inlineStr"/>
      <c r="C31" t="inlineStr"/>
      <c r="D31" t="inlineStr"/>
    </row>
    <row r="32">
      <c r="A32" t="inlineStr">
        <is>
          <t>2008 4972 4277 6155 603 288 77 38</t>
        </is>
      </c>
      <c r="B32" t="inlineStr"/>
      <c r="C32" t="inlineStr"/>
      <c r="D32" t="inlineStr"/>
    </row>
    <row r="33">
      <c r="A33" t="inlineStr">
        <is>
          <t>2009 7829 4404 1662 1757 252 96 38</t>
        </is>
      </c>
      <c r="B33" t="inlineStr"/>
      <c r="C33" t="inlineStr"/>
      <c r="D33" t="inlineStr"/>
    </row>
    <row r="34">
      <c r="A34" t="inlineStr">
        <is>
          <t>2010 8828 8100 2025 608 735 99 38</t>
        </is>
      </c>
      <c r="B34" t="inlineStr"/>
      <c r="C34" t="inlineStr"/>
      <c r="D34" t="inlineStr"/>
    </row>
    <row r="35">
      <c r="A35" t="inlineStr">
        <is>
          <t>2011 3279 9333 3826 725 318 267 42</t>
        </is>
      </c>
      <c r="B35" t="inlineStr"/>
      <c r="C35" t="inlineStr"/>
      <c r="D35" t="inlineStr"/>
    </row>
    <row r="36">
      <c r="A36" t="inlineStr">
        <is>
          <t>2012 4808 3819 5720 1674 387 134 99</t>
        </is>
      </c>
      <c r="B36" t="inlineStr"/>
      <c r="C36" t="inlineStr"/>
      <c r="D36" t="inlineStr"/>
    </row>
    <row r="37">
      <c r="A37" t="inlineStr">
        <is>
          <t>2013 6145 4743 2317 2513 837 142 81</t>
        </is>
      </c>
      <c r="B37" t="inlineStr"/>
      <c r="C37" t="inlineStr"/>
      <c r="D37" t="inlineStr"/>
    </row>
    <row r="38">
      <c r="A38" t="inlineStr">
        <is>
          <t>2014 6930 6322 2934 1133 1209 288 76</t>
        </is>
      </c>
      <c r="B38" t="inlineStr"/>
      <c r="C38" t="inlineStr"/>
      <c r="D38" t="inlineStr"/>
    </row>
    <row r="39">
      <c r="A39" t="inlineStr">
        <is>
          <t>2015 4242 8701 4862 1509 643 513 129</t>
        </is>
      </c>
      <c r="B39" t="inlineStr"/>
      <c r="C39" t="inlineStr"/>
      <c r="D39" t="inlineStr"/>
    </row>
    <row r="40">
      <c r="A40" t="inlineStr">
        <is>
          <t>2016 3011 5562 6534 3091 865 279 239</t>
        </is>
      </c>
      <c r="B40" t="inlineStr"/>
      <c r="C40" t="inlineStr"/>
      <c r="D40" t="inlineStr"/>
    </row>
    <row r="41">
      <c r="A41" t="inlineStr">
        <is>
          <t>2017 9672 3950 4598 3329 1788 365 227</t>
        </is>
      </c>
      <c r="B41" t="inlineStr"/>
      <c r="C41" t="inlineStr"/>
      <c r="D41" t="inlineStr"/>
    </row>
    <row r="42">
      <c r="A42" t="inlineStr">
        <is>
          <t>2018 2476 10993 2572 2178 1376 591 252</t>
        </is>
      </c>
      <c r="B42" t="inlineStr"/>
      <c r="C42" t="inlineStr"/>
      <c r="D42" t="inlineStr"/>
    </row>
    <row r="43">
      <c r="A43" t="inlineStr">
        <is>
          <t>2019 4639 2362 4596 835 839 321 229</t>
        </is>
      </c>
      <c r="B43" t="inlineStr"/>
      <c r="C43" t="inlineStr"/>
      <c r="D43" t="inlineStr"/>
    </row>
    <row r="44">
      <c r="A44" t="inlineStr">
        <is>
          <t>2020 4804 4774 1354 1386 363 236 148</t>
        </is>
      </c>
      <c r="B44" t="inlineStr"/>
      <c r="C44" t="inlineStr"/>
      <c r="D44" t="inlineStr"/>
    </row>
    <row r="45">
      <c r="A45" t="inlineStr">
        <is>
          <t>2021 2676 4663 2777 714 625 123 136</t>
        </is>
      </c>
      <c r="B45" t="inlineStr"/>
      <c r="C45" t="inlineStr"/>
      <c r="D45" t="inlineStr"/>
    </row>
    <row r="46">
      <c r="A46" t="inlineStr">
        <is>
          <t>2022 2842 3204 3569 1511 480 258 110</t>
        </is>
      </c>
      <c r="B46" t="inlineStr"/>
      <c r="C46" t="inlineStr"/>
      <c r="D46" t="inlineStr"/>
    </row>
    <row r="47">
      <c r="A47" t="inlineStr">
        <is>
          <t>2023 2121 3997 2807 2245 996 243 156</t>
        </is>
      </c>
      <c r="B47" t="inlineStr"/>
      <c r="C47" t="inlineStr"/>
      <c r="D47" t="inlineStr"/>
    </row>
    <row r="48">
      <c r="A48" t="inlineStr">
        <is>
          <t>2024 790 3005 2945 1463 1283 424 162</t>
        </is>
      </c>
      <c r="B48" t="inlineStr"/>
      <c r="C48" t="inlineStr"/>
      <c r="D48" t="inlineStr"/>
    </row>
    <row r="49">
      <c r="A49" t="inlineStr">
        <is>
          <t>Southern</t>
        </is>
      </c>
      <c r="B49" t="inlineStr"/>
      <c r="C49" t="inlineStr"/>
      <c r="D49" t="inlineStr"/>
    </row>
    <row r="50">
      <c r="A50" t="inlineStr">
        <is>
          <t>Year/Age</t>
        </is>
      </c>
      <c r="B50" t="inlineStr">
        <is>
          <t>1 2 3 4 5 6 7+</t>
        </is>
      </c>
      <c r="C50" t="inlineStr"/>
      <c r="D50" t="inlineStr"/>
    </row>
    <row r="51">
      <c r="A51" t="inlineStr">
        <is>
          <t>1983 54546 36901 5699 1469 358 121 52</t>
        </is>
      </c>
      <c r="B51" t="inlineStr"/>
      <c r="C51" t="inlineStr"/>
      <c r="D51" t="inlineStr"/>
    </row>
    <row r="52">
      <c r="A52" t="inlineStr">
        <is>
          <t>1984 138397 38898 7123 1159 441 119 75</t>
        </is>
      </c>
      <c r="B52" t="inlineStr"/>
      <c r="C52" t="inlineStr"/>
      <c r="D52" t="inlineStr"/>
    </row>
    <row r="53">
      <c r="A53" t="inlineStr">
        <is>
          <t>1985 26595 85278 5228 1491 237 128 55</t>
        </is>
      </c>
      <c r="B53" t="inlineStr"/>
      <c r="C53" t="inlineStr"/>
      <c r="D53" t="inlineStr"/>
    </row>
    <row r="54">
      <c r="A54" t="inlineStr">
        <is>
          <t>1986 167897 16278 10462 1175 330 73 55</t>
        </is>
      </c>
      <c r="B54" t="inlineStr"/>
      <c r="C54" t="inlineStr"/>
      <c r="D54" t="inlineStr"/>
    </row>
    <row r="55">
      <c r="A55" t="inlineStr">
        <is>
          <t>ICES</t>
        </is>
      </c>
      <c r="B55" t="inlineStr">
        <is>
          <t>| WGNSSK</t>
        </is>
      </c>
      <c r="C55" t="inlineStr">
        <is>
          <t>2025</t>
        </is>
      </c>
      <c r="D55" t="inlineStr">
        <is>
          <t>| 163</t>
        </is>
      </c>
    </row>
    <row r="56">
      <c r="A56" t="inlineStr">
        <is>
          <t>Year/Age</t>
        </is>
      </c>
      <c r="B56" t="inlineStr">
        <is>
          <t>1 2 3 4 5 6 7+</t>
        </is>
      </c>
      <c r="C56" t="inlineStr"/>
      <c r="D56" t="inlineStr"/>
    </row>
    <row r="57">
      <c r="A57" t="inlineStr">
        <is>
          <t>1987 59998 108524 2165 1993 214 90 42</t>
        </is>
      </c>
      <c r="B57" t="inlineStr"/>
      <c r="C57" t="inlineStr"/>
      <c r="D57" t="inlineStr"/>
    </row>
    <row r="58">
      <c r="A58" t="inlineStr">
        <is>
          <t>1988 40422 38222 16286 427 393 70 39</t>
        </is>
      </c>
      <c r="B58" t="inlineStr"/>
      <c r="C58" t="inlineStr"/>
      <c r="D58" t="inlineStr"/>
    </row>
    <row r="59">
      <c r="A59" t="inlineStr">
        <is>
          <t>1989 53709 32115 7087 3271 125 118 39</t>
        </is>
      </c>
      <c r="B59" t="inlineStr"/>
      <c r="C59" t="inlineStr"/>
      <c r="D59" t="inlineStr"/>
    </row>
    <row r="60">
      <c r="A60" t="inlineStr">
        <is>
          <t>1990 24833 40670 5900 1311 711 42 54</t>
        </is>
      </c>
      <c r="B60" t="inlineStr"/>
      <c r="C60" t="inlineStr"/>
      <c r="D60" t="inlineStr"/>
    </row>
    <row r="61">
      <c r="A61" t="inlineStr">
        <is>
          <t>1991 24303 16900 5770 1081 226 166 33</t>
        </is>
      </c>
      <c r="B61" t="inlineStr"/>
      <c r="C61" t="inlineStr"/>
      <c r="D61" t="inlineStr"/>
    </row>
    <row r="62">
      <c r="A62" t="inlineStr">
        <is>
          <t>1992 40294 16526 2812 1101 201 47 48</t>
        </is>
      </c>
      <c r="B62" t="inlineStr"/>
      <c r="C62" t="inlineStr"/>
      <c r="D62" t="inlineStr"/>
    </row>
    <row r="63">
      <c r="A63" t="inlineStr">
        <is>
          <t>1993 26442 30439 2876 667 261 48 27</t>
        </is>
      </c>
      <c r="B63" t="inlineStr"/>
      <c r="C63" t="inlineStr"/>
      <c r="D63" t="inlineStr"/>
    </row>
    <row r="64">
      <c r="A64" t="inlineStr">
        <is>
          <t>1994 61858 21746 5583 645 173 73 22</t>
        </is>
      </c>
      <c r="B64" t="inlineStr"/>
      <c r="C64" t="inlineStr"/>
      <c r="D64" t="inlineStr"/>
    </row>
    <row r="65">
      <c r="A65" t="inlineStr">
        <is>
          <t>1995 41936 54155 5349 1181 167 50 30</t>
        </is>
      </c>
      <c r="B65" t="inlineStr"/>
      <c r="C65" t="inlineStr"/>
      <c r="D65" t="inlineStr"/>
    </row>
    <row r="66">
      <c r="A66" t="inlineStr">
        <is>
          <t>1996 32315 34366 9975 963 274 43 27</t>
        </is>
      </c>
      <c r="B66" t="inlineStr"/>
      <c r="C66" t="inlineStr"/>
      <c r="D66" t="inlineStr"/>
    </row>
    <row r="67">
      <c r="A67" t="inlineStr">
        <is>
          <t>1997 77854 26813 6037 1565 196 66 21</t>
        </is>
      </c>
      <c r="B67" t="inlineStr"/>
      <c r="C67" t="inlineStr"/>
      <c r="D67" t="inlineStr"/>
    </row>
    <row r="68">
      <c r="A68" t="inlineStr">
        <is>
          <t>1998 7853 80327 6456 1262 382 55 30</t>
        </is>
      </c>
      <c r="B68" t="inlineStr"/>
      <c r="C68" t="inlineStr"/>
      <c r="D68" t="inlineStr"/>
    </row>
    <row r="69">
      <c r="A69" t="inlineStr">
        <is>
          <t>1999 16809 7896 15131 1008 265 80 31</t>
        </is>
      </c>
      <c r="B69" t="inlineStr"/>
      <c r="C69" t="inlineStr"/>
      <c r="D69" t="inlineStr"/>
    </row>
    <row r="70">
      <c r="A70" t="inlineStr">
        <is>
          <t>2000 15644 15393 1798 1990 180 55 32</t>
        </is>
      </c>
      <c r="B70" t="inlineStr"/>
      <c r="C70" t="inlineStr"/>
      <c r="D70" t="inlineStr"/>
    </row>
    <row r="71">
      <c r="A71" t="inlineStr">
        <is>
          <t>2001 8153 15131 2938 310 265 27 22</t>
        </is>
      </c>
      <c r="B71" t="inlineStr"/>
      <c r="C71" t="inlineStr"/>
      <c r="D71" t="inlineStr"/>
    </row>
    <row r="72">
      <c r="A72" t="inlineStr">
        <is>
          <t>2002 15716 8816 3484 589 60 51 15</t>
        </is>
      </c>
      <c r="B72" t="inlineStr"/>
      <c r="C72" t="inlineStr"/>
      <c r="D72" t="inlineStr"/>
    </row>
    <row r="73">
      <c r="A73" t="inlineStr">
        <is>
          <t>2003 4830 14205 1974 700 104 13 15</t>
        </is>
      </c>
      <c r="B73" t="inlineStr"/>
      <c r="C73" t="inlineStr"/>
      <c r="D73" t="inlineStr"/>
    </row>
    <row r="74">
      <c r="A74" t="inlineStr">
        <is>
          <t>2004 7938 5069 3783 425 161 23 9</t>
        </is>
      </c>
      <c r="B74" t="inlineStr"/>
      <c r="C74" t="inlineStr"/>
      <c r="D74" t="inlineStr"/>
    </row>
    <row r="75">
      <c r="A75" t="inlineStr">
        <is>
          <t>2005 7029 6584 1206 652 78 38 8</t>
        </is>
      </c>
      <c r="B75" t="inlineStr"/>
      <c r="C75" t="inlineStr"/>
      <c r="D75" t="inlineStr"/>
    </row>
    <row r="76">
      <c r="A76" t="inlineStr">
        <is>
          <t>2006 7838 6863 1921 264 134 19 12</t>
        </is>
      </c>
      <c r="B76" t="inlineStr"/>
      <c r="C76" t="inlineStr"/>
      <c r="D76" t="inlineStr"/>
    </row>
    <row r="77">
      <c r="A77" t="inlineStr">
        <is>
          <t>2007 8318 7424 2002 507 78 36 9</t>
        </is>
      </c>
      <c r="B77" t="inlineStr"/>
      <c r="C77" t="inlineStr"/>
      <c r="D77" t="inlineStr"/>
    </row>
    <row r="78">
      <c r="A78" t="inlineStr">
        <is>
          <t>2008 7894 8621 2685 562 182 26 15</t>
        </is>
      </c>
      <c r="B78" t="inlineStr"/>
      <c r="C78" t="inlineStr"/>
      <c r="D78" t="inlineStr"/>
    </row>
    <row r="79">
      <c r="A79" t="inlineStr">
        <is>
          <t>2009 2913 7184 2674 638 151 44 14</t>
        </is>
      </c>
      <c r="B79" t="inlineStr"/>
      <c r="C79" t="inlineStr"/>
      <c r="D79" t="inlineStr"/>
    </row>
    <row r="80">
      <c r="A80" t="inlineStr">
        <is>
          <t>2010 4374 2935 2602 669 186 36 14</t>
        </is>
      </c>
      <c r="B80" t="inlineStr"/>
      <c r="C80" t="inlineStr"/>
      <c r="D80" t="inlineStr"/>
    </row>
    <row r="81">
      <c r="A81" t="inlineStr">
        <is>
          <t>2011 2532 4583 1161 606 197 42 12</t>
        </is>
      </c>
      <c r="B81" t="inlineStr"/>
      <c r="C81" t="inlineStr"/>
      <c r="D81" t="inlineStr"/>
    </row>
    <row r="82">
      <c r="A82" t="inlineStr">
        <is>
          <t>2012 2544 2920 2249 394 190 50 14</t>
        </is>
      </c>
      <c r="B82" t="inlineStr"/>
      <c r="C82" t="inlineStr"/>
      <c r="D82" t="inlineStr"/>
    </row>
    <row r="83">
      <c r="A83" t="inlineStr">
        <is>
          <t>2013 2292 2681 1348 667 146 40 15</t>
        </is>
      </c>
      <c r="B83" t="inlineStr"/>
      <c r="C83" t="inlineStr"/>
      <c r="D83" t="inlineStr"/>
    </row>
    <row r="84">
      <c r="A84" t="inlineStr">
        <is>
          <t>2014 2571 2358 1314 387 215 31 13</t>
        </is>
      </c>
      <c r="B84" t="inlineStr"/>
      <c r="C84" t="inlineStr"/>
      <c r="D84" t="inlineStr"/>
    </row>
    <row r="85">
      <c r="A85" t="inlineStr">
        <is>
          <t>2015 847 3264 1340 460 150 57 12</t>
        </is>
      </c>
      <c r="B85" t="inlineStr"/>
      <c r="C85" t="inlineStr"/>
      <c r="D85" t="inlineStr"/>
    </row>
    <row r="86">
      <c r="A86" t="inlineStr">
        <is>
          <t>164 | ICES SCIENTIFIC REPORTS 6:38 | ICES</t>
        </is>
      </c>
      <c r="B86" t="inlineStr"/>
      <c r="C86" t="inlineStr"/>
      <c r="D86" t="inlineStr"/>
    </row>
    <row r="87">
      <c r="A87" t="inlineStr">
        <is>
          <t>Year/Age</t>
        </is>
      </c>
      <c r="B87" t="inlineStr">
        <is>
          <t>1 2 3 4 5 6 7+</t>
        </is>
      </c>
      <c r="C87" t="inlineStr"/>
      <c r="D87" t="inlineStr"/>
    </row>
    <row r="88">
      <c r="A88" t="inlineStr">
        <is>
          <t>2016 633 1099 1818 438 186 42 21</t>
        </is>
      </c>
      <c r="B88" t="inlineStr"/>
      <c r="C88" t="inlineStr"/>
      <c r="D88" t="inlineStr"/>
    </row>
    <row r="89">
      <c r="A89" t="inlineStr">
        <is>
          <t>2017 1524 861 672 533 158 45 21</t>
        </is>
      </c>
      <c r="B89" t="inlineStr"/>
      <c r="C89" t="inlineStr"/>
      <c r="D89" t="inlineStr"/>
    </row>
    <row r="90">
      <c r="A90" t="inlineStr">
        <is>
          <t>2018 632 1847 448 180 150 31 19</t>
        </is>
      </c>
      <c r="B90" t="inlineStr"/>
      <c r="C90" t="inlineStr"/>
      <c r="D90" t="inlineStr"/>
    </row>
    <row r="91">
      <c r="A91" t="inlineStr">
        <is>
          <t>2019 712 615 652 87 40 21 11</t>
        </is>
      </c>
      <c r="B91" t="inlineStr"/>
      <c r="C91" t="inlineStr"/>
      <c r="D91" t="inlineStr"/>
    </row>
    <row r="92">
      <c r="A92" t="inlineStr">
        <is>
          <t>2020 790 718 282 140 23 7 8</t>
        </is>
      </c>
      <c r="B92" t="inlineStr"/>
      <c r="C92" t="inlineStr"/>
      <c r="D92" t="inlineStr"/>
    </row>
    <row r="93">
      <c r="A93" t="inlineStr">
        <is>
          <t>2021 538 823 400 90 46 5 5</t>
        </is>
      </c>
      <c r="B93" t="inlineStr"/>
      <c r="C93" t="inlineStr"/>
      <c r="D93" t="inlineStr"/>
    </row>
    <row r="94">
      <c r="A94" t="inlineStr">
        <is>
          <t>2022 907 660 525 161 40 14 4</t>
        </is>
      </c>
      <c r="B94" t="inlineStr"/>
      <c r="C94" t="inlineStr"/>
      <c r="D94" t="inlineStr"/>
    </row>
    <row r="95">
      <c r="A95" t="inlineStr">
        <is>
          <t>2023 707 1373 511 234 81 14 7</t>
        </is>
      </c>
      <c r="B95" t="inlineStr"/>
      <c r="C95" t="inlineStr"/>
      <c r="D95" t="inlineStr"/>
    </row>
    <row r="96">
      <c r="A96" t="inlineStr">
        <is>
          <t>2024 400 1001 951 185 101 24 7</t>
        </is>
      </c>
      <c r="B96" t="inlineStr"/>
      <c r="C96" t="inlineStr"/>
      <c r="D96" t="inlineStr"/>
    </row>
    <row r="97">
      <c r="A97" t="inlineStr">
        <is>
          <t>Viking</t>
        </is>
      </c>
      <c r="B97" t="inlineStr"/>
      <c r="C97" t="inlineStr"/>
      <c r="D97" t="inlineStr"/>
    </row>
    <row r="98">
      <c r="A98" t="inlineStr">
        <is>
          <t>Year/Age</t>
        </is>
      </c>
      <c r="B98" t="inlineStr">
        <is>
          <t>1 2 3 4 5 6 7+</t>
        </is>
      </c>
      <c r="C98" t="inlineStr"/>
      <c r="D98" t="inlineStr"/>
    </row>
    <row r="99">
      <c r="A99" t="inlineStr">
        <is>
          <t>1983 4406 9519 3613 1519 537 274 189</t>
        </is>
      </c>
      <c r="B99" t="inlineStr"/>
      <c r="C99" t="inlineStr"/>
      <c r="D99" t="inlineStr"/>
    </row>
    <row r="100">
      <c r="A100" t="inlineStr">
        <is>
          <t>1984 5691 11270 4491 1299 663 278 239</t>
        </is>
      </c>
      <c r="B100" t="inlineStr"/>
      <c r="C100" t="inlineStr"/>
      <c r="D100" t="inlineStr"/>
    </row>
    <row r="101">
      <c r="A101" t="inlineStr">
        <is>
          <t>1985 1577 13305 4547 1788 424 314 195</t>
        </is>
      </c>
      <c r="B101" t="inlineStr"/>
      <c r="C101" t="inlineStr"/>
      <c r="D101" t="inlineStr"/>
    </row>
    <row r="102">
      <c r="A102" t="inlineStr">
        <is>
          <t>1986 5521 3378 5266 1863 625 212 221</t>
        </is>
      </c>
      <c r="B102" t="inlineStr"/>
      <c r="C102" t="inlineStr"/>
      <c r="D102" t="inlineStr"/>
    </row>
    <row r="103">
      <c r="A103" t="inlineStr">
        <is>
          <t>1987 2520 12614 1285 1620 506 265 147</t>
        </is>
      </c>
      <c r="B103" t="inlineStr"/>
      <c r="C103" t="inlineStr"/>
      <c r="D103" t="inlineStr"/>
    </row>
    <row r="104">
      <c r="A104" t="inlineStr">
        <is>
          <t>1988 2038 5850 4877 519 524 213 176</t>
        </is>
      </c>
      <c r="B104" t="inlineStr"/>
      <c r="C104" t="inlineStr"/>
      <c r="D104" t="inlineStr"/>
    </row>
    <row r="105">
      <c r="A105" t="inlineStr">
        <is>
          <t>1989 3373 4803 3386 1697 235 276 169</t>
        </is>
      </c>
      <c r="B105" t="inlineStr"/>
      <c r="C105" t="inlineStr"/>
      <c r="D105" t="inlineStr"/>
    </row>
    <row r="106">
      <c r="A106" t="inlineStr">
        <is>
          <t>1990 1828 8405 2290 1075 577 109 209</t>
        </is>
      </c>
      <c r="B106" t="inlineStr"/>
      <c r="C106" t="inlineStr"/>
      <c r="D106" t="inlineStr"/>
    </row>
    <row r="107">
      <c r="A107" t="inlineStr">
        <is>
          <t>1991 1879 4012 3245 851 318 242 126</t>
        </is>
      </c>
      <c r="B107" t="inlineStr"/>
      <c r="C107" t="inlineStr"/>
      <c r="D107" t="inlineStr"/>
    </row>
    <row r="108">
      <c r="A108" t="inlineStr">
        <is>
          <t>1992 3357 4119 1664 1075 265 118 148</t>
        </is>
      </c>
      <c r="B108" t="inlineStr"/>
      <c r="C108" t="inlineStr"/>
      <c r="D108" t="inlineStr"/>
    </row>
    <row r="109">
      <c r="A109" t="inlineStr">
        <is>
          <t>1993 2198 8484 1894 669 385 117 96</t>
        </is>
      </c>
      <c r="B109" t="inlineStr"/>
      <c r="C109" t="inlineStr"/>
      <c r="D109" t="inlineStr"/>
    </row>
    <row r="110">
      <c r="A110" t="inlineStr">
        <is>
          <t>1994 3928 5256 3626 722 263 156 86</t>
        </is>
      </c>
      <c r="B110" t="inlineStr"/>
      <c r="C110" t="inlineStr"/>
      <c r="D110" t="inlineStr"/>
    </row>
    <row r="111">
      <c r="A111" t="inlineStr">
        <is>
          <t>1995 3008 11202 2887 1321 253 114 102</t>
        </is>
      </c>
      <c r="B111" t="inlineStr"/>
      <c r="C111" t="inlineStr"/>
      <c r="D111" t="inlineStr"/>
    </row>
    <row r="112">
      <c r="A112" t="inlineStr">
        <is>
          <t>1996 1886 7249 4454 885 435 101 86</t>
        </is>
      </c>
      <c r="B112" t="inlineStr"/>
      <c r="C112" t="inlineStr"/>
      <c r="D112" t="inlineStr"/>
    </row>
    <row r="113">
      <c r="A113" t="inlineStr">
        <is>
          <t>1997 3976 4417 2795 1082 303 160 64</t>
        </is>
      </c>
      <c r="B113" t="inlineStr"/>
      <c r="C113" t="inlineStr"/>
      <c r="D113" t="inlineStr"/>
    </row>
    <row r="114">
      <c r="A114" t="inlineStr">
        <is>
          <t>1998 554 12504 2246 947 395 133 91</t>
        </is>
      </c>
      <c r="B114" t="inlineStr"/>
      <c r="C114" t="inlineStr"/>
      <c r="D114" t="inlineStr"/>
    </row>
    <row r="115">
      <c r="A115" t="inlineStr">
        <is>
          <t>1999 1338 1405 6367 813 341 147 94</t>
        </is>
      </c>
      <c r="B115" t="inlineStr"/>
      <c r="C115" t="inlineStr"/>
      <c r="D115" t="inlineStr"/>
    </row>
    <row r="116">
      <c r="A116" t="inlineStr">
        <is>
          <t>2000 1836 3554 721 1583 289 130 85</t>
        </is>
      </c>
      <c r="B116" t="inlineStr"/>
      <c r="C116" t="inlineStr"/>
      <c r="D116" t="inlineStr"/>
    </row>
    <row r="117">
      <c r="A117" t="inlineStr">
        <is>
          <t>ICES</t>
        </is>
      </c>
      <c r="B117" t="inlineStr">
        <is>
          <t>| WGNSSK</t>
        </is>
      </c>
      <c r="C117" t="inlineStr">
        <is>
          <t>2025</t>
        </is>
      </c>
      <c r="D117" t="inlineStr">
        <is>
          <t>| 165</t>
        </is>
      </c>
    </row>
    <row r="118">
      <c r="A118" t="inlineStr">
        <is>
          <t>Year/Age</t>
        </is>
      </c>
      <c r="B118" t="inlineStr">
        <is>
          <t>1 2 3 4 5 6 7+</t>
        </is>
      </c>
      <c r="C118" t="inlineStr"/>
      <c r="D118" t="inlineStr"/>
    </row>
    <row r="119">
      <c r="A119" t="inlineStr">
        <is>
          <t>2001 687 5297 1656 288 352 86 68</t>
        </is>
      </c>
      <c r="B119" t="inlineStr"/>
      <c r="C119" t="inlineStr"/>
      <c r="D119" t="inlineStr"/>
    </row>
    <row r="120">
      <c r="A120" t="inlineStr">
        <is>
          <t>2002 900 1934 3045 603 106 111 52</t>
        </is>
      </c>
      <c r="B120" t="inlineStr"/>
      <c r="C120" t="inlineStr"/>
      <c r="D120" t="inlineStr"/>
    </row>
    <row r="121">
      <c r="A121" t="inlineStr">
        <is>
          <t>2003 518 2375 1072 1109 246 44 57</t>
        </is>
      </c>
      <c r="B121" t="inlineStr"/>
      <c r="C121" t="inlineStr"/>
      <c r="D121" t="inlineStr"/>
    </row>
    <row r="122">
      <c r="A122" t="inlineStr">
        <is>
          <t>2004 1007 1446 1270 423 379 105 35</t>
        </is>
      </c>
      <c r="B122" t="inlineStr"/>
      <c r="C122" t="inlineStr"/>
      <c r="D122" t="inlineStr"/>
    </row>
    <row r="123">
      <c r="A123" t="inlineStr">
        <is>
          <t>2005 608 2317 815 424 168 152 51</t>
        </is>
      </c>
      <c r="B123" t="inlineStr"/>
      <c r="C123" t="inlineStr"/>
      <c r="D123" t="inlineStr"/>
    </row>
    <row r="124">
      <c r="A124" t="inlineStr">
        <is>
          <t>2006 1111 1468 1249 299 154 75 77</t>
        </is>
      </c>
      <c r="B124" t="inlineStr"/>
      <c r="C124" t="inlineStr"/>
      <c r="D124" t="inlineStr"/>
    </row>
    <row r="125">
      <c r="A125" t="inlineStr">
        <is>
          <t>2007 439 2700 886 421 149 67 56</t>
        </is>
      </c>
      <c r="B125" t="inlineStr"/>
      <c r="C125" t="inlineStr"/>
      <c r="D125" t="inlineStr"/>
    </row>
    <row r="126">
      <c r="A126" t="inlineStr">
        <is>
          <t>2008 537 1107 1916 404 228 81 50</t>
        </is>
      </c>
      <c r="B126" t="inlineStr"/>
      <c r="C126" t="inlineStr"/>
      <c r="D126" t="inlineStr"/>
    </row>
    <row r="127">
      <c r="A127" t="inlineStr">
        <is>
          <t>2009 570 1229 704 781 205 96 51</t>
        </is>
      </c>
      <c r="B127" t="inlineStr"/>
      <c r="C127" t="inlineStr"/>
      <c r="D127" t="inlineStr"/>
    </row>
    <row r="128">
      <c r="A128" t="inlineStr">
        <is>
          <t>2010 760 1411 858 325 365 91 47</t>
        </is>
      </c>
      <c r="B128" t="inlineStr"/>
      <c r="C128" t="inlineStr"/>
      <c r="D128" t="inlineStr"/>
    </row>
    <row r="129">
      <c r="A129" t="inlineStr">
        <is>
          <t>2011 328 1982 1099 423 170 175 46</t>
        </is>
      </c>
      <c r="B129" t="inlineStr"/>
      <c r="C129" t="inlineStr"/>
      <c r="D129" t="inlineStr"/>
    </row>
    <row r="130">
      <c r="A130" t="inlineStr">
        <is>
          <t>2012 531 883 1802 654 259 88 83</t>
        </is>
      </c>
      <c r="B130" t="inlineStr"/>
      <c r="C130" t="inlineStr"/>
      <c r="D130" t="inlineStr"/>
    </row>
    <row r="131">
      <c r="A131" t="inlineStr">
        <is>
          <t>2013 520 1256 842 828 382 121 66</t>
        </is>
      </c>
      <c r="B131" t="inlineStr"/>
      <c r="C131" t="inlineStr"/>
      <c r="D131" t="inlineStr"/>
    </row>
    <row r="132">
      <c r="A132" t="inlineStr">
        <is>
          <t>2014 574 1366 1041 413 416 152 68</t>
        </is>
      </c>
      <c r="B132" t="inlineStr"/>
      <c r="C132" t="inlineStr"/>
      <c r="D132" t="inlineStr"/>
    </row>
    <row r="133">
      <c r="A133" t="inlineStr">
        <is>
          <t>2015 292 1922 1584 619 254 205 88</t>
        </is>
      </c>
      <c r="B133" t="inlineStr"/>
      <c r="C133" t="inlineStr"/>
      <c r="D133" t="inlineStr"/>
    </row>
    <row r="134">
      <c r="A134" t="inlineStr">
        <is>
          <t>2016 201 976 2554 1138 443 141 142</t>
        </is>
      </c>
      <c r="B134" t="inlineStr"/>
      <c r="C134" t="inlineStr"/>
      <c r="D134" t="inlineStr"/>
    </row>
    <row r="135">
      <c r="A135" t="inlineStr">
        <is>
          <t>2017 557 736 1385 1552 932 223 131</t>
        </is>
      </c>
      <c r="B135" t="inlineStr"/>
      <c r="C135" t="inlineStr"/>
      <c r="D135" t="inlineStr"/>
    </row>
    <row r="136">
      <c r="A136" t="inlineStr">
        <is>
          <t>2018 205 1981 874 691 723 393 152</t>
        </is>
      </c>
      <c r="B136" t="inlineStr"/>
      <c r="C136" t="inlineStr"/>
      <c r="D136" t="inlineStr"/>
    </row>
    <row r="137">
      <c r="A137" t="inlineStr">
        <is>
          <t>2019 323 503 1556 317 277 210 169</t>
        </is>
      </c>
      <c r="B137" t="inlineStr"/>
      <c r="C137" t="inlineStr"/>
      <c r="D137" t="inlineStr"/>
    </row>
    <row r="138">
      <c r="A138" t="inlineStr">
        <is>
          <t>2020 539 823 435 500 148 80 114</t>
        </is>
      </c>
      <c r="B138" t="inlineStr"/>
      <c r="C138" t="inlineStr"/>
      <c r="D138" t="inlineStr"/>
    </row>
    <row r="139">
      <c r="A139" t="inlineStr">
        <is>
          <t>2021 194 1379 845 244 203 58 74</t>
        </is>
      </c>
      <c r="B139" t="inlineStr"/>
      <c r="C139" t="inlineStr"/>
      <c r="D139" t="inlineStr"/>
    </row>
    <row r="140">
      <c r="A140" t="inlineStr">
        <is>
          <t>2022 252 594 1652 555 162 96 61</t>
        </is>
      </c>
      <c r="B140" t="inlineStr"/>
      <c r="C140" t="inlineStr"/>
      <c r="D140" t="inlineStr"/>
    </row>
    <row r="141">
      <c r="A141" t="inlineStr">
        <is>
          <t>2023 179 861 872 984 370 89 77</t>
        </is>
      </c>
      <c r="B141" t="inlineStr"/>
      <c r="C141" t="inlineStr"/>
      <c r="D141" t="inlineStr"/>
    </row>
    <row r="142">
      <c r="A142" t="inlineStr">
        <is>
          <t>2024 45 618 1176 584 648 209 79</t>
        </is>
      </c>
      <c r="B142" t="inlineStr"/>
      <c r="C142" t="inlineStr"/>
      <c r="D14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</row>
    <row r="2">
      <c r="A2" t="inlineStr">
        <is>
          <t>at-age (kg) for each substock.</t>
        </is>
      </c>
      <c r="B2" t="inlineStr"/>
      <c r="C2" t="inlineStr"/>
      <c r="D2" t="inlineStr"/>
    </row>
    <row r="3">
      <c r="A3" t="inlineStr">
        <is>
          <t>Northwest ern</t>
        </is>
      </c>
      <c r="B3" t="inlineStr"/>
      <c r="C3" t="inlineStr"/>
      <c r="D3" t="inlineStr"/>
    </row>
    <row r="4">
      <c r="A4" t="inlineStr">
        <is>
          <t>Year/Age</t>
        </is>
      </c>
      <c r="B4" t="inlineStr">
        <is>
          <t>1 2 3 4 5 6 7+</t>
        </is>
      </c>
      <c r="C4" t="inlineStr"/>
      <c r="D4" t="inlineStr"/>
    </row>
    <row r="5">
      <c r="A5" t="inlineStr">
        <is>
          <t>1983 0.07 0.548 1.543 4.177 7.14 10.824 12.525</t>
        </is>
      </c>
      <c r="B5" t="inlineStr"/>
      <c r="C5" t="inlineStr"/>
      <c r="D5" t="inlineStr"/>
    </row>
    <row r="6">
      <c r="A6" t="inlineStr">
        <is>
          <t>1984 0.054 0.453 1.77 4.076 6.882 9.53 12.621</t>
        </is>
      </c>
      <c r="B6" t="inlineStr"/>
      <c r="C6" t="inlineStr"/>
      <c r="D6" t="inlineStr"/>
    </row>
    <row r="7">
      <c r="A7" t="inlineStr">
        <is>
          <t>166 | ICES SCIENTIFIC REPORTS 6:38 | ICES</t>
        </is>
      </c>
      <c r="B7" t="inlineStr"/>
      <c r="C7" t="inlineStr"/>
      <c r="D7" t="inlineStr"/>
    </row>
    <row r="8">
      <c r="A8" t="inlineStr">
        <is>
          <t>Year/Age</t>
        </is>
      </c>
      <c r="B8" t="inlineStr">
        <is>
          <t>1 2 3 4 5 6 7+</t>
        </is>
      </c>
      <c r="C8" t="inlineStr"/>
      <c r="D8" t="inlineStr"/>
    </row>
    <row r="9">
      <c r="A9" t="inlineStr">
        <is>
          <t>1985 0.072 0.387 1.694 4.234 6.209 9.291 12.556</t>
        </is>
      </c>
      <c r="B9" t="inlineStr"/>
      <c r="C9" t="inlineStr"/>
      <c r="D9" t="inlineStr"/>
    </row>
    <row r="10">
      <c r="A10" t="inlineStr">
        <is>
          <t>1986 0.056 0.491 1.534 3.804 6.731 8.887 12.362</t>
        </is>
      </c>
      <c r="B10" t="inlineStr"/>
      <c r="C10" t="inlineStr"/>
      <c r="D10" t="inlineStr"/>
    </row>
    <row r="11">
      <c r="A11" t="inlineStr">
        <is>
          <t>1987 0.086 0.379 1.468 4.15 6.871 9.295 12.404</t>
        </is>
      </c>
      <c r="B11" t="inlineStr"/>
      <c r="C11" t="inlineStr"/>
      <c r="D11" t="inlineStr"/>
    </row>
    <row r="12">
      <c r="A12" t="inlineStr">
        <is>
          <t>1988 0.082 0.504 1.485 3.594 7.013 8.947 12.459</t>
        </is>
      </c>
      <c r="B12" t="inlineStr"/>
      <c r="C12" t="inlineStr"/>
      <c r="D12" t="inlineStr"/>
    </row>
    <row r="13">
      <c r="A13" t="inlineStr">
        <is>
          <t>1989 0.072 0.445 1.53 3.723 6.04 9.259 12.478</t>
        </is>
      </c>
      <c r="B13" t="inlineStr"/>
      <c r="C13" t="inlineStr"/>
      <c r="D13" t="inlineStr"/>
    </row>
    <row r="14">
      <c r="A14" t="inlineStr">
        <is>
          <t>1990 0.058 0.426 1.489 4.103 6.804 8.698 12.532</t>
        </is>
      </c>
      <c r="B14" t="inlineStr"/>
      <c r="C14" t="inlineStr"/>
      <c r="D14" t="inlineStr"/>
    </row>
    <row r="15">
      <c r="A15" t="inlineStr">
        <is>
          <t>1991 0.081 0.496 1.651 4.002 7.167 9.905 12.728</t>
        </is>
      </c>
      <c r="B15" t="inlineStr"/>
      <c r="C15" t="inlineStr"/>
      <c r="D15" t="inlineStr"/>
    </row>
    <row r="16">
      <c r="A16" t="inlineStr">
        <is>
          <t>1992 0.057 0.579 1.939 4.5 6.893 9.893 12.88</t>
        </is>
      </c>
      <c r="B16" t="inlineStr"/>
      <c r="C16" t="inlineStr"/>
      <c r="D16" t="inlineStr"/>
    </row>
    <row r="17">
      <c r="A17" t="inlineStr">
        <is>
          <t>1993 0.045 0.452 2.041 4.892 7.469 9.693 13.091</t>
        </is>
      </c>
      <c r="B17" t="inlineStr"/>
      <c r="C17" t="inlineStr"/>
      <c r="D17" t="inlineStr"/>
    </row>
    <row r="18">
      <c r="A18" t="inlineStr">
        <is>
          <t>1994 0.045 0.376 1.679 4.935 8.028 9.631 13.038</t>
        </is>
      </c>
      <c r="B18" t="inlineStr"/>
      <c r="C18" t="inlineStr"/>
      <c r="D18" t="inlineStr"/>
    </row>
    <row r="19">
      <c r="A19" t="inlineStr">
        <is>
          <t>1995 0.064 0.315 1.341 4.283 6.83 10.027 13.039</t>
        </is>
      </c>
      <c r="B19" t="inlineStr"/>
      <c r="C19" t="inlineStr"/>
      <c r="D19" t="inlineStr"/>
    </row>
    <row r="20">
      <c r="A20" t="inlineStr">
        <is>
          <t>1996 0.076 0.487 1.401 4.063 6.858 8.659 12.71</t>
        </is>
      </c>
      <c r="B20" t="inlineStr"/>
      <c r="C20" t="inlineStr"/>
      <c r="D20" t="inlineStr"/>
    </row>
    <row r="21">
      <c r="A21" t="inlineStr">
        <is>
          <t>1997 0.033 0.411 1.656 4.011 7.117 9.335 12.364</t>
        </is>
      </c>
      <c r="B21" t="inlineStr"/>
      <c r="C21" t="inlineStr"/>
      <c r="D21" t="inlineStr"/>
    </row>
    <row r="22">
      <c r="A22" t="inlineStr">
        <is>
          <t>1998 0.091 0.291 1.528 4.22 6.974 9.499 12.143</t>
        </is>
      </c>
      <c r="B22" t="inlineStr"/>
      <c r="C22" t="inlineStr"/>
      <c r="D22" t="inlineStr"/>
    </row>
    <row r="23">
      <c r="A23" t="inlineStr">
        <is>
          <t>1999 0.092 0.486 0.875 2.948 6.902 9.22 12.104</t>
        </is>
      </c>
      <c r="B23" t="inlineStr"/>
      <c r="C23" t="inlineStr"/>
      <c r="D23" t="inlineStr"/>
    </row>
    <row r="24">
      <c r="A24" t="inlineStr">
        <is>
          <t>2000 0.077 0.527 1.738 2.703 5.271 8.651 12.045</t>
        </is>
      </c>
      <c r="B24" t="inlineStr"/>
      <c r="C24" t="inlineStr"/>
      <c r="D24" t="inlineStr"/>
    </row>
    <row r="25">
      <c r="A25" t="inlineStr">
        <is>
          <t>2001 0.086 0.415 1.568 4.054 5.549 7.313 11.802</t>
        </is>
      </c>
      <c r="B25" t="inlineStr"/>
      <c r="C25" t="inlineStr"/>
      <c r="D25" t="inlineStr"/>
    </row>
    <row r="26">
      <c r="A26" t="inlineStr">
        <is>
          <t>2002 0.084 0.401 1.346 3.964 5.878 8.64 11.697</t>
        </is>
      </c>
      <c r="B26" t="inlineStr"/>
      <c r="C26" t="inlineStr"/>
      <c r="D26" t="inlineStr"/>
    </row>
    <row r="27">
      <c r="A27" t="inlineStr">
        <is>
          <t>2003 0.083 0.474 1.119 3.212 6.285 8.715 11.77</t>
        </is>
      </c>
      <c r="B27" t="inlineStr"/>
      <c r="C27" t="inlineStr"/>
      <c r="D27" t="inlineStr"/>
    </row>
    <row r="28">
      <c r="A28" t="inlineStr">
        <is>
          <t>2004 0.071 0.395 1.358 3.461 6.195 10.127 11.646</t>
        </is>
      </c>
      <c r="B28" t="inlineStr"/>
      <c r="C28" t="inlineStr"/>
      <c r="D28" t="inlineStr"/>
    </row>
    <row r="29">
      <c r="A29" t="inlineStr">
        <is>
          <t>2005 0.081 0.416 1.297 2.838 5.406 8.985 11.532</t>
        </is>
      </c>
      <c r="B29" t="inlineStr"/>
      <c r="C29" t="inlineStr"/>
      <c r="D29" t="inlineStr"/>
    </row>
    <row r="30">
      <c r="A30" t="inlineStr">
        <is>
          <t>2006 0.068 0.487 1.43 3.009 5.341 6.019 11.125</t>
        </is>
      </c>
      <c r="B30" t="inlineStr"/>
      <c r="C30" t="inlineStr"/>
      <c r="D30" t="inlineStr"/>
    </row>
    <row r="31">
      <c r="A31" t="inlineStr">
        <is>
          <t>2007 0.07 0.433 1.683 3.86 5.86 7.879 10.72</t>
        </is>
      </c>
      <c r="B31" t="inlineStr"/>
      <c r="C31" t="inlineStr"/>
      <c r="D31" t="inlineStr"/>
    </row>
    <row r="32">
      <c r="A32" t="inlineStr">
        <is>
          <t>2008 0.076 0.514 1.649 4.489 6.6 7.914 10.491</t>
        </is>
      </c>
      <c r="B32" t="inlineStr"/>
      <c r="C32" t="inlineStr"/>
      <c r="D32" t="inlineStr"/>
    </row>
    <row r="33">
      <c r="A33" t="inlineStr">
        <is>
          <t>2009 0.076 0.507 1.579 3.709 6.567 8.205 10.501</t>
        </is>
      </c>
      <c r="B33" t="inlineStr"/>
      <c r="C33" t="inlineStr"/>
      <c r="D33" t="inlineStr"/>
    </row>
    <row r="34">
      <c r="A34" t="inlineStr">
        <is>
          <t>2010 0.086 0.567 1.832 3.626 6.049 7.676 10.455</t>
        </is>
      </c>
      <c r="B34" t="inlineStr"/>
      <c r="C34" t="inlineStr"/>
      <c r="D34" t="inlineStr"/>
    </row>
    <row r="35">
      <c r="A35" t="inlineStr">
        <is>
          <t>2011 0.095 0.521 1.848 4.078 5.867 8.097 10.235</t>
        </is>
      </c>
      <c r="B35" t="inlineStr"/>
      <c r="C35" t="inlineStr"/>
      <c r="D35" t="inlineStr"/>
    </row>
    <row r="36">
      <c r="A36" t="inlineStr">
        <is>
          <t>2012 0.108 0.63 1.603 3.782 6.021 7.888 10.038</t>
        </is>
      </c>
      <c r="B36" t="inlineStr"/>
      <c r="C36" t="inlineStr"/>
      <c r="D36" t="inlineStr"/>
    </row>
    <row r="37">
      <c r="A37" t="inlineStr">
        <is>
          <t>2013 0.095 0.689 1.889 3.635 5.665 7.037 9.686</t>
        </is>
      </c>
      <c r="B37" t="inlineStr"/>
      <c r="C37" t="inlineStr"/>
      <c r="D37" t="inlineStr"/>
    </row>
    <row r="38">
      <c r="A38" t="inlineStr">
        <is>
          <t>ICES</t>
        </is>
      </c>
      <c r="B38" t="inlineStr">
        <is>
          <t>| WGNSSK</t>
        </is>
      </c>
      <c r="C38" t="inlineStr">
        <is>
          <t>2025</t>
        </is>
      </c>
      <c r="D38" t="inlineStr">
        <is>
          <t>| 167</t>
        </is>
      </c>
    </row>
    <row r="39">
      <c r="A39" t="inlineStr">
        <is>
          <t>Year/Age</t>
        </is>
      </c>
      <c r="B39" t="inlineStr">
        <is>
          <t>1 2 3 4 5 6 7+</t>
        </is>
      </c>
      <c r="C39" t="inlineStr"/>
      <c r="D39" t="inlineStr"/>
    </row>
    <row r="40">
      <c r="A40" t="inlineStr">
        <is>
          <t>2014 0.073 0.585 1.873 3.782 5.396 7.086 9.423</t>
        </is>
      </c>
      <c r="B40" t="inlineStr"/>
      <c r="C40" t="inlineStr"/>
      <c r="D40" t="inlineStr"/>
    </row>
    <row r="41">
      <c r="A41" t="inlineStr">
        <is>
          <t>2015 0.084 0.544 1.705 3.825 5.875 6.921 9.238</t>
        </is>
      </c>
      <c r="B41" t="inlineStr"/>
      <c r="C41" t="inlineStr"/>
      <c r="D41" t="inlineStr"/>
    </row>
    <row r="42">
      <c r="A42" t="inlineStr">
        <is>
          <t>2016 0.076 0.626 1.732 3.647 5.773 7.468 9.268</t>
        </is>
      </c>
      <c r="B42" t="inlineStr"/>
      <c r="C42" t="inlineStr"/>
      <c r="D42" t="inlineStr"/>
    </row>
    <row r="43">
      <c r="A43" t="inlineStr">
        <is>
          <t>2017 0.066 0.56 1.835 3.89 5.655 7.006 9.256</t>
        </is>
      </c>
      <c r="B43" t="inlineStr"/>
      <c r="C43" t="inlineStr"/>
      <c r="D43" t="inlineStr"/>
    </row>
    <row r="44">
      <c r="A44" t="inlineStr">
        <is>
          <t>2018 0.071 0.416 1.708 3.582 5.636 6.581 9.29</t>
        </is>
      </c>
      <c r="B44" t="inlineStr"/>
      <c r="C44" t="inlineStr"/>
      <c r="D44" t="inlineStr"/>
    </row>
    <row r="45">
      <c r="A45" t="inlineStr">
        <is>
          <t>2019 0.069 0.46 1.378 3.73 5.559 7.592 9.523</t>
        </is>
      </c>
      <c r="B45" t="inlineStr"/>
      <c r="C45" t="inlineStr"/>
      <c r="D45" t="inlineStr"/>
    </row>
    <row r="46">
      <c r="A46" t="inlineStr">
        <is>
          <t>2020 0.077 0.499 1.722 3.454 5.363 7.807 9.875</t>
        </is>
      </c>
      <c r="B46" t="inlineStr"/>
      <c r="C46" t="inlineStr"/>
      <c r="D46" t="inlineStr"/>
    </row>
    <row r="47">
      <c r="A47" t="inlineStr">
        <is>
          <t>2021 0.09 0.473 1.83 3.96 5.779 7.156 9.869</t>
        </is>
      </c>
      <c r="B47" t="inlineStr"/>
      <c r="C47" t="inlineStr"/>
      <c r="D47" t="inlineStr"/>
    </row>
    <row r="48">
      <c r="A48" t="inlineStr">
        <is>
          <t>2022 0.109 0.464 1.403 4.305 6.073 7.915 9.883</t>
        </is>
      </c>
      <c r="B48" t="inlineStr"/>
      <c r="C48" t="inlineStr"/>
      <c r="D48" t="inlineStr"/>
    </row>
    <row r="49">
      <c r="A49" t="inlineStr">
        <is>
          <t>2023 0.098 0.527 1.447 3.272 6.16 7.748 9.729</t>
        </is>
      </c>
      <c r="B49" t="inlineStr"/>
      <c r="C49" t="inlineStr"/>
      <c r="D49" t="inlineStr"/>
    </row>
    <row r="50">
      <c r="A50" t="inlineStr">
        <is>
          <t>2024 0.098 0.466 1.415 3.057 5.143 7.418 9.65</t>
        </is>
      </c>
      <c r="B50" t="inlineStr"/>
      <c r="C50" t="inlineStr"/>
      <c r="D50" t="inlineStr"/>
    </row>
    <row r="51">
      <c r="A51" t="inlineStr">
        <is>
          <t>2025 0.094 0.506 1.292 3.285 5.118 7.294 9.512</t>
        </is>
      </c>
      <c r="B51" t="inlineStr"/>
      <c r="C51" t="inlineStr"/>
      <c r="D51" t="inlineStr"/>
    </row>
    <row r="52">
      <c r="A52" t="inlineStr">
        <is>
          <t>Southern</t>
        </is>
      </c>
      <c r="B52" t="inlineStr"/>
      <c r="C52" t="inlineStr"/>
      <c r="D52" t="inlineStr"/>
    </row>
    <row r="53">
      <c r="A53" t="inlineStr">
        <is>
          <t>Year/Age</t>
        </is>
      </c>
      <c r="B53" t="inlineStr">
        <is>
          <t>1 2 3 4 5 6 7+</t>
        </is>
      </c>
      <c r="C53" t="inlineStr"/>
      <c r="D53" t="inlineStr"/>
    </row>
    <row r="54">
      <c r="A54" t="inlineStr">
        <is>
          <t>1983 0.078 0.661 2.085 4.562 7.323 10.421 12.258</t>
        </is>
      </c>
      <c r="B54" t="inlineStr"/>
      <c r="C54" t="inlineStr"/>
      <c r="D54" t="inlineStr"/>
    </row>
    <row r="55">
      <c r="A55" t="inlineStr">
        <is>
          <t>1984 0.078 0.601 1.999 3.85 7.533 10.025 12.35</t>
        </is>
      </c>
      <c r="B55" t="inlineStr"/>
      <c r="C55" t="inlineStr"/>
      <c r="D55" t="inlineStr"/>
    </row>
    <row r="56">
      <c r="A56" t="inlineStr">
        <is>
          <t>1985 0.052 0.553 2.124 4.549 7.157 10.397 12.379</t>
        </is>
      </c>
      <c r="B56" t="inlineStr"/>
      <c r="C56" t="inlineStr"/>
      <c r="D56" t="inlineStr"/>
    </row>
    <row r="57">
      <c r="A57" t="inlineStr">
        <is>
          <t>1986 0.066 0.368 1.839 4.103 7.488 10.202 12.452</t>
        </is>
      </c>
      <c r="B57" t="inlineStr"/>
      <c r="C57" t="inlineStr"/>
      <c r="D57" t="inlineStr"/>
    </row>
    <row r="58">
      <c r="A58" t="inlineStr">
        <is>
          <t>1987 0.081 0.493 1.301 4.496 7.453 10.695 12.58</t>
        </is>
      </c>
      <c r="B58" t="inlineStr"/>
      <c r="C58" t="inlineStr"/>
      <c r="D58" t="inlineStr"/>
    </row>
    <row r="59">
      <c r="A59" t="inlineStr">
        <is>
          <t>1988 0.067 0.668 1.932 3.492 7.601 10.571 12.739</t>
        </is>
      </c>
      <c r="B59" t="inlineStr"/>
      <c r="C59" t="inlineStr"/>
      <c r="D59" t="inlineStr"/>
    </row>
    <row r="60">
      <c r="A60" t="inlineStr">
        <is>
          <t>1989 0.067 0.694 2.194 3.97 6.971 10.251 12.844</t>
        </is>
      </c>
      <c r="B60" t="inlineStr"/>
      <c r="C60" t="inlineStr"/>
      <c r="D60" t="inlineStr"/>
    </row>
    <row r="61">
      <c r="A61" t="inlineStr">
        <is>
          <t>1990 0.076 0.605 2.358 4.41 7.211 10.504 12.885</t>
        </is>
      </c>
      <c r="B61" t="inlineStr"/>
      <c r="C61" t="inlineStr"/>
      <c r="D61" t="inlineStr"/>
    </row>
    <row r="62">
      <c r="A62" t="inlineStr">
        <is>
          <t>1991 0.058 0.649 2.063 4.773 7.654 10.295 13.003</t>
        </is>
      </c>
      <c r="B62" t="inlineStr"/>
      <c r="C62" t="inlineStr"/>
      <c r="D62" t="inlineStr"/>
    </row>
    <row r="63">
      <c r="A63" t="inlineStr">
        <is>
          <t>1992 0.065 0.39 2.069 5.021 7.892 10.894 12.933</t>
        </is>
      </c>
      <c r="B63" t="inlineStr"/>
      <c r="C63" t="inlineStr"/>
      <c r="D63" t="inlineStr"/>
    </row>
    <row r="64">
      <c r="A64" t="inlineStr">
        <is>
          <t>1993 0.047 0.553 2.066 4.961 8.212 11.647 13.005</t>
        </is>
      </c>
      <c r="B64" t="inlineStr"/>
      <c r="C64" t="inlineStr"/>
      <c r="D64" t="inlineStr"/>
    </row>
    <row r="65">
      <c r="A65" t="inlineStr">
        <is>
          <t>1994 0.042 0.409 1.929 4.757 8.318 10.413 13.029</t>
        </is>
      </c>
      <c r="B65" t="inlineStr"/>
      <c r="C65" t="inlineStr"/>
      <c r="D65" t="inlineStr"/>
    </row>
    <row r="66">
      <c r="A66" t="inlineStr">
        <is>
          <t>1995 0.048 0.366 1.411 4.193 7.368 10.537 12.986</t>
        </is>
      </c>
      <c r="B66" t="inlineStr"/>
      <c r="C66" t="inlineStr"/>
      <c r="D66" t="inlineStr"/>
    </row>
    <row r="67">
      <c r="A67" t="inlineStr">
        <is>
          <t>1996 0.041 0.457 1.495 3.159 6.766 10.272 12.99</t>
        </is>
      </c>
      <c r="B67" t="inlineStr"/>
      <c r="C67" t="inlineStr"/>
      <c r="D67" t="inlineStr"/>
    </row>
    <row r="68">
      <c r="A68" t="inlineStr">
        <is>
          <t>1997 0.035 0.262 1.847 3.599 6.703 8.609 12.643</t>
        </is>
      </c>
      <c r="B68" t="inlineStr"/>
      <c r="C68" t="inlineStr"/>
      <c r="D68" t="inlineStr"/>
    </row>
    <row r="69">
      <c r="A69" t="inlineStr">
        <is>
          <t>168 | ICES SCIENTIFIC REPORTS 6:38 | ICES</t>
        </is>
      </c>
      <c r="B69" t="inlineStr"/>
      <c r="C69" t="inlineStr"/>
      <c r="D69" t="inlineStr"/>
    </row>
    <row r="70">
      <c r="A70" t="inlineStr">
        <is>
          <t>Year/Age</t>
        </is>
      </c>
      <c r="B70" t="inlineStr">
        <is>
          <t>1 2 3 4 5 6 7+</t>
        </is>
      </c>
      <c r="C70" t="inlineStr"/>
      <c r="D70" t="inlineStr"/>
    </row>
    <row r="71">
      <c r="A71" t="inlineStr">
        <is>
          <t>1998 0.049 0.368 1.081 3.652 7.679 9.475 12.635</t>
        </is>
      </c>
      <c r="B71" t="inlineStr"/>
      <c r="C71" t="inlineStr"/>
      <c r="D71" t="inlineStr"/>
    </row>
    <row r="72">
      <c r="A72" t="inlineStr">
        <is>
          <t>1999 0.106 0.517 1.503 3.174 7.197 9.75 12.444</t>
        </is>
      </c>
      <c r="B72" t="inlineStr"/>
      <c r="C72" t="inlineStr"/>
      <c r="D72" t="inlineStr"/>
    </row>
    <row r="73">
      <c r="A73" t="inlineStr">
        <is>
          <t>2000 0.063 0.546 1.648 3.62 5.364 9.505 12.373</t>
        </is>
      </c>
      <c r="B73" t="inlineStr"/>
      <c r="C73" t="inlineStr"/>
      <c r="D73" t="inlineStr"/>
    </row>
    <row r="74">
      <c r="A74" t="inlineStr">
        <is>
          <t>2001 0.108 0.406 1.508 3.413 7.08 8.942 12.247</t>
        </is>
      </c>
      <c r="B74" t="inlineStr"/>
      <c r="C74" t="inlineStr"/>
      <c r="D74" t="inlineStr"/>
    </row>
    <row r="75">
      <c r="A75" t="inlineStr">
        <is>
          <t>2002 0.084 0.496 1.693 4.337 7.554 10.312 12.407</t>
        </is>
      </c>
      <c r="B75" t="inlineStr"/>
      <c r="C75" t="inlineStr"/>
      <c r="D75" t="inlineStr"/>
    </row>
    <row r="76">
      <c r="A76" t="inlineStr">
        <is>
          <t>2003 0.072 0.595 1.435 4.274 7.287 11.026 12.669</t>
        </is>
      </c>
      <c r="B76" t="inlineStr"/>
      <c r="C76" t="inlineStr"/>
      <c r="D76" t="inlineStr"/>
    </row>
    <row r="77">
      <c r="A77" t="inlineStr">
        <is>
          <t>2004 0.057 0.312 1.912 3.514 7.606 9.514 12.895</t>
        </is>
      </c>
      <c r="B77" t="inlineStr"/>
      <c r="C77" t="inlineStr"/>
      <c r="D77" t="inlineStr"/>
    </row>
    <row r="78">
      <c r="A78" t="inlineStr">
        <is>
          <t>2005 0.061 0.527 1.571 3.816 6.551 10.617 12.788</t>
        </is>
      </c>
      <c r="B78" t="inlineStr"/>
      <c r="C78" t="inlineStr"/>
      <c r="D78" t="inlineStr"/>
    </row>
    <row r="79">
      <c r="A79" t="inlineStr">
        <is>
          <t>2006 0.068 0.63 2.109 3.901 7.977 8.591 12.618</t>
        </is>
      </c>
      <c r="B79" t="inlineStr"/>
      <c r="C79" t="inlineStr"/>
      <c r="D79" t="inlineStr"/>
    </row>
    <row r="80">
      <c r="A80" t="inlineStr">
        <is>
          <t>2007 0.085 0.464 2.122 4.251 6.807 11.246 12.518</t>
        </is>
      </c>
      <c r="B80" t="inlineStr"/>
      <c r="C80" t="inlineStr"/>
      <c r="D80" t="inlineStr"/>
    </row>
    <row r="81">
      <c r="A81" t="inlineStr">
        <is>
          <t>2008 0.105 0.843 1.97 3.993 6.627 9.527 12.649</t>
        </is>
      </c>
      <c r="B81" t="inlineStr"/>
      <c r="C81" t="inlineStr"/>
      <c r="D81" t="inlineStr"/>
    </row>
    <row r="82">
      <c r="A82" t="inlineStr">
        <is>
          <t>2009 0.079 0.851 2.613 4.304 6.822 9.35 12.556</t>
        </is>
      </c>
      <c r="B82" t="inlineStr"/>
      <c r="C82" t="inlineStr"/>
      <c r="D82" t="inlineStr"/>
    </row>
    <row r="83">
      <c r="A83" t="inlineStr">
        <is>
          <t>2010 0.078 0.661 2.708 5.081 6.916 9.941 12.28</t>
        </is>
      </c>
      <c r="B83" t="inlineStr"/>
      <c r="C83" t="inlineStr"/>
      <c r="D83" t="inlineStr"/>
    </row>
    <row r="84">
      <c r="A84" t="inlineStr">
        <is>
          <t>2011 0.078 0.606 2.135 5.215 7.97 9.417 11.899</t>
        </is>
      </c>
      <c r="B84" t="inlineStr"/>
      <c r="C84" t="inlineStr"/>
      <c r="D84" t="inlineStr"/>
    </row>
    <row r="85">
      <c r="A85" t="inlineStr">
        <is>
          <t>2012 0.07 0.832 2.193 4.028 8.076 10.399 11.557</t>
        </is>
      </c>
      <c r="B85" t="inlineStr"/>
      <c r="C85" t="inlineStr"/>
      <c r="D85" t="inlineStr"/>
    </row>
    <row r="86">
      <c r="A86" t="inlineStr">
        <is>
          <t>2013 0.071 0.593 2.459 4.004 6.012 9.116 11.58</t>
        </is>
      </c>
      <c r="B86" t="inlineStr"/>
      <c r="C86" t="inlineStr"/>
      <c r="D86" t="inlineStr"/>
    </row>
    <row r="87">
      <c r="A87" t="inlineStr">
        <is>
          <t>2014 0.076 0.708 2.199 4.298 7.091 7.056 11.349</t>
        </is>
      </c>
      <c r="B87" t="inlineStr"/>
      <c r="C87" t="inlineStr"/>
      <c r="D87" t="inlineStr"/>
    </row>
    <row r="88">
      <c r="A88" t="inlineStr">
        <is>
          <t>2015 0.103 0.753 1.979 4.048 6.814 9.987 11.56</t>
        </is>
      </c>
      <c r="B88" t="inlineStr"/>
      <c r="C88" t="inlineStr"/>
      <c r="D88" t="inlineStr"/>
    </row>
    <row r="89">
      <c r="A89" t="inlineStr">
        <is>
          <t>2016 0.09 0.748 2.299 3.759 7.132 8.682 11.399</t>
        </is>
      </c>
      <c r="B89" t="inlineStr"/>
      <c r="C89" t="inlineStr"/>
      <c r="D89" t="inlineStr"/>
    </row>
    <row r="90">
      <c r="A90" t="inlineStr">
        <is>
          <t>2017 0.065 0.554 1.723 3.641 5.594 9.716 11.387</t>
        </is>
      </c>
      <c r="B90" t="inlineStr"/>
      <c r="C90" t="inlineStr"/>
      <c r="D90" t="inlineStr"/>
    </row>
    <row r="91">
      <c r="A91" t="inlineStr">
        <is>
          <t>2018 0.089 0.507 1.369 2.948 6.313 8.383 11.19</t>
        </is>
      </c>
      <c r="B91" t="inlineStr"/>
      <c r="C91" t="inlineStr"/>
      <c r="D91" t="inlineStr"/>
    </row>
    <row r="92">
      <c r="A92" t="inlineStr">
        <is>
          <t>2019 0.064 0.534 1.725 2.824 4.97 8.676 10.77</t>
        </is>
      </c>
      <c r="B92" t="inlineStr"/>
      <c r="C92" t="inlineStr"/>
      <c r="D92" t="inlineStr"/>
    </row>
    <row r="93">
      <c r="A93" t="inlineStr">
        <is>
          <t>2020 0.072 0.508 1.612 3.601 4.604 7.838 10.432</t>
        </is>
      </c>
      <c r="B93" t="inlineStr"/>
      <c r="C93" t="inlineStr"/>
      <c r="D93" t="inlineStr"/>
    </row>
    <row r="94">
      <c r="A94" t="inlineStr">
        <is>
          <t>2021 0.084 0.605 1.634 2.89 7.196 9.043 10.171</t>
        </is>
      </c>
      <c r="B94" t="inlineStr"/>
      <c r="C94" t="inlineStr"/>
      <c r="D94" t="inlineStr"/>
    </row>
    <row r="95">
      <c r="A95" t="inlineStr">
        <is>
          <t>2022 0.078 0.64 1.902 3.597 6.227 9.322 10.417</t>
        </is>
      </c>
      <c r="B95" t="inlineStr"/>
      <c r="C95" t="inlineStr"/>
      <c r="D95" t="inlineStr"/>
    </row>
    <row r="96">
      <c r="A96" t="inlineStr">
        <is>
          <t>2023 0.088 0.567 1.648 3.697 6.443 9.098 10.619</t>
        </is>
      </c>
      <c r="B96" t="inlineStr"/>
      <c r="C96" t="inlineStr"/>
      <c r="D96" t="inlineStr"/>
    </row>
    <row r="97">
      <c r="A97" t="inlineStr">
        <is>
          <t>2024 0.103 0.54 1.694 3.013 6.389 9.033 10.77</t>
        </is>
      </c>
      <c r="B97" t="inlineStr"/>
      <c r="C97" t="inlineStr"/>
      <c r="D97" t="inlineStr"/>
    </row>
    <row r="98">
      <c r="A98" t="inlineStr">
        <is>
          <t>2025 0.088 0.667 1.651 3.393 5.821 7.662 10.799</t>
        </is>
      </c>
      <c r="B98" t="inlineStr"/>
      <c r="C98" t="inlineStr"/>
      <c r="D98" t="inlineStr"/>
    </row>
    <row r="99">
      <c r="A99" t="inlineStr">
        <is>
          <t>ICES</t>
        </is>
      </c>
      <c r="B99" t="inlineStr">
        <is>
          <t>| WGNSSK</t>
        </is>
      </c>
      <c r="C99" t="inlineStr">
        <is>
          <t>2025</t>
        </is>
      </c>
      <c r="D99" t="inlineStr">
        <is>
          <t>| 169</t>
        </is>
      </c>
    </row>
    <row r="100">
      <c r="A100" t="inlineStr">
        <is>
          <t>Viking</t>
        </is>
      </c>
      <c r="B100" t="inlineStr"/>
      <c r="C100" t="inlineStr"/>
      <c r="D100" t="inlineStr"/>
    </row>
    <row r="101">
      <c r="A101" t="inlineStr">
        <is>
          <t>Year/Age</t>
        </is>
      </c>
      <c r="B101" t="inlineStr">
        <is>
          <t>1 2 3 4 5 6 7+</t>
        </is>
      </c>
      <c r="C101" t="inlineStr"/>
      <c r="D101" t="inlineStr"/>
    </row>
    <row r="102">
      <c r="A102" t="inlineStr">
        <is>
          <t>1983 0.055 0.451 1.453 3.199 5.189 7.849 10.248</t>
        </is>
      </c>
      <c r="B102" t="inlineStr"/>
      <c r="C102" t="inlineStr"/>
      <c r="D102" t="inlineStr"/>
    </row>
    <row r="103">
      <c r="A103" t="inlineStr">
        <is>
          <t>1984 0.042 0.38 1.447 2.932 4.888 7.357 10.371</t>
        </is>
      </c>
      <c r="B103" t="inlineStr"/>
      <c r="C103" t="inlineStr"/>
      <c r="D103" t="inlineStr"/>
    </row>
    <row r="104">
      <c r="A104" t="inlineStr">
        <is>
          <t>1985 0.046 0.32 1.191 3.123 4.584 7.115 9.923</t>
        </is>
      </c>
      <c r="B104" t="inlineStr"/>
      <c r="C104" t="inlineStr"/>
      <c r="D104" t="inlineStr"/>
    </row>
    <row r="105">
      <c r="A105" t="inlineStr">
        <is>
          <t>1986 0.045 0.316 1.082 2.777 4.385 5.827 9.884</t>
        </is>
      </c>
      <c r="B105" t="inlineStr"/>
      <c r="C105" t="inlineStr"/>
      <c r="D105" t="inlineStr"/>
    </row>
    <row r="106">
      <c r="A106" t="inlineStr">
        <is>
          <t>1987 0.054 0.333 1.088 2.97 4.474 6.427 9.757</t>
        </is>
      </c>
      <c r="B106" t="inlineStr"/>
      <c r="C106" t="inlineStr"/>
      <c r="D106" t="inlineStr"/>
    </row>
    <row r="107">
      <c r="A107" t="inlineStr">
        <is>
          <t>1988 0.065 0.254 1.087 2.749 4.642 6.397 9.524</t>
        </is>
      </c>
      <c r="B107" t="inlineStr"/>
      <c r="C107" t="inlineStr"/>
      <c r="D107" t="inlineStr"/>
    </row>
    <row r="108">
      <c r="A108" t="inlineStr">
        <is>
          <t>1989 0.058 0.352 0.905 2.901 4.339 7.067 9.741</t>
        </is>
      </c>
      <c r="B108" t="inlineStr"/>
      <c r="C108" t="inlineStr"/>
      <c r="D108" t="inlineStr"/>
    </row>
    <row r="109">
      <c r="A109" t="inlineStr">
        <is>
          <t>1990 0.059 0.38 1.17 2.939 4.905 6.973 9.93</t>
        </is>
      </c>
      <c r="B109" t="inlineStr"/>
      <c r="C109" t="inlineStr"/>
      <c r="D109" t="inlineStr"/>
    </row>
    <row r="110">
      <c r="A110" t="inlineStr">
        <is>
          <t>1991 0.055 0.433 1.351 2.937 5.199 6.898 10.072</t>
        </is>
      </c>
      <c r="B110" t="inlineStr"/>
      <c r="C110" t="inlineStr"/>
      <c r="D110" t="inlineStr"/>
    </row>
    <row r="111">
      <c r="A111" t="inlineStr">
        <is>
          <t>1992 0.053 0.473 1.508 3.55 4.947 7.577 10.272</t>
        </is>
      </c>
      <c r="B111" t="inlineStr"/>
      <c r="C111" t="inlineStr"/>
      <c r="D111" t="inlineStr"/>
    </row>
    <row r="112">
      <c r="A112" t="inlineStr">
        <is>
          <t>1993 0.052 0.363 1.404 3.514 5.033 7.601 10.622</t>
        </is>
      </c>
      <c r="B112" t="inlineStr"/>
      <c r="C112" t="inlineStr"/>
      <c r="D112" t="inlineStr"/>
    </row>
    <row r="113">
      <c r="A113" t="inlineStr">
        <is>
          <t>1994 0.04 0.365 1.255 3.695 5.834 8.076 10.895</t>
        </is>
      </c>
      <c r="B113" t="inlineStr"/>
      <c r="C113" t="inlineStr"/>
      <c r="D113" t="inlineStr"/>
    </row>
    <row r="114">
      <c r="A114" t="inlineStr">
        <is>
          <t>1995 0.042 0.341 1.185 3.226 5.537 7.851 11.136</t>
        </is>
      </c>
      <c r="B114" t="inlineStr"/>
      <c r="C114" t="inlineStr"/>
      <c r="D114" t="inlineStr"/>
    </row>
    <row r="115">
      <c r="A115" t="inlineStr">
        <is>
          <t>1996 0.035 0.327 1.215 3.373 5.242 7.677 11.214</t>
        </is>
      </c>
      <c r="B115" t="inlineStr"/>
      <c r="C115" t="inlineStr"/>
      <c r="D115" t="inlineStr"/>
    </row>
    <row r="116">
      <c r="A116" t="inlineStr">
        <is>
          <t>1997 0.04 0.306 1.178 3.253 5.16 7.514 11.124</t>
        </is>
      </c>
      <c r="B116" t="inlineStr"/>
      <c r="C116" t="inlineStr"/>
      <c r="D116" t="inlineStr"/>
    </row>
    <row r="117">
      <c r="A117" t="inlineStr">
        <is>
          <t>1998 0.055 0.267 1.116 3.209 5.226 7.295 10.929</t>
        </is>
      </c>
      <c r="B117" t="inlineStr"/>
      <c r="C117" t="inlineStr"/>
      <c r="D117" t="inlineStr"/>
    </row>
    <row r="118">
      <c r="A118" t="inlineStr">
        <is>
          <t>1999 0.049 0.315 0.908 2.782 4.896 6.995 10.594</t>
        </is>
      </c>
      <c r="B118" t="inlineStr"/>
      <c r="C118" t="inlineStr"/>
      <c r="D118" t="inlineStr"/>
    </row>
    <row r="119">
      <c r="A119" t="inlineStr">
        <is>
          <t>2000 0.043 0.376 1.145 2.693 4.638 6.378 10.401</t>
        </is>
      </c>
      <c r="B119" t="inlineStr"/>
      <c r="C119" t="inlineStr"/>
      <c r="D119" t="inlineStr"/>
    </row>
    <row r="120">
      <c r="A120" t="inlineStr">
        <is>
          <t>2001 0.059 0.334 1.333 3.044 4.602 6.016 10.363</t>
        </is>
      </c>
      <c r="B120" t="inlineStr"/>
      <c r="C120" t="inlineStr"/>
      <c r="D120" t="inlineStr"/>
    </row>
    <row r="121">
      <c r="A121" t="inlineStr">
        <is>
          <t>2002 0.052 0.334 0.951 3.1 5.363 7.796 10.378</t>
        </is>
      </c>
      <c r="B121" t="inlineStr"/>
      <c r="C121" t="inlineStr"/>
      <c r="D121" t="inlineStr"/>
    </row>
    <row r="122">
      <c r="A122" t="inlineStr">
        <is>
          <t>2003 0.051 0.384 1.04 2.576 5.074 6.288 10.643</t>
        </is>
      </c>
      <c r="B122" t="inlineStr"/>
      <c r="C122" t="inlineStr"/>
      <c r="D122" t="inlineStr"/>
    </row>
    <row r="123">
      <c r="A123" t="inlineStr">
        <is>
          <t>2004 0.058 0.379 1.288 3.025 4.651 6.623 10.744</t>
        </is>
      </c>
      <c r="B123" t="inlineStr"/>
      <c r="C123" t="inlineStr"/>
      <c r="D123" t="inlineStr"/>
    </row>
    <row r="124">
      <c r="A124" t="inlineStr">
        <is>
          <t>2005 0.058 0.435 1.271 2.999 4.918 7.108 10.471</t>
        </is>
      </c>
      <c r="B124" t="inlineStr"/>
      <c r="C124" t="inlineStr"/>
      <c r="D124" t="inlineStr"/>
    </row>
    <row r="125">
      <c r="A125" t="inlineStr">
        <is>
          <t>2006 0.055 0.418 1.399 3.165 4.549 7.025 10.406</t>
        </is>
      </c>
      <c r="B125" t="inlineStr"/>
      <c r="C125" t="inlineStr"/>
      <c r="D125" t="inlineStr"/>
    </row>
    <row r="126">
      <c r="A126" t="inlineStr">
        <is>
          <t>2007 0.052 0.437 1.118 3.389 5.157 6.341 10.37</t>
        </is>
      </c>
      <c r="B126" t="inlineStr"/>
      <c r="C126" t="inlineStr"/>
      <c r="D126" t="inlineStr"/>
    </row>
    <row r="127">
      <c r="A127" t="inlineStr">
        <is>
          <t>2008 0.053 0.477 1.439 3.109 5.246 7.017 10.346</t>
        </is>
      </c>
      <c r="B127" t="inlineStr"/>
      <c r="C127" t="inlineStr"/>
      <c r="D127" t="inlineStr"/>
    </row>
    <row r="128">
      <c r="A128" t="inlineStr">
        <is>
          <t>2009 0.054 0.456 1.518 3.487 4.703 6.584 10.238</t>
        </is>
      </c>
      <c r="B128" t="inlineStr"/>
      <c r="C128" t="inlineStr"/>
      <c r="D128" t="inlineStr"/>
    </row>
    <row r="129">
      <c r="A129" t="inlineStr">
        <is>
          <t>2010 0.051 0.47 1.517 3.4 4.903 6.331 10.161</t>
        </is>
      </c>
      <c r="B129" t="inlineStr"/>
      <c r="C129" t="inlineStr"/>
      <c r="D129" t="inlineStr"/>
    </row>
    <row r="130">
      <c r="A130" t="inlineStr">
        <is>
          <t>2011 0.049 0.405 1.431 3.572 4.747 7.002 10.115</t>
        </is>
      </c>
      <c r="B130" t="inlineStr"/>
      <c r="C130" t="inlineStr"/>
      <c r="D130" t="inlineStr"/>
    </row>
    <row r="131">
      <c r="A131" t="inlineStr">
        <is>
          <t>170 | ICES SCIENTIFIC REPORTS 6:38 | ICES</t>
        </is>
      </c>
      <c r="B131" t="inlineStr"/>
      <c r="C131" t="inlineStr"/>
      <c r="D131" t="inlineStr"/>
    </row>
    <row r="132">
      <c r="A132" t="inlineStr">
        <is>
          <t>Year/Age</t>
        </is>
      </c>
      <c r="B132" t="inlineStr">
        <is>
          <t>1 2 3 4 5 6 7+</t>
        </is>
      </c>
      <c r="C132" t="inlineStr"/>
      <c r="D132" t="inlineStr"/>
    </row>
    <row r="133">
      <c r="A133" t="inlineStr">
        <is>
          <t>2012 0.057 0.429 1.349 3.286 5.248 6.934 9.935</t>
        </is>
      </c>
      <c r="B133" t="inlineStr"/>
      <c r="C133" t="inlineStr"/>
      <c r="D133" t="inlineStr"/>
    </row>
    <row r="134">
      <c r="A134" t="inlineStr">
        <is>
          <t>2013 0.054 0.424 1.318 3.261 4.882 6.67 9.809</t>
        </is>
      </c>
      <c r="B134" t="inlineStr"/>
      <c r="C134" t="inlineStr"/>
      <c r="D134" t="inlineStr"/>
    </row>
    <row r="135">
      <c r="A135" t="inlineStr">
        <is>
          <t>2014 0.05 0.431 1.401 3.309 5.377 7.624 9.799</t>
        </is>
      </c>
      <c r="B135" t="inlineStr"/>
      <c r="C135" t="inlineStr"/>
      <c r="D135" t="inlineStr"/>
    </row>
    <row r="136">
      <c r="A136" t="inlineStr">
        <is>
          <t>2015 0.059 0.442 1.461 3.252 4.763 7.449 9.671</t>
        </is>
      </c>
      <c r="B136" t="inlineStr"/>
      <c r="C136" t="inlineStr"/>
      <c r="D136" t="inlineStr"/>
    </row>
    <row r="137">
      <c r="A137" t="inlineStr">
        <is>
          <t>2016 0.063 0.483 1.485 3.218 4.618 6.684 9.827</t>
        </is>
      </c>
      <c r="B137" t="inlineStr"/>
      <c r="C137" t="inlineStr"/>
      <c r="D137" t="inlineStr"/>
    </row>
    <row r="138">
      <c r="A138" t="inlineStr">
        <is>
          <t>2017 0.053 0.482 1.499 3.387 4.783 6.652 9.946</t>
        </is>
      </c>
      <c r="B138" t="inlineStr"/>
      <c r="C138" t="inlineStr"/>
      <c r="D138" t="inlineStr"/>
    </row>
    <row r="139">
      <c r="A139" t="inlineStr">
        <is>
          <t>2018 0.054 0.445 1.211 3.276 5.379 6.889 10.027</t>
        </is>
      </c>
      <c r="B139" t="inlineStr"/>
      <c r="C139" t="inlineStr"/>
      <c r="D139" t="inlineStr"/>
    </row>
    <row r="140">
      <c r="A140" t="inlineStr">
        <is>
          <t>2019 0.06 0.421 1.301 2.958 5.595 7.305 10.123</t>
        </is>
      </c>
      <c r="B140" t="inlineStr"/>
      <c r="C140" t="inlineStr"/>
      <c r="D140" t="inlineStr"/>
    </row>
    <row r="141">
      <c r="A141" t="inlineStr">
        <is>
          <t>2020 0.057 0.473 1.341 3.445 5.313 6.588 10.153</t>
        </is>
      </c>
      <c r="B141" t="inlineStr"/>
      <c r="C141" t="inlineStr"/>
      <c r="D141" t="inlineStr"/>
    </row>
    <row r="142">
      <c r="A142" t="inlineStr">
        <is>
          <t>2021 0.05 0.424 1.381 2.984 5.425 6.738 10.199</t>
        </is>
      </c>
      <c r="B142" t="inlineStr"/>
      <c r="C142" t="inlineStr"/>
      <c r="D142" t="inlineStr"/>
    </row>
    <row r="143">
      <c r="A143" t="inlineStr">
        <is>
          <t>2022 0.054 0.373 1.352 3.259 5.027 7.756 10.438</t>
        </is>
      </c>
      <c r="B143" t="inlineStr"/>
      <c r="C143" t="inlineStr"/>
      <c r="D143" t="inlineStr"/>
    </row>
    <row r="144">
      <c r="A144" t="inlineStr">
        <is>
          <t>2023 0.052 0.404 1.152 3.017 5.305 7.365 10.708</t>
        </is>
      </c>
      <c r="B144" t="inlineStr"/>
      <c r="C144" t="inlineStr"/>
      <c r="D144" t="inlineStr"/>
    </row>
    <row r="145">
      <c r="A145" t="inlineStr">
        <is>
          <t>2024 0.055 0.333 1.237 2.837 4.778 7.202 10.445</t>
        </is>
      </c>
      <c r="B145" t="inlineStr"/>
      <c r="C145" t="inlineStr"/>
      <c r="D145" t="inlineStr"/>
    </row>
    <row r="146">
      <c r="A146" t="inlineStr">
        <is>
          <t>2025 0.059 0.427 1.063 2.827 4.423 6.729 10.351</t>
        </is>
      </c>
      <c r="B146" t="inlineStr"/>
      <c r="C146" t="inlineStr"/>
      <c r="D14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</row>
    <row r="2">
      <c r="A2" t="inlineStr">
        <is>
          <t>age for each substock.</t>
        </is>
      </c>
      <c r="B2" t="inlineStr"/>
      <c r="C2" t="inlineStr"/>
      <c r="D2" t="inlineStr"/>
    </row>
    <row r="3">
      <c r="A3" t="inlineStr">
        <is>
          <t>Northwest ern</t>
        </is>
      </c>
      <c r="B3" t="inlineStr"/>
      <c r="C3" t="inlineStr"/>
      <c r="D3" t="inlineStr"/>
    </row>
    <row r="4">
      <c r="A4" t="inlineStr">
        <is>
          <t>Year/Age</t>
        </is>
      </c>
      <c r="B4" t="inlineStr">
        <is>
          <t>1 2 3 4 5 6 7+</t>
        </is>
      </c>
      <c r="C4" t="inlineStr"/>
      <c r="D4" t="inlineStr"/>
    </row>
    <row r="5">
      <c r="A5" t="inlineStr">
        <is>
          <t>1983 0.002 0.039 0.271 0.305 0.722 0.805 0.905</t>
        </is>
      </c>
      <c r="B5" t="inlineStr"/>
      <c r="C5" t="inlineStr"/>
      <c r="D5" t="inlineStr"/>
    </row>
    <row r="6">
      <c r="A6" t="inlineStr">
        <is>
          <t>1984 0.002 0.024 0.135 0.437 0.647 0.686 0.878</t>
        </is>
      </c>
      <c r="B6" t="inlineStr"/>
      <c r="C6" t="inlineStr"/>
      <c r="D6" t="inlineStr"/>
    </row>
    <row r="7">
      <c r="A7" t="inlineStr">
        <is>
          <t>1985 0.003 0.029 0.143 0.454 0.558 0.784 0.871</t>
        </is>
      </c>
      <c r="B7" t="inlineStr"/>
      <c r="C7" t="inlineStr"/>
      <c r="D7" t="inlineStr"/>
    </row>
    <row r="8">
      <c r="A8" t="inlineStr">
        <is>
          <t>1986 0.002 0.108 0.102 0.191 0.466 0.721 0.854</t>
        </is>
      </c>
      <c r="B8" t="inlineStr"/>
      <c r="C8" t="inlineStr"/>
      <c r="D8" t="inlineStr"/>
    </row>
    <row r="9">
      <c r="A9" t="inlineStr">
        <is>
          <t>1987 0.003 0.023 0.26 0.535 0.736 0.779 0.894</t>
        </is>
      </c>
      <c r="B9" t="inlineStr"/>
      <c r="C9" t="inlineStr"/>
      <c r="D9" t="inlineStr"/>
    </row>
    <row r="10">
      <c r="A10" t="inlineStr">
        <is>
          <t>1988 0.005 0.042 0.171 0.461 0.568 0.762 0.893</t>
        </is>
      </c>
      <c r="B10" t="inlineStr"/>
      <c r="C10" t="inlineStr"/>
      <c r="D10" t="inlineStr"/>
    </row>
    <row r="11">
      <c r="A11" t="inlineStr">
        <is>
          <t>1989 0.121 0.263 0.333 0.639 0.889 0.875 0.963</t>
        </is>
      </c>
      <c r="B11" t="inlineStr"/>
      <c r="C11" t="inlineStr"/>
      <c r="D11" t="inlineStr"/>
    </row>
    <row r="12">
      <c r="A12" t="inlineStr">
        <is>
          <t>1990 0.005 0.088 0.23 0.549 0.751 0.809 0.801</t>
        </is>
      </c>
      <c r="B12" t="inlineStr"/>
      <c r="C12" t="inlineStr"/>
      <c r="D12" t="inlineStr"/>
    </row>
    <row r="13">
      <c r="A13" t="inlineStr">
        <is>
          <t>1991 0.007 0.095 0.405 0.56 0.83 0.892 0.941</t>
        </is>
      </c>
      <c r="B13" t="inlineStr"/>
      <c r="C13" t="inlineStr"/>
      <c r="D13" t="inlineStr"/>
    </row>
    <row r="14">
      <c r="A14" t="inlineStr">
        <is>
          <t>1992 0.014 0.335 0.655 0.891 0.942 0.963 0.979</t>
        </is>
      </c>
      <c r="B14" t="inlineStr"/>
      <c r="C14" t="inlineStr"/>
      <c r="D14" t="inlineStr"/>
    </row>
    <row r="15">
      <c r="A15" t="inlineStr">
        <is>
          <t>1993 0.015 0.12 0.76 0.874 0.943 0.96 0.979</t>
        </is>
      </c>
      <c r="B15" t="inlineStr"/>
      <c r="C15" t="inlineStr"/>
      <c r="D15" t="inlineStr"/>
    </row>
    <row r="16">
      <c r="A16" t="inlineStr">
        <is>
          <t>1994 0.015 0.3 0.685 0.882 0.949 0.965 0.981</t>
        </is>
      </c>
      <c r="B16" t="inlineStr"/>
      <c r="C16" t="inlineStr"/>
      <c r="D16" t="inlineStr"/>
    </row>
    <row r="17">
      <c r="A17" t="inlineStr">
        <is>
          <t>ICES</t>
        </is>
      </c>
      <c r="B17" t="inlineStr">
        <is>
          <t>| WGNSSK</t>
        </is>
      </c>
      <c r="C17" t="inlineStr">
        <is>
          <t>2025</t>
        </is>
      </c>
      <c r="D17" t="inlineStr">
        <is>
          <t>| 171</t>
        </is>
      </c>
    </row>
    <row r="18">
      <c r="A18" t="inlineStr">
        <is>
          <t>Year/Age</t>
        </is>
      </c>
      <c r="B18" t="inlineStr">
        <is>
          <t>1 2 3 4 5 6 7+</t>
        </is>
      </c>
      <c r="C18" t="inlineStr"/>
      <c r="D18" t="inlineStr"/>
    </row>
    <row r="19">
      <c r="A19" t="inlineStr">
        <is>
          <t>1995 0.009 0.084 0.442 0.808 0.891 0.926 0.964</t>
        </is>
      </c>
      <c r="B19" t="inlineStr"/>
      <c r="C19" t="inlineStr"/>
      <c r="D19" t="inlineStr"/>
    </row>
    <row r="20">
      <c r="A20" t="inlineStr">
        <is>
          <t>1996 0.014 0.183 0.583 0.854 0.937 0.954 0.976</t>
        </is>
      </c>
      <c r="B20" t="inlineStr"/>
      <c r="C20" t="inlineStr"/>
      <c r="D20" t="inlineStr"/>
    </row>
    <row r="21">
      <c r="A21" t="inlineStr">
        <is>
          <t>1997 0.017 0.267 0.816 0.927 0.961 0.974 0.984</t>
        </is>
      </c>
      <c r="B21" t="inlineStr"/>
      <c r="C21" t="inlineStr"/>
      <c r="D21" t="inlineStr"/>
    </row>
    <row r="22">
      <c r="A22" t="inlineStr">
        <is>
          <t>1998 0.015 0.155 0.649 0.838 0.934 0.953 0.976</t>
        </is>
      </c>
      <c r="B22" t="inlineStr"/>
      <c r="C22" t="inlineStr"/>
      <c r="D22" t="inlineStr"/>
    </row>
    <row r="23">
      <c r="A23" t="inlineStr">
        <is>
          <t>1999 0.03 0.571 0.539 0.895 0.958 0.973 0.985</t>
        </is>
      </c>
      <c r="B23" t="inlineStr"/>
      <c r="C23" t="inlineStr"/>
      <c r="D23" t="inlineStr"/>
    </row>
    <row r="24">
      <c r="A24" t="inlineStr">
        <is>
          <t>2000 0.029 0.351 0.812 0.896 0.961 0.975 0.986</t>
        </is>
      </c>
      <c r="B24" t="inlineStr"/>
      <c r="C24" t="inlineStr"/>
      <c r="D24" t="inlineStr"/>
    </row>
    <row r="25">
      <c r="A25" t="inlineStr">
        <is>
          <t>2001 0.016 0.25 0.635 0.87 0.916 0.958 0.98</t>
        </is>
      </c>
      <c r="B25" t="inlineStr"/>
      <c r="C25" t="inlineStr"/>
      <c r="D25" t="inlineStr"/>
    </row>
    <row r="26">
      <c r="A26" t="inlineStr">
        <is>
          <t>2002 0.021 0.263 0.694 0.886 0.946 0.965 0.982</t>
        </is>
      </c>
      <c r="B26" t="inlineStr"/>
      <c r="C26" t="inlineStr"/>
      <c r="D26" t="inlineStr"/>
    </row>
    <row r="27">
      <c r="A27" t="inlineStr">
        <is>
          <t>2003 0.023 0.288 0.65 0.877 0.948 0.966 0.983</t>
        </is>
      </c>
      <c r="B27" t="inlineStr"/>
      <c r="C27" t="inlineStr"/>
      <c r="D27" t="inlineStr"/>
    </row>
    <row r="28">
      <c r="A28" t="inlineStr">
        <is>
          <t>2004 0.019 0.388 0.727 0.897 0.954 0.97 0.985</t>
        </is>
      </c>
      <c r="B28" t="inlineStr"/>
      <c r="C28" t="inlineStr"/>
      <c r="D28" t="inlineStr"/>
    </row>
    <row r="29">
      <c r="A29" t="inlineStr">
        <is>
          <t>2005 0.023 0.38 0.731 0.88 0.951 0.971 0.986</t>
        </is>
      </c>
      <c r="B29" t="inlineStr"/>
      <c r="C29" t="inlineStr"/>
      <c r="D29" t="inlineStr"/>
    </row>
    <row r="30">
      <c r="A30" t="inlineStr">
        <is>
          <t>2006 0.033 0.529 0.844 0.934 0.97 0.981 0.989</t>
        </is>
      </c>
      <c r="B30" t="inlineStr"/>
      <c r="C30" t="inlineStr"/>
      <c r="D30" t="inlineStr"/>
    </row>
    <row r="31">
      <c r="A31" t="inlineStr">
        <is>
          <t>2007 0.019 0.241 0.703 0.885 0.943 0.965 0.984</t>
        </is>
      </c>
      <c r="B31" t="inlineStr"/>
      <c r="C31" t="inlineStr"/>
      <c r="D31" t="inlineStr"/>
    </row>
    <row r="32">
      <c r="A32" t="inlineStr">
        <is>
          <t>2008 0.023 0.466 0.688 0.914 0.959 0.973 0.986</t>
        </is>
      </c>
      <c r="B32" t="inlineStr"/>
      <c r="C32" t="inlineStr"/>
      <c r="D32" t="inlineStr"/>
    </row>
    <row r="33">
      <c r="A33" t="inlineStr">
        <is>
          <t>2009 0.017 0.272 0.709 0.885 0.937 0.964 0.983</t>
        </is>
      </c>
      <c r="B33" t="inlineStr"/>
      <c r="C33" t="inlineStr"/>
      <c r="D33" t="inlineStr"/>
    </row>
    <row r="34">
      <c r="A34" t="inlineStr">
        <is>
          <t>2010 0.014 0.381 0.81 0.904 0.958 0.972 0.986</t>
        </is>
      </c>
      <c r="B34" t="inlineStr"/>
      <c r="C34" t="inlineStr"/>
      <c r="D34" t="inlineStr"/>
    </row>
    <row r="35">
      <c r="A35" t="inlineStr">
        <is>
          <t>2011 0.028 0.27 0.778 0.933 0.967 0.978 0.988</t>
        </is>
      </c>
      <c r="B35" t="inlineStr"/>
      <c r="C35" t="inlineStr"/>
      <c r="D35" t="inlineStr"/>
    </row>
    <row r="36">
      <c r="A36" t="inlineStr">
        <is>
          <t>2012 0.029 0.531 0.723 0.9 0.968 0.978 0.989</t>
        </is>
      </c>
      <c r="B36" t="inlineStr"/>
      <c r="C36" t="inlineStr"/>
      <c r="D36" t="inlineStr"/>
    </row>
    <row r="37">
      <c r="A37" t="inlineStr">
        <is>
          <t>2013 0.036 0.631 0.792 0.966 0.975 0.984 0.991</t>
        </is>
      </c>
      <c r="B37" t="inlineStr"/>
      <c r="C37" t="inlineStr"/>
      <c r="D37" t="inlineStr"/>
    </row>
    <row r="38">
      <c r="A38" t="inlineStr">
        <is>
          <t>2014 0.028 0.199 0.612 0.901 0.939 0.966 0.984</t>
        </is>
      </c>
      <c r="B38" t="inlineStr"/>
      <c r="C38" t="inlineStr"/>
      <c r="D38" t="inlineStr"/>
    </row>
    <row r="39">
      <c r="A39" t="inlineStr">
        <is>
          <t>2015 0.022 0.364 0.615 0.864 0.931 0.96 0.981</t>
        </is>
      </c>
      <c r="B39" t="inlineStr"/>
      <c r="C39" t="inlineStr"/>
      <c r="D39" t="inlineStr"/>
    </row>
    <row r="40">
      <c r="A40" t="inlineStr">
        <is>
          <t>2016 0.012 0.299 0.468 0.813 0.931 0.954 0.972</t>
        </is>
      </c>
      <c r="B40" t="inlineStr"/>
      <c r="C40" t="inlineStr"/>
      <c r="D40" t="inlineStr"/>
    </row>
    <row r="41">
      <c r="A41" t="inlineStr">
        <is>
          <t>2017 0.016 0.496 0.694 0.86 0.896 0.967 0.975</t>
        </is>
      </c>
      <c r="B41" t="inlineStr"/>
      <c r="C41" t="inlineStr"/>
      <c r="D41" t="inlineStr"/>
    </row>
    <row r="42">
      <c r="A42" t="inlineStr">
        <is>
          <t>2018 0.014 0.242 0.689 0.789 0.941 0.946 0.98</t>
        </is>
      </c>
      <c r="B42" t="inlineStr"/>
      <c r="C42" t="inlineStr"/>
      <c r="D42" t="inlineStr"/>
    </row>
    <row r="43">
      <c r="A43" t="inlineStr">
        <is>
          <t>2019 0.026 0.447 0.715 0.91 0.955 0.974 0.986</t>
        </is>
      </c>
      <c r="B43" t="inlineStr"/>
      <c r="C43" t="inlineStr"/>
      <c r="D43" t="inlineStr"/>
    </row>
    <row r="44">
      <c r="A44" t="inlineStr">
        <is>
          <t>2020 0.034 0.252 0.816 0.918 0.962 0.975 0.987</t>
        </is>
      </c>
      <c r="B44" t="inlineStr"/>
      <c r="C44" t="inlineStr"/>
      <c r="D44" t="inlineStr"/>
    </row>
    <row r="45">
      <c r="A45" t="inlineStr">
        <is>
          <t>2021 0.024 0.281 0.513 0.886 0.903 0.961 0.982</t>
        </is>
      </c>
      <c r="B45" t="inlineStr"/>
      <c r="C45" t="inlineStr"/>
      <c r="D45" t="inlineStr"/>
    </row>
    <row r="46">
      <c r="A46" t="inlineStr">
        <is>
          <t>2022 0.04 0.551 0.785 0.934 0.969 0.975 0.988</t>
        </is>
      </c>
      <c r="B46" t="inlineStr"/>
      <c r="C46" t="inlineStr"/>
      <c r="D46" t="inlineStr"/>
    </row>
    <row r="47">
      <c r="A47" t="inlineStr">
        <is>
          <t>2023 0.023 0.397 0.691 0.842 0.946 0.967 0.984</t>
        </is>
      </c>
      <c r="B47" t="inlineStr"/>
      <c r="C47" t="inlineStr"/>
      <c r="D47" t="inlineStr"/>
    </row>
    <row r="48">
      <c r="A48" t="inlineStr">
        <is>
          <t>172 | ICES SCIENTIFIC REPORTS 6:38 | ICES</t>
        </is>
      </c>
      <c r="B48" t="inlineStr"/>
      <c r="C48" t="inlineStr"/>
      <c r="D48" t="inlineStr"/>
    </row>
    <row r="49">
      <c r="A49" t="inlineStr">
        <is>
          <t>Year/Age</t>
        </is>
      </c>
      <c r="B49" t="inlineStr">
        <is>
          <t>1 2 3 4 5 6 7+</t>
        </is>
      </c>
      <c r="C49" t="inlineStr"/>
      <c r="D49" t="inlineStr"/>
    </row>
    <row r="50">
      <c r="A50" t="inlineStr">
        <is>
          <t>2024 0.016 0.181 0.638 0.807 0.95 0.961 0.98</t>
        </is>
      </c>
      <c r="B50" t="inlineStr"/>
      <c r="C50" t="inlineStr"/>
      <c r="D50" t="inlineStr"/>
    </row>
    <row r="51">
      <c r="A51" t="inlineStr">
        <is>
          <t>2025 0.018 0.381 0.716 0.815 0.936 0.962 0.982</t>
        </is>
      </c>
      <c r="B51" t="inlineStr"/>
      <c r="C51" t="inlineStr"/>
      <c r="D51" t="inlineStr"/>
    </row>
    <row r="52">
      <c r="A52" t="inlineStr">
        <is>
          <t>Southern</t>
        </is>
      </c>
      <c r="B52" t="inlineStr"/>
      <c r="C52" t="inlineStr"/>
      <c r="D52" t="inlineStr"/>
    </row>
    <row r="53">
      <c r="A53" t="inlineStr">
        <is>
          <t>Year/Age</t>
        </is>
      </c>
      <c r="B53" t="inlineStr">
        <is>
          <t>1 2 3 4 5 6 7+</t>
        </is>
      </c>
      <c r="C53" t="inlineStr"/>
      <c r="D53" t="inlineStr"/>
    </row>
    <row r="54">
      <c r="A54" t="inlineStr">
        <is>
          <t>1983 0.001 0.022 0.219 0.467 0.692 0.63 0.973</t>
        </is>
      </c>
      <c r="B54" t="inlineStr"/>
      <c r="C54" t="inlineStr"/>
      <c r="D54" t="inlineStr"/>
    </row>
    <row r="55">
      <c r="A55" t="inlineStr">
        <is>
          <t>1984 0.001 0.034 0.264 0.58 0.389 0.848 0.977</t>
        </is>
      </c>
      <c r="B55" t="inlineStr"/>
      <c r="C55" t="inlineStr"/>
      <c r="D55" t="inlineStr"/>
    </row>
    <row r="56">
      <c r="A56" t="inlineStr">
        <is>
          <t>1985 0.001 0.026 0.318 0.695 0.764 0.772 0.976</t>
        </is>
      </c>
      <c r="B56" t="inlineStr"/>
      <c r="C56" t="inlineStr"/>
      <c r="D56" t="inlineStr"/>
    </row>
    <row r="57">
      <c r="A57" t="inlineStr">
        <is>
          <t>1986 0.001 0.064 0.34 0.562 0.655 0.525 0.976</t>
        </is>
      </c>
      <c r="B57" t="inlineStr"/>
      <c r="C57" t="inlineStr"/>
      <c r="D57" t="inlineStr"/>
    </row>
    <row r="58">
      <c r="A58" t="inlineStr">
        <is>
          <t>1987 0.001 0.014 0.264 0.566 0.788 0.647 0.975</t>
        </is>
      </c>
      <c r="B58" t="inlineStr"/>
      <c r="C58" t="inlineStr"/>
      <c r="D58" t="inlineStr"/>
    </row>
    <row r="59">
      <c r="A59" t="inlineStr">
        <is>
          <t>1988 0.003 0.065 0.196 0.603 0.627 0.738 0.969</t>
        </is>
      </c>
      <c r="B59" t="inlineStr"/>
      <c r="C59" t="inlineStr"/>
      <c r="D59" t="inlineStr"/>
    </row>
    <row r="60">
      <c r="A60" t="inlineStr">
        <is>
          <t>1989 0.032 0.156 0.374 0.584 0.903 0.747 0.989</t>
        </is>
      </c>
      <c r="B60" t="inlineStr"/>
      <c r="C60" t="inlineStr"/>
      <c r="D60" t="inlineStr"/>
    </row>
    <row r="61">
      <c r="A61" t="inlineStr">
        <is>
          <t>1990 0.003 0.208 0.284 0.562 0.743 0.843 0.982</t>
        </is>
      </c>
      <c r="B61" t="inlineStr"/>
      <c r="C61" t="inlineStr"/>
      <c r="D61" t="inlineStr"/>
    </row>
    <row r="62">
      <c r="A62" t="inlineStr">
        <is>
          <t>1991 0.003 0.156 0.627 0.751 0.918 0.934 0.992</t>
        </is>
      </c>
      <c r="B62" t="inlineStr"/>
      <c r="C62" t="inlineStr"/>
      <c r="D62" t="inlineStr"/>
    </row>
    <row r="63">
      <c r="A63" t="inlineStr">
        <is>
          <t>1992 0.002 0.221 0.706 0.905 0.94 0.943 0.994</t>
        </is>
      </c>
      <c r="B63" t="inlineStr"/>
      <c r="C63" t="inlineStr"/>
      <c r="D63" t="inlineStr"/>
    </row>
    <row r="64">
      <c r="A64" t="inlineStr">
        <is>
          <t>1993 0.002 0.082 0.445 0.809 0.9 0.901 0.992</t>
        </is>
      </c>
      <c r="B64" t="inlineStr"/>
      <c r="C64" t="inlineStr"/>
      <c r="D64" t="inlineStr"/>
    </row>
    <row r="65">
      <c r="A65" t="inlineStr">
        <is>
          <t>1994 0.002 0.099 0.612 0.826 0.88 0.899 0.992</t>
        </is>
      </c>
      <c r="B65" t="inlineStr"/>
      <c r="C65" t="inlineStr"/>
      <c r="D65" t="inlineStr"/>
    </row>
    <row r="66">
      <c r="A66" t="inlineStr">
        <is>
          <t>1995 0.002 0.094 0.458 0.833 0.894 0.902 0.991</t>
        </is>
      </c>
      <c r="B66" t="inlineStr"/>
      <c r="C66" t="inlineStr"/>
      <c r="D66" t="inlineStr"/>
    </row>
    <row r="67">
      <c r="A67" t="inlineStr">
        <is>
          <t>1996 0.002 0.068 0.46 0.766 0.882 0.891 0.99</t>
        </is>
      </c>
      <c r="B67" t="inlineStr"/>
      <c r="C67" t="inlineStr"/>
      <c r="D67" t="inlineStr"/>
    </row>
    <row r="68">
      <c r="A68" t="inlineStr">
        <is>
          <t>1997 0.002 0.137 0.579 0.692 0.86 0.861 0.99</t>
        </is>
      </c>
      <c r="B68" t="inlineStr"/>
      <c r="C68" t="inlineStr"/>
      <c r="D68" t="inlineStr"/>
    </row>
    <row r="69">
      <c r="A69" t="inlineStr">
        <is>
          <t>1998 0.003 0.059 0.408 0.721 0.844 0.862 0.989</t>
        </is>
      </c>
      <c r="B69" t="inlineStr"/>
      <c r="C69" t="inlineStr"/>
      <c r="D69" t="inlineStr"/>
    </row>
    <row r="70">
      <c r="A70" t="inlineStr">
        <is>
          <t>1999 0.005 0.324 0.648 0.838 0.946 0.946 0.993</t>
        </is>
      </c>
      <c r="B70" t="inlineStr"/>
      <c r="C70" t="inlineStr"/>
      <c r="D70" t="inlineStr"/>
    </row>
    <row r="71">
      <c r="A71" t="inlineStr">
        <is>
          <t>2000 0.009 0.284 0.648 0.926 0.96 0.962 0.996</t>
        </is>
      </c>
      <c r="B71" t="inlineStr"/>
      <c r="C71" t="inlineStr"/>
      <c r="D71" t="inlineStr"/>
    </row>
    <row r="72">
      <c r="A72" t="inlineStr">
        <is>
          <t>2001 0.006 0.243 0.638 0.909 0.949 0.948 0.996</t>
        </is>
      </c>
      <c r="B72" t="inlineStr"/>
      <c r="C72" t="inlineStr"/>
      <c r="D72" t="inlineStr"/>
    </row>
    <row r="73">
      <c r="A73" t="inlineStr">
        <is>
          <t>2002 0.009 0.509 0.833 0.946 0.972 0.974 0.997</t>
        </is>
      </c>
      <c r="B73" t="inlineStr"/>
      <c r="C73" t="inlineStr"/>
      <c r="D73" t="inlineStr"/>
    </row>
    <row r="74">
      <c r="A74" t="inlineStr">
        <is>
          <t>2003 0.007 0.342 0.673 0.916 0.96 0.961 0.997</t>
        </is>
      </c>
      <c r="B74" t="inlineStr"/>
      <c r="C74" t="inlineStr"/>
      <c r="D74" t="inlineStr"/>
    </row>
    <row r="75">
      <c r="A75" t="inlineStr">
        <is>
          <t>2004 0.006 0.165 0.869 0.93 0.952 0.961 0.997</t>
        </is>
      </c>
      <c r="B75" t="inlineStr"/>
      <c r="C75" t="inlineStr"/>
      <c r="D75" t="inlineStr"/>
    </row>
    <row r="76">
      <c r="A76" t="inlineStr">
        <is>
          <t>2005 0.014 0.539 0.825 0.932 0.974 0.975 0.997</t>
        </is>
      </c>
      <c r="B76" t="inlineStr"/>
      <c r="C76" t="inlineStr"/>
      <c r="D76" t="inlineStr"/>
    </row>
    <row r="77">
      <c r="A77" t="inlineStr">
        <is>
          <t>2006 0.009 0.344 0.856 0.936 0.969 0.971 0.998</t>
        </is>
      </c>
      <c r="B77" t="inlineStr"/>
      <c r="C77" t="inlineStr"/>
      <c r="D77" t="inlineStr"/>
    </row>
    <row r="78">
      <c r="A78" t="inlineStr">
        <is>
          <t>2007 0.01 0.276 0.844 0.943 0.968 0.969 0.998</t>
        </is>
      </c>
      <c r="B78" t="inlineStr"/>
      <c r="C78" t="inlineStr"/>
      <c r="D78" t="inlineStr"/>
    </row>
    <row r="79">
      <c r="A79" t="inlineStr">
        <is>
          <t>ICES</t>
        </is>
      </c>
      <c r="B79" t="inlineStr">
        <is>
          <t>| WGNSSK</t>
        </is>
      </c>
      <c r="C79" t="inlineStr">
        <is>
          <t>2025</t>
        </is>
      </c>
      <c r="D79" t="inlineStr">
        <is>
          <t>| 173</t>
        </is>
      </c>
    </row>
    <row r="80">
      <c r="A80" t="inlineStr">
        <is>
          <t>Year/Age</t>
        </is>
      </c>
      <c r="B80" t="inlineStr">
        <is>
          <t>1 2 3 4 5 6 7+</t>
        </is>
      </c>
      <c r="C80" t="inlineStr"/>
      <c r="D80" t="inlineStr"/>
    </row>
    <row r="81">
      <c r="A81" t="inlineStr">
        <is>
          <t>2008 0.037 0.561 0.928 0.967 0.983 0.985 0.998</t>
        </is>
      </c>
      <c r="B81" t="inlineStr"/>
      <c r="C81" t="inlineStr"/>
      <c r="D81" t="inlineStr"/>
    </row>
    <row r="82">
      <c r="A82" t="inlineStr">
        <is>
          <t>2009 0.011 0.329 0.816 0.952 0.973 0.974 0.998</t>
        </is>
      </c>
      <c r="B82" t="inlineStr"/>
      <c r="C82" t="inlineStr"/>
      <c r="D82" t="inlineStr"/>
    </row>
    <row r="83">
      <c r="A83" t="inlineStr">
        <is>
          <t>2010 0.008 0.236 0.786 0.939 0.956 0.963 0.998</t>
        </is>
      </c>
      <c r="B83" t="inlineStr"/>
      <c r="C83" t="inlineStr"/>
      <c r="D83" t="inlineStr"/>
    </row>
    <row r="84">
      <c r="A84" t="inlineStr">
        <is>
          <t>2011 0.02 0.146 0.839 0.947 0.971 0.971 0.998</t>
        </is>
      </c>
      <c r="B84" t="inlineStr"/>
      <c r="C84" t="inlineStr"/>
      <c r="D84" t="inlineStr"/>
    </row>
    <row r="85">
      <c r="A85" t="inlineStr">
        <is>
          <t>2012 0.018 0.557 0.881 0.963 0.981 0.982 0.998</t>
        </is>
      </c>
      <c r="B85" t="inlineStr"/>
      <c r="C85" t="inlineStr"/>
      <c r="D85" t="inlineStr"/>
    </row>
    <row r="86">
      <c r="A86" t="inlineStr">
        <is>
          <t>2013 0.017 0.399 0.878 0.959 0.979 0.98 0.998</t>
        </is>
      </c>
      <c r="B86" t="inlineStr"/>
      <c r="C86" t="inlineStr"/>
      <c r="D86" t="inlineStr"/>
    </row>
    <row r="87">
      <c r="A87" t="inlineStr">
        <is>
          <t>2014 0.012 0.549 0.91 0.965 0.982 0.982 0.998</t>
        </is>
      </c>
      <c r="B87" t="inlineStr"/>
      <c r="C87" t="inlineStr"/>
      <c r="D87" t="inlineStr"/>
    </row>
    <row r="88">
      <c r="A88" t="inlineStr">
        <is>
          <t>2015 0.054 0.812 0.948 0.981 0.99 0.991 0.999</t>
        </is>
      </c>
      <c r="B88" t="inlineStr"/>
      <c r="C88" t="inlineStr"/>
      <c r="D88" t="inlineStr"/>
    </row>
    <row r="89">
      <c r="A89" t="inlineStr">
        <is>
          <t>2016 0.02 0.505 0.904 0.966 0.983 0.984 0.999</t>
        </is>
      </c>
      <c r="B89" t="inlineStr"/>
      <c r="C89" t="inlineStr"/>
      <c r="D89" t="inlineStr"/>
    </row>
    <row r="90">
      <c r="A90" t="inlineStr">
        <is>
          <t>2017 0.015 0.432 0.877 0.958 0.978 0.979 0.998</t>
        </is>
      </c>
      <c r="B90" t="inlineStr"/>
      <c r="C90" t="inlineStr"/>
      <c r="D90" t="inlineStr"/>
    </row>
    <row r="91">
      <c r="A91" t="inlineStr">
        <is>
          <t>2018 0.013 0.487 0.849 0.954 0.976 0.978 0.998</t>
        </is>
      </c>
      <c r="B91" t="inlineStr"/>
      <c r="C91" t="inlineStr"/>
      <c r="D91" t="inlineStr"/>
    </row>
    <row r="92">
      <c r="A92" t="inlineStr">
        <is>
          <t>2019 0.009 0.331 0.828 0.936 0.966 0.969 0.998</t>
        </is>
      </c>
      <c r="B92" t="inlineStr"/>
      <c r="C92" t="inlineStr"/>
      <c r="D92" t="inlineStr"/>
    </row>
    <row r="93">
      <c r="A93" t="inlineStr">
        <is>
          <t>2020 0.009 0.275 0.745 0.916 0.956 0.959 0.998</t>
        </is>
      </c>
      <c r="B93" t="inlineStr"/>
      <c r="C93" t="inlineStr"/>
      <c r="D93" t="inlineStr"/>
    </row>
    <row r="94">
      <c r="A94" t="inlineStr">
        <is>
          <t>2021 0.024 0.593 0.909 0.97 0.984 0.984 0.998</t>
        </is>
      </c>
      <c r="B94" t="inlineStr"/>
      <c r="C94" t="inlineStr"/>
      <c r="D94" t="inlineStr"/>
    </row>
    <row r="95">
      <c r="A95" t="inlineStr">
        <is>
          <t>2022 0.027 0.578 0.911 0.969 0.985 0.986 0.998</t>
        </is>
      </c>
      <c r="B95" t="inlineStr"/>
      <c r="C95" t="inlineStr"/>
      <c r="D95" t="inlineStr"/>
    </row>
    <row r="96">
      <c r="A96" t="inlineStr">
        <is>
          <t>2023 0.016 0.555 0.884 0.961 0.981 0.982 0.999</t>
        </is>
      </c>
      <c r="B96" t="inlineStr"/>
      <c r="C96" t="inlineStr"/>
      <c r="D96" t="inlineStr"/>
    </row>
    <row r="97">
      <c r="A97" t="inlineStr">
        <is>
          <t>2024 0.019 0.557 0.891 0.966 0.983 0.984 0.999</t>
        </is>
      </c>
      <c r="B97" t="inlineStr"/>
      <c r="C97" t="inlineStr"/>
      <c r="D97" t="inlineStr"/>
    </row>
    <row r="98">
      <c r="A98" t="inlineStr">
        <is>
          <t>2025 0.031 0.759 0.939 0.98 0.989 0.99 0.999</t>
        </is>
      </c>
      <c r="B98" t="inlineStr"/>
      <c r="C98" t="inlineStr"/>
      <c r="D98" t="inlineStr"/>
    </row>
    <row r="99">
      <c r="A99" t="inlineStr">
        <is>
          <t>Viking</t>
        </is>
      </c>
      <c r="B99" t="inlineStr"/>
      <c r="C99" t="inlineStr"/>
      <c r="D99" t="inlineStr"/>
    </row>
    <row r="100">
      <c r="A100" t="inlineStr">
        <is>
          <t>Year/Age</t>
        </is>
      </c>
      <c r="B100" t="inlineStr">
        <is>
          <t>1 2 3 4 5 6 7+</t>
        </is>
      </c>
      <c r="C100" t="inlineStr"/>
      <c r="D100" t="inlineStr"/>
    </row>
    <row r="101">
      <c r="A101" t="inlineStr">
        <is>
          <t>1983 0.003 0.026 0.068 0.232 0.561 0.849 0.919</t>
        </is>
      </c>
      <c r="B101" t="inlineStr"/>
      <c r="C101" t="inlineStr"/>
      <c r="D101" t="inlineStr"/>
    </row>
    <row r="102">
      <c r="A102" t="inlineStr">
        <is>
          <t>1984 0.004 0.032 0.201 0.437 0.698 0.913 0.95</t>
        </is>
      </c>
      <c r="B102" t="inlineStr"/>
      <c r="C102" t="inlineStr"/>
      <c r="D102" t="inlineStr"/>
    </row>
    <row r="103">
      <c r="A103" t="inlineStr">
        <is>
          <t>1985 0.003 0.014 0.103 0.333 0.631 0.883 0.915</t>
        </is>
      </c>
      <c r="B103" t="inlineStr"/>
      <c r="C103" t="inlineStr"/>
      <c r="D103" t="inlineStr"/>
    </row>
    <row r="104">
      <c r="A104" t="inlineStr">
        <is>
          <t>1986 0.003 0.024 0.046 0.204 0.549 0.846 0.911</t>
        </is>
      </c>
      <c r="B104" t="inlineStr"/>
      <c r="C104" t="inlineStr"/>
      <c r="D104" t="inlineStr"/>
    </row>
    <row r="105">
      <c r="A105" t="inlineStr">
        <is>
          <t>1987 0.004 0.027 0.144 0.375 0.705 0.894 0.942</t>
        </is>
      </c>
      <c r="B105" t="inlineStr"/>
      <c r="C105" t="inlineStr"/>
      <c r="D105" t="inlineStr"/>
    </row>
    <row r="106">
      <c r="A106" t="inlineStr">
        <is>
          <t>1988 0.005 0.023 0.079 0.328 0.349 0.813 0.902</t>
        </is>
      </c>
      <c r="B106" t="inlineStr"/>
      <c r="C106" t="inlineStr"/>
      <c r="D106" t="inlineStr"/>
    </row>
    <row r="107">
      <c r="A107" t="inlineStr">
        <is>
          <t>1989 0.129 0.039 0.083 0.288 0.701 0.903 0.96</t>
        </is>
      </c>
      <c r="B107" t="inlineStr"/>
      <c r="C107" t="inlineStr"/>
      <c r="D107" t="inlineStr"/>
    </row>
    <row r="108">
      <c r="A108" t="inlineStr">
        <is>
          <t>1990 0.005 0.032 0.13 0.296 0.537 0.872 0.914</t>
        </is>
      </c>
      <c r="B108" t="inlineStr"/>
      <c r="C108" t="inlineStr"/>
      <c r="D108" t="inlineStr"/>
    </row>
    <row r="109">
      <c r="A109" t="inlineStr">
        <is>
          <t>1991 0.006 0.022 0.156 0.331 0.707 0.886 0.938</t>
        </is>
      </c>
      <c r="B109" t="inlineStr"/>
      <c r="C109" t="inlineStr"/>
      <c r="D109" t="inlineStr"/>
    </row>
    <row r="110">
      <c r="A110" t="inlineStr">
        <is>
          <t>174 | ICES SCIENTIFIC REPORTS 6:38 | ICES</t>
        </is>
      </c>
      <c r="B110" t="inlineStr"/>
      <c r="C110" t="inlineStr"/>
      <c r="D110" t="inlineStr"/>
    </row>
    <row r="111">
      <c r="A111" t="inlineStr">
        <is>
          <t>Year/Age</t>
        </is>
      </c>
      <c r="B111" t="inlineStr">
        <is>
          <t>1 2 3 4 5 6 7+</t>
        </is>
      </c>
      <c r="C111" t="inlineStr"/>
      <c r="D111" t="inlineStr"/>
    </row>
    <row r="112">
      <c r="A112" t="inlineStr">
        <is>
          <t>1992 0.039 0.085 0.409 0.727 0.845 0.967 0.976</t>
        </is>
      </c>
      <c r="B112" t="inlineStr"/>
      <c r="C112" t="inlineStr"/>
      <c r="D112" t="inlineStr"/>
    </row>
    <row r="113">
      <c r="A113" t="inlineStr">
        <is>
          <t>1993 0.005 0.032 0.126 0.437 0.599 0.892 0.93</t>
        </is>
      </c>
      <c r="B113" t="inlineStr"/>
      <c r="C113" t="inlineStr"/>
      <c r="D113" t="inlineStr"/>
    </row>
    <row r="114">
      <c r="A114" t="inlineStr">
        <is>
          <t>1994 0.007 0.045 0.258 0.64 0.808 0.946 0.966</t>
        </is>
      </c>
      <c r="B114" t="inlineStr"/>
      <c r="C114" t="inlineStr"/>
      <c r="D114" t="inlineStr"/>
    </row>
    <row r="115">
      <c r="A115" t="inlineStr">
        <is>
          <t>1995 0.006 0.032 0.234 0.615 0.734 0.875 0.951</t>
        </is>
      </c>
      <c r="B115" t="inlineStr"/>
      <c r="C115" t="inlineStr"/>
      <c r="D115" t="inlineStr"/>
    </row>
    <row r="116">
      <c r="A116" t="inlineStr">
        <is>
          <t>1996 0.012 0.127 0.404 0.825 0.851 0.968 0.98</t>
        </is>
      </c>
      <c r="B116" t="inlineStr"/>
      <c r="C116" t="inlineStr"/>
      <c r="D116" t="inlineStr"/>
    </row>
    <row r="117">
      <c r="A117" t="inlineStr">
        <is>
          <t>1997 0.012 0.121 0.441 0.647 0.829 0.965 0.98</t>
        </is>
      </c>
      <c r="B117" t="inlineStr"/>
      <c r="C117" t="inlineStr"/>
      <c r="D117" t="inlineStr"/>
    </row>
    <row r="118">
      <c r="A118" t="inlineStr">
        <is>
          <t>1998 0.026 0.104 0.477 0.822 0.912 0.976 0.986</t>
        </is>
      </c>
      <c r="B118" t="inlineStr"/>
      <c r="C118" t="inlineStr"/>
      <c r="D118" t="inlineStr"/>
    </row>
    <row r="119">
      <c r="A119" t="inlineStr">
        <is>
          <t>1999 0.017 0.271 0.329 0.751 0.926 0.976 0.986</t>
        </is>
      </c>
      <c r="B119" t="inlineStr"/>
      <c r="C119" t="inlineStr"/>
      <c r="D119" t="inlineStr"/>
    </row>
    <row r="120">
      <c r="A120" t="inlineStr">
        <is>
          <t>2000 0.011 0.216 0.594 0.696 0.841 0.968 0.98</t>
        </is>
      </c>
      <c r="B120" t="inlineStr"/>
      <c r="C120" t="inlineStr"/>
      <c r="D120" t="inlineStr"/>
    </row>
    <row r="121">
      <c r="A121" t="inlineStr">
        <is>
          <t>2001 0.019 0.125 0.352 0.649 0.893 0.968 0.982</t>
        </is>
      </c>
      <c r="B121" t="inlineStr"/>
      <c r="C121" t="inlineStr"/>
      <c r="D121" t="inlineStr"/>
    </row>
    <row r="122">
      <c r="A122" t="inlineStr">
        <is>
          <t>2002 0.017 0.229 0.401 0.753 0.922 0.975 0.985</t>
        </is>
      </c>
      <c r="B122" t="inlineStr"/>
      <c r="C122" t="inlineStr"/>
      <c r="D122" t="inlineStr"/>
    </row>
    <row r="123">
      <c r="A123" t="inlineStr">
        <is>
          <t>2003 0.009 0.058 0.293 0.543 0.851 0.951 0.975</t>
        </is>
      </c>
      <c r="B123" t="inlineStr"/>
      <c r="C123" t="inlineStr"/>
      <c r="D123" t="inlineStr"/>
    </row>
    <row r="124">
      <c r="A124" t="inlineStr">
        <is>
          <t>2004 0.011 0.126 0.647 0.643 0.85 0.955 0.981</t>
        </is>
      </c>
      <c r="B124" t="inlineStr"/>
      <c r="C124" t="inlineStr"/>
      <c r="D124" t="inlineStr"/>
    </row>
    <row r="125">
      <c r="A125" t="inlineStr">
        <is>
          <t>2005 0.012 0.091 0.515 0.821 0.91 0.97 0.981</t>
        </is>
      </c>
      <c r="B125" t="inlineStr"/>
      <c r="C125" t="inlineStr"/>
      <c r="D125" t="inlineStr"/>
    </row>
    <row r="126">
      <c r="A126" t="inlineStr">
        <is>
          <t>2006 0.01 0.109 0.288 0.687 0.82 0.963 0.98</t>
        </is>
      </c>
      <c r="B126" t="inlineStr"/>
      <c r="C126" t="inlineStr"/>
      <c r="D126" t="inlineStr"/>
    </row>
    <row r="127">
      <c r="A127" t="inlineStr">
        <is>
          <t>2007 0.036 0.185 0.382 0.718 0.93 0.972 0.986</t>
        </is>
      </c>
      <c r="B127" t="inlineStr"/>
      <c r="C127" t="inlineStr"/>
      <c r="D127" t="inlineStr"/>
    </row>
    <row r="128">
      <c r="A128" t="inlineStr">
        <is>
          <t>2008 0.017 0.277 0.525 0.72 0.908 0.977 0.987</t>
        </is>
      </c>
      <c r="B128" t="inlineStr"/>
      <c r="C128" t="inlineStr"/>
      <c r="D128" t="inlineStr"/>
    </row>
    <row r="129">
      <c r="A129" t="inlineStr">
        <is>
          <t>2009 0.015 0.089 0.415 0.752 0.883 0.965 0.983</t>
        </is>
      </c>
      <c r="B129" t="inlineStr"/>
      <c r="C129" t="inlineStr"/>
      <c r="D129" t="inlineStr"/>
    </row>
    <row r="130">
      <c r="A130" t="inlineStr">
        <is>
          <t>2010 0.012 0.083 0.427 0.678 0.906 0.955 0.981</t>
        </is>
      </c>
      <c r="B130" t="inlineStr"/>
      <c r="C130" t="inlineStr"/>
      <c r="D130" t="inlineStr"/>
    </row>
    <row r="131">
      <c r="A131" t="inlineStr">
        <is>
          <t>2011 0.013 0.077 0.468 0.715 0.883 0.967 0.981</t>
        </is>
      </c>
      <c r="B131" t="inlineStr"/>
      <c r="C131" t="inlineStr"/>
      <c r="D131" t="inlineStr"/>
    </row>
    <row r="132">
      <c r="A132" t="inlineStr">
        <is>
          <t>2012 0.009 0.072 0.213 0.649 0.856 0.954 0.975</t>
        </is>
      </c>
      <c r="B132" t="inlineStr"/>
      <c r="C132" t="inlineStr"/>
      <c r="D132" t="inlineStr"/>
    </row>
    <row r="133">
      <c r="A133" t="inlineStr">
        <is>
          <t>2013 0.008 0.069 0.262 0.691 0.817 0.96 0.975</t>
        </is>
      </c>
      <c r="B133" t="inlineStr"/>
      <c r="C133" t="inlineStr"/>
      <c r="D133" t="inlineStr"/>
    </row>
    <row r="134">
      <c r="A134" t="inlineStr">
        <is>
          <t>2014 0.01 0.057 0.301 0.708 0.847 0.959 0.976</t>
        </is>
      </c>
      <c r="B134" t="inlineStr"/>
      <c r="C134" t="inlineStr"/>
      <c r="D134" t="inlineStr"/>
    </row>
    <row r="135">
      <c r="A135" t="inlineStr">
        <is>
          <t>2015 0.009 0.117 0.284 0.698 0.832 0.956 0.977</t>
        </is>
      </c>
      <c r="B135" t="inlineStr"/>
      <c r="C135" t="inlineStr"/>
      <c r="D135" t="inlineStr"/>
    </row>
    <row r="136">
      <c r="A136" t="inlineStr">
        <is>
          <t>2016 0.007 0.07 0.177 0.581 0.768 0.932 0.97</t>
        </is>
      </c>
      <c r="B136" t="inlineStr"/>
      <c r="C136" t="inlineStr"/>
      <c r="D136" t="inlineStr"/>
    </row>
    <row r="137">
      <c r="A137" t="inlineStr">
        <is>
          <t>2017 0.008 0.062 0.392 0.695 0.796 0.957 0.973</t>
        </is>
      </c>
      <c r="B137" t="inlineStr"/>
      <c r="C137" t="inlineStr"/>
      <c r="D137" t="inlineStr"/>
    </row>
    <row r="138">
      <c r="A138" t="inlineStr">
        <is>
          <t>2018 0.011 0.063 0.277 0.689 0.893 0.961 0.977</t>
        </is>
      </c>
      <c r="B138" t="inlineStr"/>
      <c r="C138" t="inlineStr"/>
      <c r="D138" t="inlineStr"/>
    </row>
    <row r="139">
      <c r="A139" t="inlineStr">
        <is>
          <t>2019 0.015 0.209 0.426 0.756 0.906 0.974 0.983</t>
        </is>
      </c>
      <c r="B139" t="inlineStr"/>
      <c r="C139" t="inlineStr"/>
      <c r="D139" t="inlineStr"/>
    </row>
    <row r="140">
      <c r="A140" t="inlineStr">
        <is>
          <t>2020 0.01 0.078 0.457 0.788 0.873 0.966 0.981</t>
        </is>
      </c>
      <c r="B140" t="inlineStr"/>
      <c r="C140" t="inlineStr"/>
      <c r="D140" t="inlineStr"/>
    </row>
    <row r="141">
      <c r="A141" t="inlineStr">
        <is>
          <t>ICES</t>
        </is>
      </c>
      <c r="B141" t="inlineStr">
        <is>
          <t>| WGNSSK</t>
        </is>
      </c>
      <c r="C141" t="inlineStr">
        <is>
          <t>2025</t>
        </is>
      </c>
      <c r="D141" t="inlineStr">
        <is>
          <t>| 175</t>
        </is>
      </c>
    </row>
    <row r="142">
      <c r="A142" t="inlineStr">
        <is>
          <t>Year/Age</t>
        </is>
      </c>
      <c r="B142" t="inlineStr">
        <is>
          <t>1 2 3 4 5 6 7+</t>
        </is>
      </c>
      <c r="C142" t="inlineStr"/>
      <c r="D142" t="inlineStr"/>
    </row>
    <row r="143">
      <c r="A143" t="inlineStr">
        <is>
          <t>2021 0.007 0.065 0.242 0.457 0.796 0.94 0.97</t>
        </is>
      </c>
      <c r="B143" t="inlineStr"/>
      <c r="C143" t="inlineStr"/>
      <c r="D143" t="inlineStr"/>
    </row>
    <row r="144">
      <c r="A144" t="inlineStr">
        <is>
          <t>2022 0.007 0.045 0.177 0.531 0.833 0.937 0.966</t>
        </is>
      </c>
      <c r="B144" t="inlineStr"/>
      <c r="C144" t="inlineStr"/>
      <c r="D144" t="inlineStr"/>
    </row>
    <row r="145">
      <c r="A145" t="inlineStr">
        <is>
          <t>2023 0.007 0.059 0.232 0.485 0.773 0.939 0.964</t>
        </is>
      </c>
      <c r="B145" t="inlineStr"/>
      <c r="C145" t="inlineStr"/>
      <c r="D145" t="inlineStr"/>
    </row>
    <row r="146">
      <c r="A146" t="inlineStr">
        <is>
          <t>2024 0.007 0.054 0.233 0.462 0.72 0.926 0.963</t>
        </is>
      </c>
      <c r="B146" t="inlineStr"/>
      <c r="C146" t="inlineStr"/>
      <c r="D146" t="inlineStr"/>
    </row>
    <row r="147">
      <c r="A147" t="inlineStr">
        <is>
          <t>2025 0.008 0.097 0.333 0.562 0.783 0.937 0.972</t>
        </is>
      </c>
      <c r="B147" t="inlineStr"/>
      <c r="C147" t="inlineStr"/>
      <c r="D147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</row>
    <row r="2">
      <c r="A2" t="inlineStr">
        <is>
          <t>tality -at-age for each substock.</t>
        </is>
      </c>
      <c r="B2" t="inlineStr"/>
      <c r="C2" t="inlineStr"/>
      <c r="D2" t="inlineStr"/>
    </row>
    <row r="3">
      <c r="A3" t="inlineStr">
        <is>
          <t>Northwest ern</t>
        </is>
      </c>
      <c r="B3" t="inlineStr"/>
      <c r="C3" t="inlineStr"/>
      <c r="D3" t="inlineStr"/>
    </row>
    <row r="4">
      <c r="A4" t="inlineStr">
        <is>
          <t>Year/Age</t>
        </is>
      </c>
      <c r="B4" t="inlineStr">
        <is>
          <t>1 2 3 4 5 6 7+</t>
        </is>
      </c>
      <c r="C4" t="inlineStr"/>
      <c r="D4" t="inlineStr"/>
    </row>
    <row r="5">
      <c r="A5" t="inlineStr">
        <is>
          <t>1983 1.081 0.753 0.273 0.207 0.2 0.2 0.2</t>
        </is>
      </c>
      <c r="B5" t="inlineStr"/>
      <c r="C5" t="inlineStr"/>
      <c r="D5" t="inlineStr"/>
    </row>
    <row r="6">
      <c r="A6" t="inlineStr">
        <is>
          <t>1984 1.017 0.725 0.262 0.203 0.2 0.2 0.2</t>
        </is>
      </c>
      <c r="B6" t="inlineStr"/>
      <c r="C6" t="inlineStr"/>
      <c r="D6" t="inlineStr"/>
    </row>
    <row r="7">
      <c r="A7" t="inlineStr">
        <is>
          <t>1985 1.047 0.723 0.265 0.203 0.2 0.2 0.2</t>
        </is>
      </c>
      <c r="B7" t="inlineStr"/>
      <c r="C7" t="inlineStr"/>
      <c r="D7" t="inlineStr"/>
    </row>
    <row r="8">
      <c r="A8" t="inlineStr">
        <is>
          <t>1986 0.976 0.702 0.268 0.21 0.2 0.2 0.2</t>
        </is>
      </c>
      <c r="B8" t="inlineStr"/>
      <c r="C8" t="inlineStr"/>
      <c r="D8" t="inlineStr"/>
    </row>
    <row r="9">
      <c r="A9" t="inlineStr">
        <is>
          <t>1987 0.991 0.704 0.269 0.214 0.2 0.2 0.2</t>
        </is>
      </c>
      <c r="B9" t="inlineStr"/>
      <c r="C9" t="inlineStr"/>
      <c r="D9" t="inlineStr"/>
    </row>
    <row r="10">
      <c r="A10" t="inlineStr">
        <is>
          <t>1988 1.018 0.722 0.272 0.222 0.2 0.2 0.2</t>
        </is>
      </c>
      <c r="B10" t="inlineStr"/>
      <c r="C10" t="inlineStr"/>
      <c r="D10" t="inlineStr"/>
    </row>
    <row r="11">
      <c r="A11" t="inlineStr">
        <is>
          <t>1989 0.977 0.748 0.283 0.216 0.2 0.2 0.2</t>
        </is>
      </c>
      <c r="B11" t="inlineStr"/>
      <c r="C11" t="inlineStr"/>
      <c r="D11" t="inlineStr"/>
    </row>
    <row r="12">
      <c r="A12" t="inlineStr">
        <is>
          <t>1990 0.999 0.765 0.284 0.215 0.2 0.2 0.2</t>
        </is>
      </c>
      <c r="B12" t="inlineStr"/>
      <c r="C12" t="inlineStr"/>
      <c r="D12" t="inlineStr"/>
    </row>
    <row r="13">
      <c r="A13" t="inlineStr">
        <is>
          <t>1991 0.99 0.763 0.282 0.204 0.2 0.2 0.2</t>
        </is>
      </c>
      <c r="B13" t="inlineStr"/>
      <c r="C13" t="inlineStr"/>
      <c r="D13" t="inlineStr"/>
    </row>
    <row r="14">
      <c r="A14" t="inlineStr">
        <is>
          <t>1992 0.946 0.744 0.261 0.201 0.2 0.2 0.2</t>
        </is>
      </c>
      <c r="B14" t="inlineStr"/>
      <c r="C14" t="inlineStr"/>
      <c r="D14" t="inlineStr"/>
    </row>
    <row r="15">
      <c r="A15" t="inlineStr">
        <is>
          <t>1993 0.981 0.735 0.256 0.2 0.2 0.2 0.2</t>
        </is>
      </c>
      <c r="B15" t="inlineStr"/>
      <c r="C15" t="inlineStr"/>
      <c r="D15" t="inlineStr"/>
    </row>
    <row r="16">
      <c r="A16" t="inlineStr">
        <is>
          <t>1994 0.986 0.729 0.268 0.2 0.2 0.2 0.2</t>
        </is>
      </c>
      <c r="B16" t="inlineStr"/>
      <c r="C16" t="inlineStr"/>
      <c r="D16" t="inlineStr"/>
    </row>
    <row r="17">
      <c r="A17" t="inlineStr">
        <is>
          <t>1995 0.995 0.738 0.275 0.2 0.2 0.2 0.2</t>
        </is>
      </c>
      <c r="B17" t="inlineStr"/>
      <c r="C17" t="inlineStr"/>
      <c r="D17" t="inlineStr"/>
    </row>
    <row r="18">
      <c r="A18" t="inlineStr">
        <is>
          <t>1996 1.04 0.753 0.278 0.202 0.2 0.2 0.2</t>
        </is>
      </c>
      <c r="B18" t="inlineStr"/>
      <c r="C18" t="inlineStr"/>
      <c r="D18" t="inlineStr"/>
    </row>
    <row r="19">
      <c r="A19" t="inlineStr">
        <is>
          <t>1997 1 0.738 0.273 0.21 0.2 0.2 0.2</t>
        </is>
      </c>
      <c r="B19" t="inlineStr"/>
      <c r="C19" t="inlineStr"/>
      <c r="D19" t="inlineStr"/>
    </row>
    <row r="20">
      <c r="A20" t="inlineStr">
        <is>
          <t>1998 1.051 0.764 0.293 0.217 0.2 0.2 0.2</t>
        </is>
      </c>
      <c r="B20" t="inlineStr"/>
      <c r="C20" t="inlineStr"/>
      <c r="D20" t="inlineStr"/>
    </row>
    <row r="21">
      <c r="A21" t="inlineStr">
        <is>
          <t>1999 1.024 0.802 0.307 0.225 0.2 0.2 0.2</t>
        </is>
      </c>
      <c r="B21" t="inlineStr"/>
      <c r="C21" t="inlineStr"/>
      <c r="D21" t="inlineStr"/>
    </row>
    <row r="22">
      <c r="A22" t="inlineStr">
        <is>
          <t>2000 0.939 0.784 0.306 0.232 0.2 0.2 0.2</t>
        </is>
      </c>
      <c r="B22" t="inlineStr"/>
      <c r="C22" t="inlineStr"/>
      <c r="D22" t="inlineStr"/>
    </row>
    <row r="23">
      <c r="A23" t="inlineStr">
        <is>
          <t>2001 0.962 0.787 0.332 0.23 0.2 0.2 0.2</t>
        </is>
      </c>
      <c r="B23" t="inlineStr"/>
      <c r="C23" t="inlineStr"/>
      <c r="D23" t="inlineStr"/>
    </row>
    <row r="24">
      <c r="A24" t="inlineStr">
        <is>
          <t>2002 1.032 0.863 0.387 0.238 0.2 0.2 0.2</t>
        </is>
      </c>
      <c r="B24" t="inlineStr"/>
      <c r="C24" t="inlineStr"/>
      <c r="D24" t="inlineStr"/>
    </row>
    <row r="25">
      <c r="A25" t="inlineStr">
        <is>
          <t>2003 1.113 0.955 0.44 0.26 0.2 0.2 0.2</t>
        </is>
      </c>
      <c r="B25" t="inlineStr"/>
      <c r="C25" t="inlineStr"/>
      <c r="D25" t="inlineStr"/>
    </row>
    <row r="26">
      <c r="A26" t="inlineStr">
        <is>
          <t>176 | ICES SCIENTIFIC REPORTS 6:38 | ICES</t>
        </is>
      </c>
      <c r="B26" t="inlineStr"/>
      <c r="C26" t="inlineStr"/>
      <c r="D26" t="inlineStr"/>
    </row>
    <row r="27">
      <c r="A27" t="inlineStr">
        <is>
          <t>Year/Age</t>
        </is>
      </c>
      <c r="B27" t="inlineStr">
        <is>
          <t>1 2 3 4 5 6 7+</t>
        </is>
      </c>
      <c r="C27" t="inlineStr"/>
      <c r="D27" t="inlineStr"/>
    </row>
    <row r="28">
      <c r="A28" t="inlineStr">
        <is>
          <t>2004 1.196 1.021 0.475 0.29 0.2 0.2 0.2</t>
        </is>
      </c>
      <c r="B28" t="inlineStr"/>
      <c r="C28" t="inlineStr"/>
      <c r="D28" t="inlineStr"/>
    </row>
    <row r="29">
      <c r="A29" t="inlineStr">
        <is>
          <t>2005 1.254 1.065 0.491 0.272 0.2 0.2 0.2</t>
        </is>
      </c>
      <c r="B29" t="inlineStr"/>
      <c r="C29" t="inlineStr"/>
      <c r="D29" t="inlineStr"/>
    </row>
    <row r="30">
      <c r="A30" t="inlineStr">
        <is>
          <t>2006 1.26 1.067 0.473 0.254 0.2 0.2 0.2</t>
        </is>
      </c>
      <c r="B30" t="inlineStr"/>
      <c r="C30" t="inlineStr"/>
      <c r="D30" t="inlineStr"/>
    </row>
    <row r="31">
      <c r="A31" t="inlineStr">
        <is>
          <t>2007 1.3 1.075 0.47 0.219 0.2 0.2 0.2</t>
        </is>
      </c>
      <c r="B31" t="inlineStr"/>
      <c r="C31" t="inlineStr"/>
      <c r="D31" t="inlineStr"/>
    </row>
    <row r="32">
      <c r="A32" t="inlineStr">
        <is>
          <t>2008 1.326 1.103 0.479 0.239 0.2 0.2 0.2</t>
        </is>
      </c>
      <c r="B32" t="inlineStr"/>
      <c r="C32" t="inlineStr"/>
      <c r="D32" t="inlineStr"/>
    </row>
    <row r="33">
      <c r="A33" t="inlineStr">
        <is>
          <t>2009 1.28 1.089 0.463 0.209 0.2 0.2 0.2</t>
        </is>
      </c>
      <c r="B33" t="inlineStr"/>
      <c r="C33" t="inlineStr"/>
      <c r="D33" t="inlineStr"/>
    </row>
    <row r="34">
      <c r="A34" t="inlineStr">
        <is>
          <t>2010 1.22 1.019 0.439 0.202 0.2 0.2 0.2</t>
        </is>
      </c>
      <c r="B34" t="inlineStr"/>
      <c r="C34" t="inlineStr"/>
      <c r="D34" t="inlineStr"/>
    </row>
    <row r="35">
      <c r="A35" t="inlineStr">
        <is>
          <t>2011 1.277 1.053 0.421 0.202 0.2 0.2 0.2</t>
        </is>
      </c>
      <c r="B35" t="inlineStr"/>
      <c r="C35" t="inlineStr"/>
      <c r="D35" t="inlineStr"/>
    </row>
    <row r="36">
      <c r="A36" t="inlineStr">
        <is>
          <t>2012 1.328 1.097 0.501 0.202 0.2 0.2 0.2</t>
        </is>
      </c>
      <c r="B36" t="inlineStr"/>
      <c r="C36" t="inlineStr"/>
      <c r="D36" t="inlineStr"/>
    </row>
    <row r="37">
      <c r="A37" t="inlineStr">
        <is>
          <t>2013 1.327 1.096 0.495 0.205 0.201 0.2 0.2</t>
        </is>
      </c>
      <c r="B37" t="inlineStr"/>
      <c r="C37" t="inlineStr"/>
      <c r="D37" t="inlineStr"/>
    </row>
    <row r="38">
      <c r="A38" t="inlineStr">
        <is>
          <t>2014 1.273 1.056 0.48 0.207 0.202 0.2 0.2</t>
        </is>
      </c>
      <c r="B38" t="inlineStr"/>
      <c r="C38" t="inlineStr"/>
      <c r="D38" t="inlineStr"/>
    </row>
    <row r="39">
      <c r="A39" t="inlineStr">
        <is>
          <t>2015 1.285 1.06 0.492 0.218 0.204 0.201 0.2</t>
        </is>
      </c>
      <c r="B39" t="inlineStr"/>
      <c r="C39" t="inlineStr"/>
      <c r="D39" t="inlineStr"/>
    </row>
    <row r="40">
      <c r="A40" t="inlineStr">
        <is>
          <t>2016 1.287 1.055 0.467 0.26 0.202 0.2 0.2</t>
        </is>
      </c>
      <c r="B40" t="inlineStr"/>
      <c r="C40" t="inlineStr"/>
      <c r="D40" t="inlineStr"/>
    </row>
    <row r="41">
      <c r="A41" t="inlineStr">
        <is>
          <t>2017 1.247 1.021 0.431 0.249 0.203 0.2 0.2</t>
        </is>
      </c>
      <c r="B41" t="inlineStr"/>
      <c r="C41" t="inlineStr"/>
      <c r="D41" t="inlineStr"/>
    </row>
    <row r="42">
      <c r="A42" t="inlineStr">
        <is>
          <t>2018 1.308 1.061 0.462 0.258 0.201 0.2 0.2</t>
        </is>
      </c>
      <c r="B42" t="inlineStr"/>
      <c r="C42" t="inlineStr"/>
      <c r="D42" t="inlineStr"/>
    </row>
    <row r="43">
      <c r="A43" t="inlineStr">
        <is>
          <t>2019 1.257 1.018 0.454 0.262 0.2 0.2 0.2</t>
        </is>
      </c>
      <c r="B43" t="inlineStr"/>
      <c r="C43" t="inlineStr"/>
      <c r="D43" t="inlineStr"/>
    </row>
    <row r="44">
      <c r="A44" t="inlineStr">
        <is>
          <t>2020 1.19 0.956 0.446 0.245 0.2 0.2 0.2</t>
        </is>
      </c>
      <c r="B44" t="inlineStr"/>
      <c r="C44" t="inlineStr"/>
      <c r="D44" t="inlineStr"/>
    </row>
    <row r="45">
      <c r="A45" t="inlineStr">
        <is>
          <t>2021 1.237 0.972 0.481 0.225 0.2 0.2 0.2</t>
        </is>
      </c>
      <c r="B45" t="inlineStr"/>
      <c r="C45" t="inlineStr"/>
      <c r="D45" t="inlineStr"/>
    </row>
    <row r="46">
      <c r="A46" t="inlineStr">
        <is>
          <t>2022 1.315 1.03 0.522 0.26 0.201 0.2 0.2</t>
        </is>
      </c>
      <c r="B46" t="inlineStr"/>
      <c r="C46" t="inlineStr"/>
      <c r="D46" t="inlineStr"/>
    </row>
    <row r="47">
      <c r="A47" t="inlineStr">
        <is>
          <t>2023 1.307 1.036 0.511 0.26 0.205 0.201 0.201</t>
        </is>
      </c>
      <c r="B47" t="inlineStr"/>
      <c r="C47" t="inlineStr"/>
      <c r="D47" t="inlineStr"/>
    </row>
    <row r="48">
      <c r="A48" t="inlineStr">
        <is>
          <t>2024 1.308 1.03 0.5 0.259 0.208 0.202 0.201</t>
        </is>
      </c>
      <c r="B48" t="inlineStr"/>
      <c r="C48" t="inlineStr"/>
      <c r="D48" t="inlineStr"/>
    </row>
    <row r="49">
      <c r="A49" t="inlineStr">
        <is>
          <t>2025 1.307 1.033 0.49 0.257 0.211 0.203 0.202</t>
        </is>
      </c>
      <c r="B49" t="inlineStr"/>
      <c r="C49" t="inlineStr"/>
      <c r="D49" t="inlineStr"/>
    </row>
    <row r="50">
      <c r="A50" t="inlineStr">
        <is>
          <t>Southern</t>
        </is>
      </c>
      <c r="B50" t="inlineStr"/>
      <c r="C50" t="inlineStr"/>
      <c r="D50" t="inlineStr"/>
    </row>
    <row r="51">
      <c r="A51" t="inlineStr">
        <is>
          <t>Year/Age</t>
        </is>
      </c>
      <c r="B51" t="inlineStr">
        <is>
          <t>1 2 3 4 5 6 7+</t>
        </is>
      </c>
      <c r="C51" t="inlineStr"/>
      <c r="D51" t="inlineStr"/>
    </row>
    <row r="52">
      <c r="A52" t="inlineStr">
        <is>
          <t>1983 1.083 0.759 0.273 0.208 0.2 0.2 0.2</t>
        </is>
      </c>
      <c r="B52" t="inlineStr"/>
      <c r="C52" t="inlineStr"/>
      <c r="D52" t="inlineStr"/>
    </row>
    <row r="53">
      <c r="A53" t="inlineStr">
        <is>
          <t>1984 1.018 0.724 0.263 0.203 0.2 0.2 0.2</t>
        </is>
      </c>
      <c r="B53" t="inlineStr"/>
      <c r="C53" t="inlineStr"/>
      <c r="D53" t="inlineStr"/>
    </row>
    <row r="54">
      <c r="A54" t="inlineStr">
        <is>
          <t>1985 1.048 0.725 0.265 0.203 0.2 0.2 0.2</t>
        </is>
      </c>
      <c r="B54" t="inlineStr"/>
      <c r="C54" t="inlineStr"/>
      <c r="D54" t="inlineStr"/>
    </row>
    <row r="55">
      <c r="A55" t="inlineStr">
        <is>
          <t>1986 0.976 0.704 0.268 0.21 0.2 0.2 0.2</t>
        </is>
      </c>
      <c r="B55" t="inlineStr"/>
      <c r="C55" t="inlineStr"/>
      <c r="D55" t="inlineStr"/>
    </row>
    <row r="56">
      <c r="A56" t="inlineStr">
        <is>
          <t>1987 0.994 0.704 0.269 0.214 0.2 0.2 0.2</t>
        </is>
      </c>
      <c r="B56" t="inlineStr"/>
      <c r="C56" t="inlineStr"/>
      <c r="D56" t="inlineStr"/>
    </row>
    <row r="57">
      <c r="A57" t="inlineStr">
        <is>
          <t>ICES</t>
        </is>
      </c>
      <c r="B57" t="inlineStr">
        <is>
          <t>| WGNSSK</t>
        </is>
      </c>
      <c r="C57" t="inlineStr">
        <is>
          <t>2025</t>
        </is>
      </c>
      <c r="D57" t="inlineStr">
        <is>
          <t>| 177</t>
        </is>
      </c>
    </row>
    <row r="58">
      <c r="A58" t="inlineStr">
        <is>
          <t>Year/Age</t>
        </is>
      </c>
      <c r="B58" t="inlineStr">
        <is>
          <t>1 2 3 4 5 6 7+</t>
        </is>
      </c>
      <c r="C58" t="inlineStr"/>
      <c r="D58" t="inlineStr"/>
    </row>
    <row r="59">
      <c r="A59" t="inlineStr">
        <is>
          <t>1988 1.019 0.724 0.273 0.222 0.2 0.2 0.2</t>
        </is>
      </c>
      <c r="B59" t="inlineStr"/>
      <c r="C59" t="inlineStr"/>
      <c r="D59" t="inlineStr"/>
    </row>
    <row r="60">
      <c r="A60" t="inlineStr">
        <is>
          <t>1989 0.977 0.748 0.283 0.217 0.2 0.2 0.2</t>
        </is>
      </c>
      <c r="B60" t="inlineStr"/>
      <c r="C60" t="inlineStr"/>
      <c r="D60" t="inlineStr"/>
    </row>
    <row r="61">
      <c r="A61" t="inlineStr">
        <is>
          <t>1990 0.998 0.763 0.284 0.215 0.2 0.2 0.2</t>
        </is>
      </c>
      <c r="B61" t="inlineStr"/>
      <c r="C61" t="inlineStr"/>
      <c r="D61" t="inlineStr"/>
    </row>
    <row r="62">
      <c r="A62" t="inlineStr">
        <is>
          <t>1991 0.992 0.762 0.282 0.204 0.2 0.2 0.2</t>
        </is>
      </c>
      <c r="B62" t="inlineStr"/>
      <c r="C62" t="inlineStr"/>
      <c r="D62" t="inlineStr"/>
    </row>
    <row r="63">
      <c r="A63" t="inlineStr">
        <is>
          <t>1992 0.947 0.745 0.261 0.201 0.2 0.2 0.2</t>
        </is>
      </c>
      <c r="B63" t="inlineStr"/>
      <c r="C63" t="inlineStr"/>
      <c r="D63" t="inlineStr"/>
    </row>
    <row r="64">
      <c r="A64" t="inlineStr">
        <is>
          <t>1993 0.981 0.733 0.256 0.2 0.2 0.2 0.2</t>
        </is>
      </c>
      <c r="B64" t="inlineStr"/>
      <c r="C64" t="inlineStr"/>
      <c r="D64" t="inlineStr"/>
    </row>
    <row r="65">
      <c r="A65" t="inlineStr">
        <is>
          <t>1994 0.986 0.729 0.268 0.2 0.2 0.2 0.2</t>
        </is>
      </c>
      <c r="B65" t="inlineStr"/>
      <c r="C65" t="inlineStr"/>
      <c r="D65" t="inlineStr"/>
    </row>
    <row r="66">
      <c r="A66" t="inlineStr">
        <is>
          <t>1995 0.996 0.736 0.275 0.2 0.2 0.2 0.2</t>
        </is>
      </c>
      <c r="B66" t="inlineStr"/>
      <c r="C66" t="inlineStr"/>
      <c r="D66" t="inlineStr"/>
    </row>
    <row r="67">
      <c r="A67" t="inlineStr">
        <is>
          <t>1996 1.04 0.751 0.278 0.202 0.2 0.2 0.2</t>
        </is>
      </c>
      <c r="B67" t="inlineStr"/>
      <c r="C67" t="inlineStr"/>
      <c r="D67" t="inlineStr"/>
    </row>
    <row r="68">
      <c r="A68" t="inlineStr">
        <is>
          <t>1997 0.998 0.736 0.273 0.21 0.2 0.2 0.2</t>
        </is>
      </c>
      <c r="B68" t="inlineStr"/>
      <c r="C68" t="inlineStr"/>
      <c r="D68" t="inlineStr"/>
    </row>
    <row r="69">
      <c r="A69" t="inlineStr">
        <is>
          <t>1998 1.049 0.762 0.293 0.217 0.2 0.2 0.2</t>
        </is>
      </c>
      <c r="B69" t="inlineStr"/>
      <c r="C69" t="inlineStr"/>
      <c r="D69" t="inlineStr"/>
    </row>
    <row r="70">
      <c r="A70" t="inlineStr">
        <is>
          <t>1999 1.023 0.802 0.306 0.225 0.2 0.2 0.2</t>
        </is>
      </c>
      <c r="B70" t="inlineStr"/>
      <c r="C70" t="inlineStr"/>
      <c r="D70" t="inlineStr"/>
    </row>
    <row r="71">
      <c r="A71" t="inlineStr">
        <is>
          <t>2000 0.939 0.783 0.306 0.232 0.2 0.2 0.2</t>
        </is>
      </c>
      <c r="B71" t="inlineStr"/>
      <c r="C71" t="inlineStr"/>
      <c r="D71" t="inlineStr"/>
    </row>
    <row r="72">
      <c r="A72" t="inlineStr">
        <is>
          <t>2001 0.961 0.786 0.332 0.23 0.2 0.2 0.2</t>
        </is>
      </c>
      <c r="B72" t="inlineStr"/>
      <c r="C72" t="inlineStr"/>
      <c r="D72" t="inlineStr"/>
    </row>
    <row r="73">
      <c r="A73" t="inlineStr">
        <is>
          <t>2002 1.032 0.86 0.386 0.238 0.2 0.2 0.2</t>
        </is>
      </c>
      <c r="B73" t="inlineStr"/>
      <c r="C73" t="inlineStr"/>
      <c r="D73" t="inlineStr"/>
    </row>
    <row r="74">
      <c r="A74" t="inlineStr">
        <is>
          <t>2003 1.113 0.951 0.44 0.26 0.2 0.2 0.2</t>
        </is>
      </c>
      <c r="B74" t="inlineStr"/>
      <c r="C74" t="inlineStr"/>
      <c r="D74" t="inlineStr"/>
    </row>
    <row r="75">
      <c r="A75" t="inlineStr">
        <is>
          <t>2004 1.195 1.02 0.475 0.29 0.2 0.2 0.2</t>
        </is>
      </c>
      <c r="B75" t="inlineStr"/>
      <c r="C75" t="inlineStr"/>
      <c r="D75" t="inlineStr"/>
    </row>
    <row r="76">
      <c r="A76" t="inlineStr">
        <is>
          <t>2005 1.251 1.064 0.492 0.272 0.2 0.2 0.2</t>
        </is>
      </c>
      <c r="B76" t="inlineStr"/>
      <c r="C76" t="inlineStr"/>
      <c r="D76" t="inlineStr"/>
    </row>
    <row r="77">
      <c r="A77" t="inlineStr">
        <is>
          <t>2006 1.261 1.068 0.473 0.254 0.2 0.2 0.2</t>
        </is>
      </c>
      <c r="B77" t="inlineStr"/>
      <c r="C77" t="inlineStr"/>
      <c r="D77" t="inlineStr"/>
    </row>
    <row r="78">
      <c r="A78" t="inlineStr">
        <is>
          <t>2007 1.299 1.076 0.47 0.219 0.2 0.2 0.2</t>
        </is>
      </c>
      <c r="B78" t="inlineStr"/>
      <c r="C78" t="inlineStr"/>
      <c r="D78" t="inlineStr"/>
    </row>
    <row r="79">
      <c r="A79" t="inlineStr">
        <is>
          <t>2008 1.327 1.105 0.478 0.239 0.2 0.2 0.2</t>
        </is>
      </c>
      <c r="B79" t="inlineStr"/>
      <c r="C79" t="inlineStr"/>
      <c r="D79" t="inlineStr"/>
    </row>
    <row r="80">
      <c r="A80" t="inlineStr">
        <is>
          <t>2009 1.283 1.092 0.463 0.209 0.2 0.2 0.2</t>
        </is>
      </c>
      <c r="B80" t="inlineStr"/>
      <c r="C80" t="inlineStr"/>
      <c r="D80" t="inlineStr"/>
    </row>
    <row r="81">
      <c r="A81" t="inlineStr">
        <is>
          <t>2010 1.221 1.021 0.439 0.203 0.2 0.2 0.2</t>
        </is>
      </c>
      <c r="B81" t="inlineStr"/>
      <c r="C81" t="inlineStr"/>
      <c r="D81" t="inlineStr"/>
    </row>
    <row r="82">
      <c r="A82" t="inlineStr">
        <is>
          <t>2011 1.278 1.055 0.421 0.202 0.2 0.2 0.2</t>
        </is>
      </c>
      <c r="B82" t="inlineStr"/>
      <c r="C82" t="inlineStr"/>
      <c r="D82" t="inlineStr"/>
    </row>
    <row r="83">
      <c r="A83" t="inlineStr">
        <is>
          <t>2012 1.327 1.1 0.501 0.202 0.2 0.2 0.2</t>
        </is>
      </c>
      <c r="B83" t="inlineStr"/>
      <c r="C83" t="inlineStr"/>
      <c r="D83" t="inlineStr"/>
    </row>
    <row r="84">
      <c r="A84" t="inlineStr">
        <is>
          <t>2013 1.327 1.098 0.497 0.204 0.201 0.2 0.2</t>
        </is>
      </c>
      <c r="B84" t="inlineStr"/>
      <c r="C84" t="inlineStr"/>
      <c r="D84" t="inlineStr"/>
    </row>
    <row r="85">
      <c r="A85" t="inlineStr">
        <is>
          <t>2014 1.273 1.061 0.481 0.207 0.202 0.2 0.2</t>
        </is>
      </c>
      <c r="B85" t="inlineStr"/>
      <c r="C85" t="inlineStr"/>
      <c r="D85" t="inlineStr"/>
    </row>
    <row r="86">
      <c r="A86" t="inlineStr">
        <is>
          <t>2015 1.284 1.065 0.494 0.218 0.204 0.201 0.2</t>
        </is>
      </c>
      <c r="B86" t="inlineStr"/>
      <c r="C86" t="inlineStr"/>
      <c r="D86" t="inlineStr"/>
    </row>
    <row r="87">
      <c r="A87" t="inlineStr">
        <is>
          <t>2016 1.284 1.056 0.469 0.26 0.202 0.2 0.2</t>
        </is>
      </c>
      <c r="B87" t="inlineStr"/>
      <c r="C87" t="inlineStr"/>
      <c r="D87" t="inlineStr"/>
    </row>
    <row r="88">
      <c r="A88" t="inlineStr">
        <is>
          <t>178 | ICES SCIENTIFIC REPORTS 6:38 | ICES</t>
        </is>
      </c>
      <c r="B88" t="inlineStr"/>
      <c r="C88" t="inlineStr"/>
      <c r="D88" t="inlineStr"/>
    </row>
    <row r="89">
      <c r="A89" t="inlineStr">
        <is>
          <t>Year/Age</t>
        </is>
      </c>
      <c r="B89" t="inlineStr">
        <is>
          <t>1 2 3 4 5 6 7+</t>
        </is>
      </c>
      <c r="C89" t="inlineStr"/>
      <c r="D89" t="inlineStr"/>
    </row>
    <row r="90">
      <c r="A90" t="inlineStr">
        <is>
          <t>2017 1.244 1.018 0.432 0.249 0.203 0.2 0.2</t>
        </is>
      </c>
      <c r="B90" t="inlineStr"/>
      <c r="C90" t="inlineStr"/>
      <c r="D90" t="inlineStr"/>
    </row>
    <row r="91">
      <c r="A91" t="inlineStr">
        <is>
          <t>2018 1.306 1.059 0.463 0.258 0.201 0.2 0.2</t>
        </is>
      </c>
      <c r="B91" t="inlineStr"/>
      <c r="C91" t="inlineStr"/>
      <c r="D91" t="inlineStr"/>
    </row>
    <row r="92">
      <c r="A92" t="inlineStr">
        <is>
          <t>2019 1.257 1.019 0.455 0.262 0.2 0.2 0.2</t>
        </is>
      </c>
      <c r="B92" t="inlineStr"/>
      <c r="C92" t="inlineStr"/>
      <c r="D92" t="inlineStr"/>
    </row>
    <row r="93">
      <c r="A93" t="inlineStr">
        <is>
          <t>2020 1.19 0.957 0.447 0.245 0.2 0.2 0.2</t>
        </is>
      </c>
      <c r="B93" t="inlineStr"/>
      <c r="C93" t="inlineStr"/>
      <c r="D93" t="inlineStr"/>
    </row>
    <row r="94">
      <c r="A94" t="inlineStr">
        <is>
          <t>2021 1.238 0.975 0.482 0.225 0.2 0.2 0.2</t>
        </is>
      </c>
      <c r="B94" t="inlineStr"/>
      <c r="C94" t="inlineStr"/>
      <c r="D94" t="inlineStr"/>
    </row>
    <row r="95">
      <c r="A95" t="inlineStr">
        <is>
          <t>2022 1.316 1.033 0.524 0.261 0.201 0.2 0.2</t>
        </is>
      </c>
      <c r="B95" t="inlineStr"/>
      <c r="C95" t="inlineStr"/>
      <c r="D95" t="inlineStr"/>
    </row>
    <row r="96">
      <c r="A96" t="inlineStr">
        <is>
          <t>2023 1.311 1.041 0.516 0.26 0.205 0.201 0.201</t>
        </is>
      </c>
      <c r="B96" t="inlineStr"/>
      <c r="C96" t="inlineStr"/>
      <c r="D96" t="inlineStr"/>
    </row>
    <row r="97">
      <c r="A97" t="inlineStr">
        <is>
          <t>2024 1.308 1.041 0.505 0.259 0.209 0.202 0.201</t>
        </is>
      </c>
      <c r="B97" t="inlineStr"/>
      <c r="C97" t="inlineStr"/>
      <c r="D97" t="inlineStr"/>
    </row>
    <row r="98">
      <c r="A98" t="inlineStr">
        <is>
          <t>2025 1.308 1.043 0.495 0.257 0.211 0.203 0.202</t>
        </is>
      </c>
      <c r="B98" t="inlineStr"/>
      <c r="C98" t="inlineStr"/>
      <c r="D98" t="inlineStr"/>
    </row>
    <row r="99">
      <c r="A99" t="inlineStr">
        <is>
          <t>Viking</t>
        </is>
      </c>
      <c r="B99" t="inlineStr"/>
      <c r="C99" t="inlineStr"/>
      <c r="D99" t="inlineStr"/>
    </row>
    <row r="100">
      <c r="A100" t="inlineStr">
        <is>
          <t>Year/Age</t>
        </is>
      </c>
      <c r="B100" t="inlineStr">
        <is>
          <t>1 2 3 4 5 6 7+</t>
        </is>
      </c>
      <c r="C100" t="inlineStr"/>
      <c r="D100" t="inlineStr"/>
    </row>
    <row r="101">
      <c r="A101" t="inlineStr">
        <is>
          <t>1983 1.082 0.758 0.274 0.208 0.2 0.2 0.2</t>
        </is>
      </c>
      <c r="B101" t="inlineStr"/>
      <c r="C101" t="inlineStr"/>
      <c r="D101" t="inlineStr"/>
    </row>
    <row r="102">
      <c r="A102" t="inlineStr">
        <is>
          <t>1984 1.016 0.723 0.263 0.203 0.2 0.2 0.2</t>
        </is>
      </c>
      <c r="B102" t="inlineStr"/>
      <c r="C102" t="inlineStr"/>
      <c r="D102" t="inlineStr"/>
    </row>
    <row r="103">
      <c r="A103" t="inlineStr">
        <is>
          <t>1985 1.047 0.722 0.265 0.203 0.2 0.2 0.2</t>
        </is>
      </c>
      <c r="B103" t="inlineStr"/>
      <c r="C103" t="inlineStr"/>
      <c r="D103" t="inlineStr"/>
    </row>
    <row r="104">
      <c r="A104" t="inlineStr">
        <is>
          <t>1986 0.975 0.702 0.268 0.21 0.2 0.2 0.2</t>
        </is>
      </c>
      <c r="B104" t="inlineStr"/>
      <c r="C104" t="inlineStr"/>
      <c r="D104" t="inlineStr"/>
    </row>
    <row r="105">
      <c r="A105" t="inlineStr">
        <is>
          <t>1987 0.991 0.703 0.269 0.214 0.2 0.2 0.2</t>
        </is>
      </c>
      <c r="B105" t="inlineStr"/>
      <c r="C105" t="inlineStr"/>
      <c r="D105" t="inlineStr"/>
    </row>
    <row r="106">
      <c r="A106" t="inlineStr">
        <is>
          <t>1988 1.02 0.721 0.273 0.222 0.2 0.2 0.2</t>
        </is>
      </c>
      <c r="B106" t="inlineStr"/>
      <c r="C106" t="inlineStr"/>
      <c r="D106" t="inlineStr"/>
    </row>
    <row r="107">
      <c r="A107" t="inlineStr">
        <is>
          <t>1989 0.978 0.747 0.283 0.217 0.2 0.2 0.2</t>
        </is>
      </c>
      <c r="B107" t="inlineStr"/>
      <c r="C107" t="inlineStr"/>
      <c r="D107" t="inlineStr"/>
    </row>
    <row r="108">
      <c r="A108" t="inlineStr">
        <is>
          <t>1990 0.999 0.763 0.284 0.216 0.2 0.2 0.2</t>
        </is>
      </c>
      <c r="B108" t="inlineStr"/>
      <c r="C108" t="inlineStr"/>
      <c r="D108" t="inlineStr"/>
    </row>
    <row r="109">
      <c r="A109" t="inlineStr">
        <is>
          <t>1991 0.992 0.763 0.282 0.204 0.2 0.2 0.2</t>
        </is>
      </c>
      <c r="B109" t="inlineStr"/>
      <c r="C109" t="inlineStr"/>
      <c r="D109" t="inlineStr"/>
    </row>
    <row r="110">
      <c r="A110" t="inlineStr">
        <is>
          <t>1992 0.947 0.745 0.261 0.201 0.2 0.2 0.2</t>
        </is>
      </c>
      <c r="B110" t="inlineStr"/>
      <c r="C110" t="inlineStr"/>
      <c r="D110" t="inlineStr"/>
    </row>
    <row r="111">
      <c r="A111" t="inlineStr">
        <is>
          <t>1993 0.981 0.734 0.256 0.2 0.2 0.2 0.2</t>
        </is>
      </c>
      <c r="B111" t="inlineStr"/>
      <c r="C111" t="inlineStr"/>
      <c r="D111" t="inlineStr"/>
    </row>
    <row r="112">
      <c r="A112" t="inlineStr">
        <is>
          <t>1994 0.987 0.73 0.268 0.2 0.2 0.2 0.2</t>
        </is>
      </c>
      <c r="B112" t="inlineStr"/>
      <c r="C112" t="inlineStr"/>
      <c r="D112" t="inlineStr"/>
    </row>
    <row r="113">
      <c r="A113" t="inlineStr">
        <is>
          <t>1995 0.997 0.739 0.275 0.2 0.2 0.2 0.2</t>
        </is>
      </c>
      <c r="B113" t="inlineStr"/>
      <c r="C113" t="inlineStr"/>
      <c r="D113" t="inlineStr"/>
    </row>
    <row r="114">
      <c r="A114" t="inlineStr">
        <is>
          <t>1996 1.04 0.754 0.278 0.202 0.2 0.2 0.2</t>
        </is>
      </c>
      <c r="B114" t="inlineStr"/>
      <c r="C114" t="inlineStr"/>
      <c r="D114" t="inlineStr"/>
    </row>
    <row r="115">
      <c r="A115" t="inlineStr">
        <is>
          <t>1997 0.999 0.738 0.273 0.21 0.2 0.2 0.2</t>
        </is>
      </c>
      <c r="B115" t="inlineStr"/>
      <c r="C115" t="inlineStr"/>
      <c r="D115" t="inlineStr"/>
    </row>
    <row r="116">
      <c r="A116" t="inlineStr">
        <is>
          <t>1998 1.053 0.763 0.293 0.217 0.2 0.2 0.2</t>
        </is>
      </c>
      <c r="B116" t="inlineStr"/>
      <c r="C116" t="inlineStr"/>
      <c r="D116" t="inlineStr"/>
    </row>
    <row r="117">
      <c r="A117" t="inlineStr">
        <is>
          <t>1999 1.025 0.804 0.306 0.224 0.2 0.2 0.2</t>
        </is>
      </c>
      <c r="B117" t="inlineStr"/>
      <c r="C117" t="inlineStr"/>
      <c r="D117" t="inlineStr"/>
    </row>
    <row r="118">
      <c r="A118" t="inlineStr">
        <is>
          <t>2000 0.939 0.785 0.306 0.232 0.2 0.2 0.2</t>
        </is>
      </c>
      <c r="B118" t="inlineStr"/>
      <c r="C118" t="inlineStr"/>
      <c r="D118" t="inlineStr"/>
    </row>
    <row r="119">
      <c r="A119" t="inlineStr">
        <is>
          <t>ICES</t>
        </is>
      </c>
      <c r="B119" t="inlineStr">
        <is>
          <t>| WGNSSK</t>
        </is>
      </c>
      <c r="C119" t="inlineStr">
        <is>
          <t>2025</t>
        </is>
      </c>
      <c r="D119" t="inlineStr">
        <is>
          <t>| 179</t>
        </is>
      </c>
    </row>
    <row r="120">
      <c r="A120" t="inlineStr">
        <is>
          <t>Year/Age</t>
        </is>
      </c>
      <c r="B120" t="inlineStr">
        <is>
          <t>1 2 3 4 5 6 7+</t>
        </is>
      </c>
      <c r="C120" t="inlineStr"/>
      <c r="D120" t="inlineStr"/>
    </row>
    <row r="121">
      <c r="A121" t="inlineStr">
        <is>
          <t>2001 0.963 0.786 0.332 0.23 0.2 0.2 0.2</t>
        </is>
      </c>
      <c r="B121" t="inlineStr"/>
      <c r="C121" t="inlineStr"/>
      <c r="D121" t="inlineStr"/>
    </row>
    <row r="122">
      <c r="A122" t="inlineStr">
        <is>
          <t>2002 1.033 0.861 0.387 0.238 0.2 0.2 0.2</t>
        </is>
      </c>
      <c r="B122" t="inlineStr"/>
      <c r="C122" t="inlineStr"/>
      <c r="D122" t="inlineStr"/>
    </row>
    <row r="123">
      <c r="A123" t="inlineStr">
        <is>
          <t>2003 1.114 0.952 0.44 0.26 0.2 0.2 0.2</t>
        </is>
      </c>
      <c r="B123" t="inlineStr"/>
      <c r="C123" t="inlineStr"/>
      <c r="D123" t="inlineStr"/>
    </row>
    <row r="124">
      <c r="A124" t="inlineStr">
        <is>
          <t>2004 1.196 1.02 0.476 0.29 0.2 0.2 0.2</t>
        </is>
      </c>
      <c r="B124" t="inlineStr"/>
      <c r="C124" t="inlineStr"/>
      <c r="D124" t="inlineStr"/>
    </row>
    <row r="125">
      <c r="A125" t="inlineStr">
        <is>
          <t>2005 1.254 1.067 0.492 0.272 0.2 0.2 0.2</t>
        </is>
      </c>
      <c r="B125" t="inlineStr"/>
      <c r="C125" t="inlineStr"/>
      <c r="D125" t="inlineStr"/>
    </row>
    <row r="126">
      <c r="A126" t="inlineStr">
        <is>
          <t>2006 1.262 1.069 0.475 0.254 0.2 0.2 0.2</t>
        </is>
      </c>
      <c r="B126" t="inlineStr"/>
      <c r="C126" t="inlineStr"/>
      <c r="D126" t="inlineStr"/>
    </row>
    <row r="127">
      <c r="A127" t="inlineStr">
        <is>
          <t>2007 1.302 1.076 0.47 0.219 0.2 0.2 0.2</t>
        </is>
      </c>
      <c r="B127" t="inlineStr"/>
      <c r="C127" t="inlineStr"/>
      <c r="D127" t="inlineStr"/>
    </row>
    <row r="128">
      <c r="A128" t="inlineStr">
        <is>
          <t>2008 1.328 1.104 0.478 0.238 0.2 0.2 0.2</t>
        </is>
      </c>
      <c r="B128" t="inlineStr"/>
      <c r="C128" t="inlineStr"/>
      <c r="D128" t="inlineStr"/>
    </row>
    <row r="129">
      <c r="A129" t="inlineStr">
        <is>
          <t>2009 1.283 1.091 0.463 0.209 0.2 0.2 0.2</t>
        </is>
      </c>
      <c r="B129" t="inlineStr"/>
      <c r="C129" t="inlineStr"/>
      <c r="D129" t="inlineStr"/>
    </row>
    <row r="130">
      <c r="A130" t="inlineStr">
        <is>
          <t>2010 1.221 1.02 0.438 0.203 0.2 0.2 0.2</t>
        </is>
      </c>
      <c r="B130" t="inlineStr"/>
      <c r="C130" t="inlineStr"/>
      <c r="D130" t="inlineStr"/>
    </row>
    <row r="131">
      <c r="A131" t="inlineStr">
        <is>
          <t>2011 1.28 1.054 0.42 0.202 0.2 0.2 0.2</t>
        </is>
      </c>
      <c r="B131" t="inlineStr"/>
      <c r="C131" t="inlineStr"/>
      <c r="D131" t="inlineStr"/>
    </row>
    <row r="132">
      <c r="A132" t="inlineStr">
        <is>
          <t>2012 1.33 1.097 0.501 0.202 0.2 0.2 0.2</t>
        </is>
      </c>
      <c r="B132" t="inlineStr"/>
      <c r="C132" t="inlineStr"/>
      <c r="D132" t="inlineStr"/>
    </row>
    <row r="133">
      <c r="A133" t="inlineStr">
        <is>
          <t>2013 1.323 1.099 0.496 0.205 0.201 0.2 0.2</t>
        </is>
      </c>
      <c r="B133" t="inlineStr"/>
      <c r="C133" t="inlineStr"/>
      <c r="D133" t="inlineStr"/>
    </row>
    <row r="134">
      <c r="A134" t="inlineStr">
        <is>
          <t>2014 1.269 1.056 0.481 0.207 0.202 0.2 0.2</t>
        </is>
      </c>
      <c r="B134" t="inlineStr"/>
      <c r="C134" t="inlineStr"/>
      <c r="D134" t="inlineStr"/>
    </row>
    <row r="135">
      <c r="A135" t="inlineStr">
        <is>
          <t>2015 1.282 1.057 0.492 0.218 0.204 0.201 0.2</t>
        </is>
      </c>
      <c r="B135" t="inlineStr"/>
      <c r="C135" t="inlineStr"/>
      <c r="D135" t="inlineStr"/>
    </row>
    <row r="136">
      <c r="A136" t="inlineStr">
        <is>
          <t>2016 1.281 1.049 0.468 0.26 0.202 0.2 0.2</t>
        </is>
      </c>
      <c r="B136" t="inlineStr"/>
      <c r="C136" t="inlineStr"/>
      <c r="D136" t="inlineStr"/>
    </row>
    <row r="137">
      <c r="A137" t="inlineStr">
        <is>
          <t>2017 1.239 1.013 0.431 0.249 0.203 0.2 0.2</t>
        </is>
      </c>
      <c r="B137" t="inlineStr"/>
      <c r="C137" t="inlineStr"/>
      <c r="D137" t="inlineStr"/>
    </row>
    <row r="138">
      <c r="A138" t="inlineStr">
        <is>
          <t>2018 1.303 1.054 0.462 0.258 0.201 0.2 0.2</t>
        </is>
      </c>
      <c r="B138" t="inlineStr"/>
      <c r="C138" t="inlineStr"/>
      <c r="D138" t="inlineStr"/>
    </row>
    <row r="139">
      <c r="A139" t="inlineStr">
        <is>
          <t>2019 1.253 1.015 0.455 0.262 0.2 0.2 0.2</t>
        </is>
      </c>
      <c r="B139" t="inlineStr"/>
      <c r="C139" t="inlineStr"/>
      <c r="D139" t="inlineStr"/>
    </row>
    <row r="140">
      <c r="A140" t="inlineStr">
        <is>
          <t>2020 1.186 0.952 0.446 0.245 0.2 0.2 0.2</t>
        </is>
      </c>
      <c r="B140" t="inlineStr"/>
      <c r="C140" t="inlineStr"/>
      <c r="D140" t="inlineStr"/>
    </row>
    <row r="141">
      <c r="A141" t="inlineStr">
        <is>
          <t>2021 1.234 0.968 0.481 0.225 0.2 0.2 0.2</t>
        </is>
      </c>
      <c r="B141" t="inlineStr"/>
      <c r="C141" t="inlineStr"/>
      <c r="D141" t="inlineStr"/>
    </row>
    <row r="142">
      <c r="A142" t="inlineStr">
        <is>
          <t>2022 1.315 1.02 0.523 0.26 0.201 0.2 0.2</t>
        </is>
      </c>
      <c r="B142" t="inlineStr"/>
      <c r="C142" t="inlineStr"/>
      <c r="D142" t="inlineStr"/>
    </row>
    <row r="143">
      <c r="A143" t="inlineStr">
        <is>
          <t>2023 1.31 1.011 0.509 0.259 0.204 0.201 0.201</t>
        </is>
      </c>
      <c r="B143" t="inlineStr"/>
      <c r="C143" t="inlineStr"/>
      <c r="D143" t="inlineStr"/>
    </row>
    <row r="144">
      <c r="A144" t="inlineStr">
        <is>
          <t>2024 1.313 1.005 0.5 0.258 0.208 0.202 0.201</t>
        </is>
      </c>
      <c r="B144" t="inlineStr"/>
      <c r="C144" t="inlineStr"/>
      <c r="D144" t="inlineStr"/>
    </row>
    <row r="145">
      <c r="A145" t="inlineStr">
        <is>
          <t>2025 1.31 1.012 0.489 0.256 0.211 0.203 0.202</t>
        </is>
      </c>
      <c r="B145" t="inlineStr"/>
      <c r="C145" t="inlineStr"/>
      <c r="D145" t="inlineStr"/>
    </row>
    <row r="146">
      <c r="A146" t="inlineStr">
        <is>
          <t>180 | ICES</t>
        </is>
      </c>
      <c r="B146" t="inlineStr">
        <is>
          <t>SCIENTIFIC REPORTS</t>
        </is>
      </c>
      <c r="C146" t="inlineStr">
        <is>
          <t>6:38 | ICES</t>
        </is>
      </c>
      <c r="D14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</row>
    <row r="2">
      <c r="A2" t="inlineStr">
        <is>
          <t>upper bounds of the pointwise 95% confidence intervals. Estimated recruitment, total stock biomass (TSB), spawning stock biomass (SSB), catches and average fishing mortality for ages 2 to</t>
        </is>
      </c>
      <c r="B2" t="inlineStr"/>
      <c r="C2" t="inlineStr"/>
      <c r="D2" t="inlineStr"/>
      <c r="E2" t="inlineStr"/>
      <c r="F2" t="inlineStr"/>
    </row>
    <row r="3">
      <c r="A3" t="inlineStr">
        <is>
          <t>4 (Fbar 2 –4).</t>
        </is>
      </c>
      <c r="B3" t="inlineStr"/>
      <c r="C3" t="inlineStr"/>
      <c r="D3" t="inlineStr"/>
      <c r="E3" t="inlineStr"/>
      <c r="F3" t="inlineStr"/>
    </row>
    <row r="4">
      <c r="A4" t="inlineStr">
        <is>
          <t>Northwest ern</t>
        </is>
      </c>
      <c r="B4" t="inlineStr"/>
      <c r="C4" t="inlineStr"/>
      <c r="D4" t="inlineStr"/>
      <c r="E4" t="inlineStr"/>
      <c r="F4" t="inlineStr"/>
    </row>
    <row r="5">
      <c r="A5" t="inlineStr">
        <is>
          <t>Year</t>
        </is>
      </c>
      <c r="B5" t="inlineStr">
        <is>
          <t>R(age 1)</t>
        </is>
      </c>
      <c r="C5" t="inlineStr"/>
      <c r="D5" t="inlineStr"/>
      <c r="E5" t="inlineStr"/>
      <c r="F5" t="inlineStr"/>
    </row>
    <row r="6">
      <c r="A6" t="inlineStr">
        <is>
          <t>('000) Low</t>
        </is>
      </c>
      <c r="B6" t="inlineStr">
        <is>
          <t>High</t>
        </is>
      </c>
      <c r="C6" t="inlineStr">
        <is>
          <t>TSB</t>
        </is>
      </c>
      <c r="D6" t="inlineStr"/>
      <c r="E6" t="inlineStr"/>
      <c r="F6" t="inlineStr"/>
    </row>
    <row r="7">
      <c r="A7" t="inlineStr">
        <is>
          <t>(tonnes) Low</t>
        </is>
      </c>
      <c r="B7" t="inlineStr">
        <is>
          <t>High</t>
        </is>
      </c>
      <c r="C7" t="inlineStr">
        <is>
          <t>SSB</t>
        </is>
      </c>
      <c r="D7" t="inlineStr"/>
      <c r="E7" t="inlineStr"/>
      <c r="F7" t="inlineStr"/>
    </row>
    <row r="8">
      <c r="A8" t="inlineStr">
        <is>
          <t>(tonnes) Low</t>
        </is>
      </c>
      <c r="B8" t="inlineStr">
        <is>
          <t>High</t>
        </is>
      </c>
      <c r="C8" t="inlineStr">
        <is>
          <t>Catches</t>
        </is>
      </c>
      <c r="D8" t="inlineStr"/>
      <c r="E8" t="inlineStr"/>
      <c r="F8" t="inlineStr"/>
    </row>
    <row r="9">
      <c r="A9" t="inlineStr">
        <is>
          <t>(tonnes) Low</t>
        </is>
      </c>
      <c r="B9" t="inlineStr">
        <is>
          <t>High</t>
        </is>
      </c>
      <c r="C9" t="inlineStr">
        <is>
          <t>Fbar (2 -4) Low</t>
        </is>
      </c>
      <c r="D9" t="inlineStr">
        <is>
          <t>High</t>
        </is>
      </c>
      <c r="E9" t="inlineStr"/>
      <c r="F9" t="inlineStr"/>
    </row>
    <row r="10">
      <c r="A10" t="inlineStr">
        <is>
          <t>1983 485860 323206 730369 213911 155684 293914 56820 40744 79240 124015 85932 178975 0.813 0.714 0.927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1984 705249 419273 1186282 208614 157590 276159 52638 37888 73129 146872 102891 209654 0.941 0.787 1.124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1985 217360 134176 352117 191879 149309 246586 51346 38031 69324 134546 100901 179409 0.942 0.798 1.112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1986 617300 379906 1003035 167019 131144 212707 35453 26794 46911 108884 79800 148567 0.979 0.832 1.152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1987 368304 233169 581758 175505 137341 224274 47717 35989 63267 120948 88989 164385 0.934 0.793 1.101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1988 141601 89905 223022 150370 117361 192663 36909 28212 48287 91109 69330 119729 0.878 0.743 1.039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1989 501989 319239 789355 140596 110644 178655 60205 47011 77104 91924 67541 125110 0.95 0.806 1.12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1990 154300 98139 242601 132463 103216 169998 43660 33281 57276 87320 65793 115892 1.021 0.865 1.204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1991 221082 141542 345321 104233 82216 132145 42593 32470 55871 66249 50880 86261 0.995 0.848 1.167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1992 530724 350625 803332 116442 91393 148357 55451 42951 71590 81465 58306 113824 0.93 0.794 1.088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1993 247560 167213 366515 131756 102773 168913 53664 41570 69276 94026 70389 125600 0.933 0.791 1.1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1994 528984 332144 842480 122581 96446 155797 65462 50598 84693 88511 66163 118408 0.938 0.8 1.099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1995 317602 207739 485567 129433 101568 164944 49869 38150 65187 111288 82909 149381 1.047 0.896 1.224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1996 158151 103184 242400 116918 91952 148663 56598 44051 72719 85989 66244 111619 1.085 0.927 1.27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1997 597300 388674 917907 93404 73646 118462 55682 42728 72564 75848 54494 105571 1.006 0.859 1.179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ICES</t>
        </is>
      </c>
      <c r="B25" t="inlineStr">
        <is>
          <t>| WGNSSK</t>
        </is>
      </c>
      <c r="C25" t="inlineStr">
        <is>
          <t>2025</t>
        </is>
      </c>
      <c r="D25" t="inlineStr">
        <is>
          <t>| 181</t>
        </is>
      </c>
      <c r="E25" t="inlineStr"/>
      <c r="F25" t="inlineStr"/>
    </row>
    <row r="26">
      <c r="A26" t="inlineStr">
        <is>
          <t>Year</t>
        </is>
      </c>
      <c r="B26" t="inlineStr">
        <is>
          <t>R(age 1)</t>
        </is>
      </c>
      <c r="C26" t="inlineStr"/>
      <c r="D26" t="inlineStr"/>
      <c r="E26" t="inlineStr"/>
      <c r="F26" t="inlineStr"/>
    </row>
    <row r="27">
      <c r="A27" t="inlineStr">
        <is>
          <t>('000) Low</t>
        </is>
      </c>
      <c r="B27" t="inlineStr">
        <is>
          <t>High</t>
        </is>
      </c>
      <c r="C27" t="inlineStr">
        <is>
          <t>TSB</t>
        </is>
      </c>
      <c r="D27" t="inlineStr"/>
      <c r="E27" t="inlineStr"/>
      <c r="F27" t="inlineStr"/>
    </row>
    <row r="28">
      <c r="A28" t="inlineStr">
        <is>
          <t>(tonnes) Low</t>
        </is>
      </c>
      <c r="B28" t="inlineStr">
        <is>
          <t>High</t>
        </is>
      </c>
      <c r="C28" t="inlineStr">
        <is>
          <t>SSB</t>
        </is>
      </c>
      <c r="D28" t="inlineStr"/>
      <c r="E28" t="inlineStr"/>
      <c r="F28" t="inlineStr"/>
    </row>
    <row r="29">
      <c r="A29" t="inlineStr">
        <is>
          <t>(tonnes) Low</t>
        </is>
      </c>
      <c r="B29" t="inlineStr">
        <is>
          <t>High</t>
        </is>
      </c>
      <c r="C29" t="inlineStr">
        <is>
          <t>Catches</t>
        </is>
      </c>
      <c r="D29" t="inlineStr"/>
      <c r="E29" t="inlineStr"/>
      <c r="F29" t="inlineStr"/>
    </row>
    <row r="30">
      <c r="A30" t="inlineStr">
        <is>
          <t>(tonnes) Low</t>
        </is>
      </c>
      <c r="B30" t="inlineStr">
        <is>
          <t>High</t>
        </is>
      </c>
      <c r="C30" t="inlineStr">
        <is>
          <t>Fbar (2 -4) Low</t>
        </is>
      </c>
      <c r="D30" t="inlineStr">
        <is>
          <t>High</t>
        </is>
      </c>
      <c r="E30" t="inlineStr"/>
      <c r="F30" t="inlineStr"/>
    </row>
    <row r="31">
      <c r="A31" t="inlineStr">
        <is>
          <t>1998 68584 45089 104321 94456 73624 121181 41750 32326 53920 67481 50630 89939 1.09 0.94 1.263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1999 96646 61569 151706 56575 44870 71333 33372 26137 42608 39227 30910 49781 1.112 0.96 1.288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2000 200838 133015 303242 54978 43235 69911 28028 21925 35831 33858 25591 44796 1.067 0.919 1.239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2001 65633 42515 101321 52219 40746 66923 22924 17979 29229 28476 21910 37009 0.928 0.797 1.08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2002 96320 61303 151340 45819 36024 58279 25377 19625 32814 23277 18124 29895 0.899 0.767 1.054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2003 56697 36897 87123 37256 29249 47454 20401 15862 26238 18364 14205 23739 0.832 0.704 0.983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2004 86786 55340 136102 31422 24512 40279 18797 14483 24395 13026 10053 16878 0.808 0.683 0.956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2005 71474 44958 113631 27967 21504 36374 15020 11507 19604 12544 9471 16614 0.725 0.611 0.86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2006 270473 182421 401026 40573 30489 53993 17350 13205 22796 11712 8517 16107 0.662 0.549 0.798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2007 87319 55300 137879 53507 40806 70163 21303 16399 27673 22476 16597 30438 0.622 0.517 0.748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2008 97619 63227 150718 54377 42185 70091 33076 25352 43153 23267 17726 30540 0.664 0.553 0.797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2009 171864 115944 254753 51514 40317 65820 26261 20073 34358 21786 16778 28289 0.609 0.51 0.727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2010 212578 147094 307214 70847 55731 90063 33733 26341 43200 23983 18638 30862 0.558 0.466 0.668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2011 95756 64607 141924 79553 62885 100641 41260 32338 52643 26881 20976 34447 0.489 0.406 0.59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2012 147506 97531 223090 86521 68899 108650 53279 42123 67389 28630 22414 36570 0.486 0.403 0.586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2013 202760 137956 298008 95221 75764 119675 63564 50269 80375 28694 22575 36473 0.463 0.384 0.557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2014 249065 170981 362811 100448 79850 126360 48910 38470 62182 29288 22941 37392 0.418 0.345 0.505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2015 154181 107580 220967 115800 92419 145095 64353 51074 81085 34524 27114 43957 0.421 0.346 0.511</t>
        </is>
      </c>
      <c r="B48" t="inlineStr"/>
      <c r="C48" t="inlineStr"/>
      <c r="D48" t="inlineStr"/>
      <c r="E48" t="inlineStr"/>
      <c r="F48" t="inlineStr"/>
    </row>
    <row r="49">
      <c r="A49" t="inlineStr">
        <is>
          <t>182 | ICES</t>
        </is>
      </c>
      <c r="B49" t="inlineStr">
        <is>
          <t>SCIENTIFIC REPORTS</t>
        </is>
      </c>
      <c r="C49" t="inlineStr">
        <is>
          <t>6:38 | ICES</t>
        </is>
      </c>
      <c r="D49" t="inlineStr"/>
      <c r="E49" t="inlineStr"/>
      <c r="F49" t="inlineStr"/>
    </row>
    <row r="50">
      <c r="A50" t="inlineStr">
        <is>
          <t>Year</t>
        </is>
      </c>
      <c r="B50" t="inlineStr">
        <is>
          <t>R(age 1)</t>
        </is>
      </c>
      <c r="C50" t="inlineStr"/>
      <c r="D50" t="inlineStr"/>
      <c r="E50" t="inlineStr"/>
      <c r="F50" t="inlineStr"/>
    </row>
    <row r="51">
      <c r="A51" t="inlineStr">
        <is>
          <t>('000) Low</t>
        </is>
      </c>
      <c r="B51" t="inlineStr">
        <is>
          <t>High</t>
        </is>
      </c>
      <c r="C51" t="inlineStr">
        <is>
          <t>TSB</t>
        </is>
      </c>
      <c r="D51" t="inlineStr"/>
      <c r="E51" t="inlineStr"/>
      <c r="F51" t="inlineStr"/>
    </row>
    <row r="52">
      <c r="A52" t="inlineStr">
        <is>
          <t>(tonnes) Low</t>
        </is>
      </c>
      <c r="B52" t="inlineStr">
        <is>
          <t>High</t>
        </is>
      </c>
      <c r="C52" t="inlineStr">
        <is>
          <t>SSB</t>
        </is>
      </c>
      <c r="D52" t="inlineStr"/>
      <c r="E52" t="inlineStr"/>
      <c r="F52" t="inlineStr"/>
    </row>
    <row r="53">
      <c r="A53" t="inlineStr">
        <is>
          <t>(tonnes) Low</t>
        </is>
      </c>
      <c r="B53" t="inlineStr">
        <is>
          <t>High</t>
        </is>
      </c>
      <c r="C53" t="inlineStr">
        <is>
          <t>Catches</t>
        </is>
      </c>
      <c r="D53" t="inlineStr"/>
      <c r="E53" t="inlineStr"/>
      <c r="F53" t="inlineStr"/>
    </row>
    <row r="54">
      <c r="A54" t="inlineStr">
        <is>
          <t>(tonnes) Low</t>
        </is>
      </c>
      <c r="B54" t="inlineStr">
        <is>
          <t>High</t>
        </is>
      </c>
      <c r="C54" t="inlineStr">
        <is>
          <t>Fbar (2 -4) Low</t>
        </is>
      </c>
      <c r="D54" t="inlineStr">
        <is>
          <t>High</t>
        </is>
      </c>
      <c r="E54" t="inlineStr"/>
      <c r="F54" t="inlineStr"/>
    </row>
    <row r="55">
      <c r="A55" t="inlineStr">
        <is>
          <t>2016 100262 69397 144854 118314 94370 148333 67447 53064 85727 41563 32711 52811 0.47 0.39 0.567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2017 271091 189262 388300 111208 88915 139091 73516 57669 93718 43004 33779 54749 0.57 0.474 0.684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2018 64727 44526 94093 81842 65628 102061 49653 39100 63053 36324 28553 46211 0.649 0.535 0.787</t>
        </is>
      </c>
      <c r="B57" t="inlineStr"/>
      <c r="C57" t="inlineStr"/>
      <c r="D57" t="inlineStr"/>
      <c r="E57" t="inlineStr"/>
      <c r="F57" t="inlineStr"/>
    </row>
    <row r="58">
      <c r="A58" t="inlineStr">
        <is>
          <t>2019 138905 97321 198257 57916 46511 72117 38688 30493 49086 25063 19925 31527 0.563 0.471 0.674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2020 176537 120094 259509 63494 50972 79092 33617 26742 42260 17752 14042 22442 0.446 0.37 0.538</t>
        </is>
      </c>
      <c r="B59" t="inlineStr"/>
      <c r="C59" t="inlineStr"/>
      <c r="D59" t="inlineStr"/>
      <c r="E59" t="inlineStr"/>
      <c r="F59" t="inlineStr"/>
    </row>
    <row r="60">
      <c r="A60" t="inlineStr">
        <is>
          <t>2021 128521 89414 184732 75446 60732 93725 36764 29399 45975 20901 16240 26900 0.364 0.296 0.449</t>
        </is>
      </c>
      <c r="B60" t="inlineStr"/>
      <c r="C60" t="inlineStr"/>
      <c r="D60" t="inlineStr"/>
      <c r="E60" t="inlineStr"/>
      <c r="F60" t="inlineStr"/>
    </row>
    <row r="61">
      <c r="A61" t="inlineStr">
        <is>
          <t>2022 152396 102362 226885 87241 70090 108590 58054 46326 72751 21992 17121 28248 0.354 0.287 0.436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2023 106626 70773 160641 88504 71286 109879 56714 45266 71058 26856 20949 34430 0.392 0.315 0.489</t>
        </is>
      </c>
      <c r="B62" t="inlineStr"/>
      <c r="C62" t="inlineStr"/>
      <c r="D62" t="inlineStr"/>
      <c r="E62" t="inlineStr"/>
      <c r="F62" t="inlineStr"/>
    </row>
    <row r="63">
      <c r="A63" t="inlineStr">
        <is>
          <t>2024 39135 24292 63050 67800 54138 84909 44308 34769 56465 24957 19228 32391 0.419 0.317 0.554</t>
        </is>
      </c>
      <c r="B63" t="inlineStr"/>
      <c r="C63" t="inlineStr"/>
      <c r="D63" t="inlineStr"/>
      <c r="E63" t="inlineStr"/>
      <c r="F63" t="inlineStr"/>
    </row>
    <row r="64">
      <c r="A64" t="inlineStr">
        <is>
          <t>2025 64887 20866 201786 56027 41815 75068 40171 29899 53973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Southern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Year</t>
        </is>
      </c>
      <c r="B66" t="inlineStr">
        <is>
          <t>R(age 1)</t>
        </is>
      </c>
      <c r="C66" t="inlineStr"/>
      <c r="D66" t="inlineStr"/>
      <c r="E66" t="inlineStr"/>
      <c r="F66" t="inlineStr"/>
    </row>
    <row r="67">
      <c r="A67" t="inlineStr">
        <is>
          <t>('000) Low</t>
        </is>
      </c>
      <c r="B67" t="inlineStr">
        <is>
          <t>High</t>
        </is>
      </c>
      <c r="C67" t="inlineStr">
        <is>
          <t>TSB</t>
        </is>
      </c>
      <c r="D67" t="inlineStr"/>
      <c r="E67" t="inlineStr"/>
      <c r="F67" t="inlineStr"/>
    </row>
    <row r="68">
      <c r="A68" t="inlineStr">
        <is>
          <t>(tonnes) Low</t>
        </is>
      </c>
      <c r="B68" t="inlineStr">
        <is>
          <t>High</t>
        </is>
      </c>
      <c r="C68" t="inlineStr">
        <is>
          <t>SSB</t>
        </is>
      </c>
      <c r="D68" t="inlineStr"/>
      <c r="E68" t="inlineStr"/>
      <c r="F68" t="inlineStr"/>
    </row>
    <row r="69">
      <c r="A69" t="inlineStr">
        <is>
          <t>(tonnes) Low</t>
        </is>
      </c>
      <c r="B69" t="inlineStr">
        <is>
          <t>High</t>
        </is>
      </c>
      <c r="C69" t="inlineStr">
        <is>
          <t>Catches</t>
        </is>
      </c>
      <c r="D69" t="inlineStr"/>
      <c r="E69" t="inlineStr"/>
      <c r="F69" t="inlineStr"/>
    </row>
    <row r="70">
      <c r="A70" t="inlineStr">
        <is>
          <t>(tonnes) Low</t>
        </is>
      </c>
      <c r="B70" t="inlineStr">
        <is>
          <t>High</t>
        </is>
      </c>
      <c r="C70" t="inlineStr">
        <is>
          <t>Fbar (2 -4) Low</t>
        </is>
      </c>
      <c r="D70" t="inlineStr">
        <is>
          <t>High</t>
        </is>
      </c>
      <c r="E70" t="inlineStr"/>
      <c r="F70" t="inlineStr"/>
    </row>
    <row r="71">
      <c r="A71" t="inlineStr">
        <is>
          <t>1983 318785 198367 512301 115229 80388 165170 17379 10871 27782 75591 48489 117838 1.139 0.935 1.387</t>
        </is>
      </c>
      <c r="B71" t="inlineStr"/>
      <c r="C71" t="inlineStr"/>
      <c r="D71" t="inlineStr"/>
      <c r="E71" t="inlineStr"/>
      <c r="F71" t="inlineStr"/>
    </row>
    <row r="72">
      <c r="A72" t="inlineStr">
        <is>
          <t>1984 686071 385711 1220325 134977 93892 194040 17100 10981 26626 104037 64797 167038 1.336 1.073 1.664</t>
        </is>
      </c>
      <c r="B72" t="inlineStr"/>
      <c r="C72" t="inlineStr"/>
      <c r="D72" t="inlineStr"/>
      <c r="E72" t="inlineStr"/>
      <c r="F72" t="inlineStr"/>
    </row>
    <row r="73">
      <c r="A73" t="inlineStr">
        <is>
          <t>1985 135121 77294 236211 128524 87495 188793 20485 13293 31569 98343 64452 150054 1.334 1.08 1.648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1986 831514 490710 1409011 109762 76593 157293 19619 12923 29785 89346 54103 147547 1.371 1.108 1.697</t>
        </is>
      </c>
      <c r="B74" t="inlineStr"/>
      <c r="C74" t="inlineStr"/>
      <c r="D74" t="inlineStr"/>
      <c r="E74" t="inlineStr"/>
      <c r="F74" t="inlineStr"/>
    </row>
    <row r="75">
      <c r="A75" t="inlineStr">
        <is>
          <t>1987 325646 196824 538782 152681 104917 222189 15083 9310 24436 123303 80671 188465 1.291 1.046 1.593</t>
        </is>
      </c>
      <c r="B75" t="inlineStr"/>
      <c r="C75" t="inlineStr"/>
      <c r="D75" t="inlineStr"/>
      <c r="E75" t="inlineStr"/>
      <c r="F75" t="inlineStr"/>
    </row>
    <row r="76">
      <c r="A76" t="inlineStr">
        <is>
          <t>ICES</t>
        </is>
      </c>
      <c r="B76" t="inlineStr">
        <is>
          <t>| WGNSSK</t>
        </is>
      </c>
      <c r="C76" t="inlineStr">
        <is>
          <t>2025</t>
        </is>
      </c>
      <c r="D76" t="inlineStr">
        <is>
          <t>| 183</t>
        </is>
      </c>
      <c r="E76" t="inlineStr"/>
      <c r="F76" t="inlineStr"/>
    </row>
    <row r="77">
      <c r="A77" t="inlineStr">
        <is>
          <t>Year</t>
        </is>
      </c>
      <c r="B77" t="inlineStr">
        <is>
          <t>R(age 1)</t>
        </is>
      </c>
      <c r="C77" t="inlineStr"/>
      <c r="D77" t="inlineStr"/>
      <c r="E77" t="inlineStr"/>
      <c r="F77" t="inlineStr"/>
    </row>
    <row r="78">
      <c r="A78" t="inlineStr">
        <is>
          <t>('000) Low</t>
        </is>
      </c>
      <c r="B78" t="inlineStr">
        <is>
          <t>High</t>
        </is>
      </c>
      <c r="C78" t="inlineStr">
        <is>
          <t>TSB</t>
        </is>
      </c>
      <c r="D78" t="inlineStr"/>
      <c r="E78" t="inlineStr"/>
      <c r="F78" t="inlineStr"/>
    </row>
    <row r="79">
      <c r="A79" t="inlineStr">
        <is>
          <t>(tonnes) Low</t>
        </is>
      </c>
      <c r="B79" t="inlineStr">
        <is>
          <t>High</t>
        </is>
      </c>
      <c r="C79" t="inlineStr">
        <is>
          <t>SSB</t>
        </is>
      </c>
      <c r="D79" t="inlineStr"/>
      <c r="E79" t="inlineStr"/>
      <c r="F79" t="inlineStr"/>
    </row>
    <row r="80">
      <c r="A80" t="inlineStr">
        <is>
          <t>(tonnes) Low</t>
        </is>
      </c>
      <c r="B80" t="inlineStr">
        <is>
          <t>High</t>
        </is>
      </c>
      <c r="C80" t="inlineStr">
        <is>
          <t>Catches</t>
        </is>
      </c>
      <c r="D80" t="inlineStr"/>
      <c r="E80" t="inlineStr"/>
      <c r="F80" t="inlineStr"/>
    </row>
    <row r="81">
      <c r="A81" t="inlineStr">
        <is>
          <t>(tonnes) Low</t>
        </is>
      </c>
      <c r="B81" t="inlineStr">
        <is>
          <t>High</t>
        </is>
      </c>
      <c r="C81" t="inlineStr">
        <is>
          <t>Fbar (2 -4) Low</t>
        </is>
      </c>
      <c r="D81" t="inlineStr">
        <is>
          <t>High</t>
        </is>
      </c>
      <c r="E81" t="inlineStr"/>
      <c r="F81" t="inlineStr"/>
    </row>
    <row r="82">
      <c r="A82" t="inlineStr">
        <is>
          <t>1988 243076 151562 389845 129289 92605 180505 20382 13606 30533 87058 61471 123295 1.203 0.973 1.487</t>
        </is>
      </c>
      <c r="B82" t="inlineStr"/>
      <c r="C82" t="inlineStr"/>
      <c r="D82" t="inlineStr"/>
      <c r="E82" t="inlineStr"/>
      <c r="F82" t="inlineStr"/>
    </row>
    <row r="83">
      <c r="A83" t="inlineStr">
        <is>
          <t>1989 300883 174361 519214 113810 83174 155729 32640 22701 46931 77472 54490 110147 1.296 1.055 1.592</t>
        </is>
      </c>
      <c r="B83" t="inlineStr"/>
      <c r="C83" t="inlineStr"/>
      <c r="D83" t="inlineStr"/>
      <c r="E83" t="inlineStr"/>
      <c r="F83" t="inlineStr"/>
    </row>
    <row r="84">
      <c r="A84" t="inlineStr">
        <is>
          <t>1990 133075 78186 226498 97359 69066 137243 28992 19872 42298 61194 42588 87927 1.403 1.134 1.736</t>
        </is>
      </c>
      <c r="B84" t="inlineStr"/>
      <c r="C84" t="inlineStr"/>
      <c r="D84" t="inlineStr"/>
      <c r="E84" t="inlineStr"/>
      <c r="F84" t="inlineStr"/>
    </row>
    <row r="85">
      <c r="A85" t="inlineStr">
        <is>
          <t>1991 137714 79070 239855 62343 44493 87355 26916 18046 40146 43988 30730 62966 1.351 1.096 1.666</t>
        </is>
      </c>
      <c r="B85" t="inlineStr"/>
      <c r="C85" t="inlineStr"/>
      <c r="D85" t="inlineStr"/>
      <c r="E85" t="inlineStr"/>
      <c r="F85" t="inlineStr"/>
    </row>
    <row r="86">
      <c r="A86" t="inlineStr">
        <is>
          <t>1992 245280 140134 429321 52246 36591 74601 22113 14518 33683 45904 29481 71478 1.233 0.999 1.522</t>
        </is>
      </c>
      <c r="B86" t="inlineStr"/>
      <c r="C86" t="inlineStr"/>
      <c r="D86" t="inlineStr"/>
      <c r="E86" t="inlineStr"/>
      <c r="F86" t="inlineStr"/>
    </row>
    <row r="87">
      <c r="A87" t="inlineStr">
        <is>
          <t>1993 169948 107473 268742 63406 43900 91579 16533 10767 25389 47689 31793 71532 1.202 0.972 1.487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1994 420627 252824 699800 63551 45854 88078 20732 13807 31130 53790 35966 80448 1.184 0.959 1.463</t>
        </is>
      </c>
      <c r="B88" t="inlineStr"/>
      <c r="C88" t="inlineStr"/>
      <c r="D88" t="inlineStr"/>
      <c r="E88" t="inlineStr"/>
      <c r="F88" t="inlineStr"/>
    </row>
    <row r="89">
      <c r="A89" t="inlineStr">
        <is>
          <t>1995 273149 168494 442806 76062 54433 106285 19083 12943 28135 78824 54411 114191 1.309 1.073 1.596</t>
        </is>
      </c>
      <c r="B89" t="inlineStr"/>
      <c r="C89" t="inlineStr"/>
      <c r="D89" t="inlineStr"/>
      <c r="E89" t="inlineStr"/>
      <c r="F89" t="inlineStr"/>
    </row>
    <row r="90">
      <c r="A90" t="inlineStr">
        <is>
          <t>1996 220064 143767 336851 71989 51893 99866 20089 13677 29507 70755 51035 98094 1.358 1.118 1.651</t>
        </is>
      </c>
      <c r="B90" t="inlineStr"/>
      <c r="C90" t="inlineStr"/>
      <c r="D90" t="inlineStr"/>
      <c r="E90" t="inlineStr"/>
      <c r="F90" t="inlineStr"/>
    </row>
    <row r="91">
      <c r="A91" t="inlineStr">
        <is>
          <t>1997 585945 374339 917169 65575 47816 89930 21568 14456 32180 72792 49705 106602 1.251 1.034 1.513</t>
        </is>
      </c>
      <c r="B91" t="inlineStr"/>
      <c r="C91" t="inlineStr"/>
      <c r="D91" t="inlineStr"/>
      <c r="E91" t="inlineStr"/>
      <c r="F91" t="inlineStr"/>
    </row>
    <row r="92">
      <c r="A92" t="inlineStr">
        <is>
          <t>1998 57442 35908 91890 87433 61482 124337 18226 12238 27143 72132 50707 102611 1.394 1.16 1.674</t>
        </is>
      </c>
      <c r="B92" t="inlineStr"/>
      <c r="C92" t="inlineStr"/>
      <c r="D92" t="inlineStr"/>
      <c r="E92" t="inlineStr"/>
      <c r="F92" t="inlineStr"/>
    </row>
    <row r="93">
      <c r="A93" t="inlineStr">
        <is>
          <t>1999 122522 75014 200118 63847 46928 86865 32635 22765 46784 38604 28814 51721 1.463 1.217 1.759</t>
        </is>
      </c>
      <c r="B93" t="inlineStr"/>
      <c r="C93" t="inlineStr"/>
      <c r="D93" t="inlineStr"/>
      <c r="E93" t="inlineStr"/>
      <c r="F93" t="inlineStr"/>
    </row>
    <row r="94">
      <c r="A94" t="inlineStr">
        <is>
          <t>2000 115164 69386 191144 42848 31228 58794 20394 14148 29397 30806 22185 42778 1.44 1.187 1.748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2001 69625 44530 108862 34348 24875 47428 13126 9061 19015 21633 15572 30053 1.26 1.027 1.545</t>
        </is>
      </c>
      <c r="B95" t="inlineStr"/>
      <c r="C95" t="inlineStr"/>
      <c r="D95" t="inlineStr"/>
      <c r="E95" t="inlineStr"/>
      <c r="F95" t="inlineStr"/>
    </row>
    <row r="96">
      <c r="A96" t="inlineStr">
        <is>
          <t>2002 143043 92547 221090 38389 28458 51785 19252 13625 27202 18539 13527 25409 1.235 1.009 1.511</t>
        </is>
      </c>
      <c r="B96" t="inlineStr"/>
      <c r="C96" t="inlineStr"/>
      <c r="D96" t="inlineStr"/>
      <c r="E96" t="inlineStr"/>
      <c r="F96" t="inlineStr"/>
    </row>
    <row r="97">
      <c r="A97" t="inlineStr">
        <is>
          <t>2003 50920 31968 81105 38675 28534 52421 17546 12754 24138 19024 14048 25763 1.143 0.925 1.412</t>
        </is>
      </c>
      <c r="B97" t="inlineStr"/>
      <c r="C97" t="inlineStr"/>
      <c r="D97" t="inlineStr"/>
      <c r="E97" t="inlineStr"/>
      <c r="F97" t="inlineStr"/>
    </row>
    <row r="98">
      <c r="A98" t="inlineStr">
        <is>
          <t>2004 89465 54218 147626 27603 20297 37539 16696 11786 23653 13578 10166 18135 1.132 0.903 1.42</t>
        </is>
      </c>
      <c r="B98" t="inlineStr"/>
      <c r="C98" t="inlineStr"/>
      <c r="D98" t="inlineStr"/>
      <c r="E98" t="inlineStr"/>
      <c r="F98" t="inlineStr"/>
    </row>
    <row r="99">
      <c r="A99" t="inlineStr">
        <is>
          <t>2005 92569 58136 147394 26611 18993 37284 14843 10310 21368 12988 9193 18349 1.01 0.797 1.28</t>
        </is>
      </c>
      <c r="B99" t="inlineStr"/>
      <c r="C99" t="inlineStr"/>
      <c r="D99" t="inlineStr"/>
      <c r="E99" t="inlineStr"/>
      <c r="F99" t="inlineStr"/>
    </row>
    <row r="100">
      <c r="A100" t="inlineStr">
        <is>
          <t>184 | ICES</t>
        </is>
      </c>
      <c r="B100" t="inlineStr">
        <is>
          <t>SCIENTIFIC REPORTS</t>
        </is>
      </c>
      <c r="C100" t="inlineStr">
        <is>
          <t>6:38 | ICES</t>
        </is>
      </c>
      <c r="D100" t="inlineStr"/>
      <c r="E100" t="inlineStr"/>
      <c r="F100" t="inlineStr"/>
    </row>
    <row r="101">
      <c r="A101" t="inlineStr">
        <is>
          <t>Year</t>
        </is>
      </c>
      <c r="B101" t="inlineStr">
        <is>
          <t>R(age 1)</t>
        </is>
      </c>
      <c r="C101" t="inlineStr"/>
      <c r="D101" t="inlineStr"/>
      <c r="E101" t="inlineStr"/>
      <c r="F101" t="inlineStr"/>
    </row>
    <row r="102">
      <c r="A102" t="inlineStr">
        <is>
          <t>('000) Low</t>
        </is>
      </c>
      <c r="B102" t="inlineStr">
        <is>
          <t>High</t>
        </is>
      </c>
      <c r="C102" t="inlineStr">
        <is>
          <t>TSB</t>
        </is>
      </c>
      <c r="D102" t="inlineStr"/>
      <c r="E102" t="inlineStr"/>
      <c r="F102" t="inlineStr"/>
    </row>
    <row r="103">
      <c r="A103" t="inlineStr">
        <is>
          <t>(tonnes) Low</t>
        </is>
      </c>
      <c r="B103" t="inlineStr">
        <is>
          <t>High</t>
        </is>
      </c>
      <c r="C103" t="inlineStr">
        <is>
          <t>SSB</t>
        </is>
      </c>
      <c r="D103" t="inlineStr"/>
      <c r="E103" t="inlineStr"/>
      <c r="F103" t="inlineStr"/>
    </row>
    <row r="104">
      <c r="A104" t="inlineStr">
        <is>
          <t>(tonnes) Low</t>
        </is>
      </c>
      <c r="B104" t="inlineStr">
        <is>
          <t>High</t>
        </is>
      </c>
      <c r="C104" t="inlineStr">
        <is>
          <t>Catches</t>
        </is>
      </c>
      <c r="D104" t="inlineStr"/>
      <c r="E104" t="inlineStr"/>
      <c r="F104" t="inlineStr"/>
    </row>
    <row r="105">
      <c r="A105" t="inlineStr">
        <is>
          <t>(tonnes) Low</t>
        </is>
      </c>
      <c r="B105" t="inlineStr">
        <is>
          <t>High</t>
        </is>
      </c>
      <c r="C105" t="inlineStr">
        <is>
          <t>Fbar (2 -4) Low</t>
        </is>
      </c>
      <c r="D105" t="inlineStr">
        <is>
          <t>High</t>
        </is>
      </c>
      <c r="E105" t="inlineStr"/>
      <c r="F105" t="inlineStr"/>
    </row>
    <row r="106">
      <c r="A106" t="inlineStr">
        <is>
          <t>2006 112309 67898 185770 34971 24792 49330 16237 11187 23567 9113 6337 13106 0.925 0.724 1.182</t>
        </is>
      </c>
      <c r="B106" t="inlineStr"/>
      <c r="C106" t="inlineStr"/>
      <c r="D106" t="inlineStr"/>
      <c r="E106" t="inlineStr"/>
      <c r="F106" t="inlineStr"/>
    </row>
    <row r="107">
      <c r="A107" t="inlineStr">
        <is>
          <t>2007 131576 84997 203679 38418 27962 52783 16462 11521 23524 16215 11358 23149 0.879 0.693 1.116</t>
        </is>
      </c>
      <c r="B107" t="inlineStr"/>
      <c r="C107" t="inlineStr"/>
      <c r="D107" t="inlineStr"/>
      <c r="E107" t="inlineStr"/>
      <c r="F107" t="inlineStr"/>
    </row>
    <row r="108">
      <c r="A108" t="inlineStr">
        <is>
          <t>2008 121415 78070 188828 55384 41038 74745 30823 22413 42388 20133 14677 27618 0.971 0.761 1.238</t>
        </is>
      </c>
      <c r="B108" t="inlineStr"/>
      <c r="C108" t="inlineStr"/>
      <c r="D108" t="inlineStr"/>
      <c r="E108" t="inlineStr"/>
      <c r="F108" t="inlineStr"/>
    </row>
    <row r="109">
      <c r="A109" t="inlineStr">
        <is>
          <t>2009 48710 28288 83872 48484 35730 65791 26005 18954 35677 19590 14535 26405 0.919 0.722 1.169</t>
        </is>
      </c>
      <c r="B109" t="inlineStr"/>
      <c r="C109" t="inlineStr"/>
      <c r="D109" t="inlineStr"/>
      <c r="E109" t="inlineStr"/>
      <c r="F109" t="inlineStr"/>
    </row>
    <row r="110">
      <c r="A110" t="inlineStr">
        <is>
          <t>2010 77389 47823 125235 36660 27005 49767 21242 14987 30109 15009 11109 20278 0.873 0.674 1.13</t>
        </is>
      </c>
      <c r="B110" t="inlineStr"/>
      <c r="C110" t="inlineStr"/>
      <c r="D110" t="inlineStr"/>
      <c r="E110" t="inlineStr"/>
      <c r="F110" t="inlineStr"/>
    </row>
    <row r="111">
      <c r="A111" t="inlineStr">
        <is>
          <t>2011 53391 33053 86243 31709 23155 43424 15254 10476 22211 12450 9128 16981 0.778 0.592 1.022</t>
        </is>
      </c>
      <c r="B111" t="inlineStr"/>
      <c r="C111" t="inlineStr"/>
      <c r="D111" t="inlineStr"/>
      <c r="E111" t="inlineStr"/>
      <c r="F111" t="inlineStr"/>
    </row>
    <row r="112">
      <c r="A112" t="inlineStr">
        <is>
          <t>2012 55460 32653 94195 32973 24090 45132 22492 16114 31394 11465 8472 15516 0.783 0.592 1.036</t>
        </is>
      </c>
      <c r="B112" t="inlineStr"/>
      <c r="C112" t="inlineStr"/>
      <c r="D112" t="inlineStr"/>
      <c r="E112" t="inlineStr"/>
      <c r="F112" t="inlineStr"/>
    </row>
    <row r="113">
      <c r="A113" t="inlineStr">
        <is>
          <t>2013 53190 31533 89722 26566 19205 36749 16875 11825 24082 10316 7528 14136 0.754 0.562 1.011</t>
        </is>
      </c>
      <c r="B113" t="inlineStr"/>
      <c r="C113" t="inlineStr"/>
      <c r="D113" t="inlineStr"/>
      <c r="E113" t="inlineStr"/>
      <c r="F113" t="inlineStr"/>
    </row>
    <row r="114">
      <c r="A114" t="inlineStr">
        <is>
          <t>2014 64955 38782 108792 27658 19940 38362 17825 12402 25619 9262 6612 12975 0.681 0.509 0.911</t>
        </is>
      </c>
      <c r="B114" t="inlineStr"/>
      <c r="C114" t="inlineStr"/>
      <c r="D114" t="inlineStr"/>
      <c r="E114" t="inlineStr"/>
      <c r="F114" t="inlineStr"/>
    </row>
    <row r="115">
      <c r="A115" t="inlineStr">
        <is>
          <t>2015 21528 12449 37227 28718 20551 40132 23656 16786 33338 9465 6747 13279 0.689 0.511 0.929</t>
        </is>
      </c>
      <c r="B115" t="inlineStr"/>
      <c r="C115" t="inlineStr"/>
      <c r="D115" t="inlineStr"/>
      <c r="E115" t="inlineStr"/>
      <c r="F115" t="inlineStr"/>
    </row>
    <row r="116">
      <c r="A116" t="inlineStr">
        <is>
          <t>2016 14824 8213 26757 20938 15077 29079 16581 11668 23563 8468 6139 11682 0.765 0.564 1.039</t>
        </is>
      </c>
      <c r="B116" t="inlineStr"/>
      <c r="C116" t="inlineStr"/>
      <c r="D116" t="inlineStr"/>
      <c r="E116" t="inlineStr"/>
      <c r="F116" t="inlineStr"/>
    </row>
    <row r="117">
      <c r="A117" t="inlineStr">
        <is>
          <t>2017 30841 17716 53688 12064 8500 17122 8472 5660 12682 6039 4339 8406 0.905 0.67 1.224</t>
        </is>
      </c>
      <c r="B117" t="inlineStr"/>
      <c r="C117" t="inlineStr"/>
      <c r="D117" t="inlineStr"/>
      <c r="E117" t="inlineStr"/>
      <c r="F117" t="inlineStr"/>
    </row>
    <row r="118">
      <c r="A118" t="inlineStr">
        <is>
          <t>2018 12145 6922 21311 8952 6148 13035 5701 3756 8653 4390 3047 6326 1.011 0.744 1.374</t>
        </is>
      </c>
      <c r="B118" t="inlineStr"/>
      <c r="C118" t="inlineStr"/>
      <c r="D118" t="inlineStr"/>
      <c r="E118" t="inlineStr"/>
      <c r="F118" t="inlineStr"/>
    </row>
    <row r="119">
      <c r="A119" t="inlineStr">
        <is>
          <t>2019 16251 9427 28014 6117 4218 8870 3627 2355 5585 2925 2025 4224 0.847 0.627 1.146</t>
        </is>
      </c>
      <c r="B119" t="inlineStr"/>
      <c r="C119" t="inlineStr"/>
      <c r="D119" t="inlineStr"/>
      <c r="E119" t="inlineStr"/>
      <c r="F119" t="inlineStr"/>
    </row>
    <row r="120">
      <c r="A120" t="inlineStr">
        <is>
          <t>2020 22633 12881 39771 6313 4366 9128 2782 1829 4231 2077 1432 3013 0.655 0.48 0.893</t>
        </is>
      </c>
      <c r="B120" t="inlineStr"/>
      <c r="C120" t="inlineStr"/>
      <c r="D120" t="inlineStr"/>
      <c r="E120" t="inlineStr"/>
      <c r="F120" t="inlineStr"/>
    </row>
    <row r="121">
      <c r="A121" t="inlineStr">
        <is>
          <t>2021 20384 11936 34814 8706 5999 12635 5335 3619 7864 2716 1845 4000 0.528 0.379 0.735</t>
        </is>
      </c>
      <c r="B121" t="inlineStr"/>
      <c r="C121" t="inlineStr"/>
      <c r="D121" t="inlineStr"/>
      <c r="E121" t="inlineStr"/>
      <c r="F121" t="inlineStr"/>
    </row>
    <row r="122">
      <c r="A122" t="inlineStr">
        <is>
          <t>2022 38976 22334 68018 11722 8179 16800 6985 4787 10193 2897 1984 4231 0.504 0.358 0.709</t>
        </is>
      </c>
      <c r="B122" t="inlineStr"/>
      <c r="C122" t="inlineStr"/>
      <c r="D122" t="inlineStr"/>
      <c r="E122" t="inlineStr"/>
      <c r="F122" t="inlineStr"/>
    </row>
    <row r="123">
      <c r="A123" t="inlineStr">
        <is>
          <t>2023 28374 15350 52446 13936 9591 20250 8504 5826 12412 3923 2700 5700 0.561 0.392 0.802</t>
        </is>
      </c>
      <c r="B123" t="inlineStr"/>
      <c r="C123" t="inlineStr"/>
      <c r="D123" t="inlineStr"/>
      <c r="E123" t="inlineStr"/>
      <c r="F123" t="inlineStr"/>
    </row>
    <row r="124">
      <c r="A124" t="inlineStr">
        <is>
          <t>ICES</t>
        </is>
      </c>
      <c r="B124" t="inlineStr">
        <is>
          <t>| WGNSSK</t>
        </is>
      </c>
      <c r="C124" t="inlineStr">
        <is>
          <t>2025</t>
        </is>
      </c>
      <c r="D124" t="inlineStr">
        <is>
          <t>| 185</t>
        </is>
      </c>
      <c r="E124" t="inlineStr"/>
      <c r="F124" t="inlineStr"/>
    </row>
    <row r="125">
      <c r="A125" t="inlineStr">
        <is>
          <t>Year</t>
        </is>
      </c>
      <c r="B125" t="inlineStr">
        <is>
          <t>R(age 1)</t>
        </is>
      </c>
      <c r="C125" t="inlineStr"/>
      <c r="D125" t="inlineStr"/>
      <c r="E125" t="inlineStr"/>
      <c r="F125" t="inlineStr"/>
    </row>
    <row r="126">
      <c r="A126" t="inlineStr">
        <is>
          <t>('000) Low</t>
        </is>
      </c>
      <c r="B126" t="inlineStr">
        <is>
          <t>High</t>
        </is>
      </c>
      <c r="C126" t="inlineStr">
        <is>
          <t>TSB</t>
        </is>
      </c>
      <c r="D126" t="inlineStr"/>
      <c r="E126" t="inlineStr"/>
      <c r="F126" t="inlineStr"/>
    </row>
    <row r="127">
      <c r="A127" t="inlineStr">
        <is>
          <t>(tonnes) Low</t>
        </is>
      </c>
      <c r="B127" t="inlineStr">
        <is>
          <t>High</t>
        </is>
      </c>
      <c r="C127" t="inlineStr">
        <is>
          <t>SSB</t>
        </is>
      </c>
      <c r="D127" t="inlineStr"/>
      <c r="E127" t="inlineStr"/>
      <c r="F127" t="inlineStr"/>
    </row>
    <row r="128">
      <c r="A128" t="inlineStr">
        <is>
          <t>(tonnes) Low</t>
        </is>
      </c>
      <c r="B128" t="inlineStr">
        <is>
          <t>High</t>
        </is>
      </c>
      <c r="C128" t="inlineStr">
        <is>
          <t>Catches</t>
        </is>
      </c>
      <c r="D128" t="inlineStr"/>
      <c r="E128" t="inlineStr"/>
      <c r="F128" t="inlineStr"/>
    </row>
    <row r="129">
      <c r="A129" t="inlineStr">
        <is>
          <t>(tonnes) Low</t>
        </is>
      </c>
      <c r="B129" t="inlineStr">
        <is>
          <t>High</t>
        </is>
      </c>
      <c r="C129" t="inlineStr">
        <is>
          <t>Fbar (2 -4) Low</t>
        </is>
      </c>
      <c r="D129" t="inlineStr">
        <is>
          <t>High</t>
        </is>
      </c>
      <c r="E129" t="inlineStr"/>
      <c r="F129" t="inlineStr"/>
    </row>
    <row r="130">
      <c r="A130" t="inlineStr">
        <is>
          <t>2024 15952 7366 34548 12796 8684 18854 8887 5956 13260 4218 2869 6201 0.593 0.393 0.894</t>
        </is>
      </c>
      <c r="B130" t="inlineStr"/>
      <c r="C130" t="inlineStr"/>
      <c r="D130" t="inlineStr"/>
      <c r="E130" t="inlineStr"/>
      <c r="F130" t="inlineStr"/>
    </row>
    <row r="131">
      <c r="A131" t="inlineStr">
        <is>
          <t>2025 22210 5753 85744 11951 7277 19629 9114 5729 14499</t>
        </is>
      </c>
      <c r="B131" t="inlineStr"/>
      <c r="C131" t="inlineStr"/>
      <c r="D131" t="inlineStr"/>
      <c r="E131" t="inlineStr"/>
      <c r="F131" t="inlineStr"/>
    </row>
    <row r="132">
      <c r="A132" t="inlineStr">
        <is>
          <t>Viking</t>
        </is>
      </c>
      <c r="B132" t="inlineStr"/>
      <c r="C132" t="inlineStr"/>
      <c r="D132" t="inlineStr"/>
      <c r="E132" t="inlineStr"/>
      <c r="F132" t="inlineStr"/>
    </row>
    <row r="133">
      <c r="A133" t="inlineStr">
        <is>
          <t>Year</t>
        </is>
      </c>
      <c r="B133" t="inlineStr">
        <is>
          <t>R(age 1)</t>
        </is>
      </c>
      <c r="C133" t="inlineStr"/>
      <c r="D133" t="inlineStr"/>
      <c r="E133" t="inlineStr"/>
      <c r="F133" t="inlineStr"/>
    </row>
    <row r="134">
      <c r="A134" t="inlineStr">
        <is>
          <t>('000) Low</t>
        </is>
      </c>
      <c r="B134" t="inlineStr">
        <is>
          <t>High</t>
        </is>
      </c>
      <c r="C134" t="inlineStr">
        <is>
          <t>TSB</t>
        </is>
      </c>
      <c r="D134" t="inlineStr"/>
      <c r="E134" t="inlineStr"/>
      <c r="F134" t="inlineStr"/>
    </row>
    <row r="135">
      <c r="A135" t="inlineStr">
        <is>
          <t>(tonnes) Low</t>
        </is>
      </c>
      <c r="B135" t="inlineStr">
        <is>
          <t>High</t>
        </is>
      </c>
      <c r="C135" t="inlineStr">
        <is>
          <t>SSB</t>
        </is>
      </c>
      <c r="D135" t="inlineStr"/>
      <c r="E135" t="inlineStr"/>
      <c r="F135" t="inlineStr"/>
    </row>
    <row r="136">
      <c r="A136" t="inlineStr">
        <is>
          <t>(tonnes) Low</t>
        </is>
      </c>
      <c r="B136" t="inlineStr">
        <is>
          <t>High</t>
        </is>
      </c>
      <c r="C136" t="inlineStr">
        <is>
          <t>Catches</t>
        </is>
      </c>
      <c r="D136" t="inlineStr"/>
      <c r="E136" t="inlineStr"/>
      <c r="F136" t="inlineStr"/>
    </row>
    <row r="137">
      <c r="A137" t="inlineStr">
        <is>
          <t>(tonnes) Low</t>
        </is>
      </c>
      <c r="B137" t="inlineStr">
        <is>
          <t>High</t>
        </is>
      </c>
      <c r="C137" t="inlineStr">
        <is>
          <t>Fbar (2 -4) Low</t>
        </is>
      </c>
      <c r="D137" t="inlineStr">
        <is>
          <t>High</t>
        </is>
      </c>
      <c r="E137" t="inlineStr"/>
      <c r="F137" t="inlineStr"/>
    </row>
    <row r="138">
      <c r="A138" t="inlineStr">
        <is>
          <t>1983 100334 57856 174001 58028 37316 90235 14690 9490 22741 30898 19362 49308 0.63 0.524 0.757</t>
        </is>
      </c>
      <c r="B138" t="inlineStr"/>
      <c r="C138" t="inlineStr"/>
      <c r="D138" t="inlineStr"/>
      <c r="E138" t="inlineStr"/>
      <c r="F138" t="inlineStr"/>
    </row>
    <row r="139">
      <c r="A139" t="inlineStr">
        <is>
          <t>1984 112122 60960 206222 54243 35669 82488 18971 12428 28960 36765 23216 58220 0.714 0.58 0.88</t>
        </is>
      </c>
      <c r="B139" t="inlineStr"/>
      <c r="C139" t="inlineStr"/>
      <c r="D139" t="inlineStr"/>
      <c r="E139" t="inlineStr"/>
      <c r="F139" t="inlineStr"/>
    </row>
    <row r="140">
      <c r="A140" t="inlineStr">
        <is>
          <t>1985 32054 17047 60274 49313 32800 74140 14721 9754 22217 36273 23492 56006 0.709 0.58 0.867</t>
        </is>
      </c>
      <c r="B140" t="inlineStr"/>
      <c r="C140" t="inlineStr"/>
      <c r="D140" t="inlineStr"/>
      <c r="E140" t="inlineStr"/>
      <c r="F140" t="inlineStr"/>
    </row>
    <row r="141">
      <c r="A141" t="inlineStr">
        <is>
          <t>1986 109079 58188 204478 41977 28313 62236 11164 7484 16654 28887 19111 43664 0.739 0.603 0.907</t>
        </is>
      </c>
      <c r="B141" t="inlineStr"/>
      <c r="C141" t="inlineStr"/>
      <c r="D141" t="inlineStr"/>
      <c r="E141" t="inlineStr"/>
      <c r="F141" t="inlineStr"/>
    </row>
    <row r="142">
      <c r="A142" t="inlineStr">
        <is>
          <t>1987 55326 30377 100765 40481 26905 60907 13656 9253 20154 26563 17037 41416 0.695 0.57 0.847</t>
        </is>
      </c>
      <c r="B142" t="inlineStr"/>
      <c r="C142" t="inlineStr"/>
      <c r="D142" t="inlineStr"/>
      <c r="E142" t="inlineStr"/>
      <c r="F142" t="inlineStr"/>
    </row>
    <row r="143">
      <c r="A143" t="inlineStr">
        <is>
          <t>1988 50358 27322 92814 35087 23574 52221 9223 6229 13656 24028 15742 36677 0.646 0.53 0.789</t>
        </is>
      </c>
      <c r="B143" t="inlineStr"/>
      <c r="C143" t="inlineStr"/>
      <c r="D143" t="inlineStr"/>
      <c r="E143" t="inlineStr"/>
      <c r="F143" t="inlineStr"/>
    </row>
    <row r="144">
      <c r="A144" t="inlineStr">
        <is>
          <t>1989 77062 42145 140908 35905 24094 53506 12380 8339 18378 23741 15576 36187 0.701 0.573 0.857</t>
        </is>
      </c>
      <c r="B144" t="inlineStr"/>
      <c r="C144" t="inlineStr"/>
      <c r="D144" t="inlineStr"/>
      <c r="E144" t="inlineStr"/>
      <c r="F144" t="inlineStr"/>
    </row>
    <row r="145">
      <c r="A145" t="inlineStr">
        <is>
          <t>1990 40102 21731 74004 35084 23389 52628 10620 7123 15835 22483 14724 34332 0.748 0.614 0.913</t>
        </is>
      </c>
      <c r="B145" t="inlineStr"/>
      <c r="C145" t="inlineStr"/>
      <c r="D145" t="inlineStr"/>
      <c r="E145" t="inlineStr"/>
      <c r="F145" t="inlineStr"/>
    </row>
    <row r="146">
      <c r="A146" t="inlineStr">
        <is>
          <t>1991 43440 23573 80048 30818 20669 45952 10493 6993 15744 19618 12966 29684 0.732 0.602 0.89</t>
        </is>
      </c>
      <c r="B146" t="inlineStr"/>
      <c r="C146" t="inlineStr"/>
      <c r="D146" t="inlineStr"/>
      <c r="E146" t="inlineStr"/>
      <c r="F146" t="inlineStr"/>
    </row>
    <row r="147">
      <c r="A147" t="inlineStr">
        <is>
          <t>1992 82984 44940 153236 31505 21054 47143 15279 10275 22720 18363 11988 28128 0.683 0.562 0.829</t>
        </is>
      </c>
      <c r="B147" t="inlineStr"/>
      <c r="C147" t="inlineStr"/>
      <c r="D147" t="inlineStr"/>
      <c r="E147" t="inlineStr"/>
      <c r="F147" t="inlineStr"/>
    </row>
    <row r="148">
      <c r="A148" t="inlineStr">
        <is>
          <t>1993 55726 31488 98620 31691 21033 47749 9014 5997 13548 20307 13033 31643 0.686 0.561 0.838</t>
        </is>
      </c>
      <c r="B148" t="inlineStr"/>
      <c r="C148" t="inlineStr"/>
      <c r="D148" t="inlineStr"/>
      <c r="E148" t="inlineStr"/>
      <c r="F148" t="inlineStr"/>
    </row>
    <row r="149">
      <c r="A149" t="inlineStr">
        <is>
          <t>1994 103407 57995 184381 33207 22485 49043 13023 8741 19404 20830 13854 31318 0.694 0.571 0.844</t>
        </is>
      </c>
      <c r="B149" t="inlineStr"/>
      <c r="C149" t="inlineStr"/>
      <c r="D149" t="inlineStr"/>
      <c r="E149" t="inlineStr"/>
      <c r="F149" t="inlineStr"/>
    </row>
    <row r="150">
      <c r="A150" t="inlineStr">
        <is>
          <t>1995 74721 41129 135747 36737 24897 54207 12583 8487 18657 26151 17613 38827 0.773 0.641 0.932</t>
        </is>
      </c>
      <c r="B150" t="inlineStr"/>
      <c r="C150" t="inlineStr"/>
      <c r="D150" t="inlineStr"/>
      <c r="E150" t="inlineStr"/>
      <c r="F150" t="inlineStr"/>
    </row>
    <row r="151">
      <c r="A151" t="inlineStr">
        <is>
          <t>186 | ICES</t>
        </is>
      </c>
      <c r="B151" t="inlineStr">
        <is>
          <t>SCIENTIFIC REPORTS</t>
        </is>
      </c>
      <c r="C151" t="inlineStr">
        <is>
          <t>6:38 | ICES</t>
        </is>
      </c>
      <c r="D151" t="inlineStr"/>
      <c r="E151" t="inlineStr"/>
      <c r="F151" t="inlineStr"/>
    </row>
    <row r="152">
      <c r="A152" t="inlineStr">
        <is>
          <t>Year</t>
        </is>
      </c>
      <c r="B152" t="inlineStr">
        <is>
          <t>R(age 1)</t>
        </is>
      </c>
      <c r="C152" t="inlineStr"/>
      <c r="D152" t="inlineStr"/>
      <c r="E152" t="inlineStr"/>
      <c r="F152" t="inlineStr"/>
    </row>
    <row r="153">
      <c r="A153" t="inlineStr">
        <is>
          <t>('000) Low</t>
        </is>
      </c>
      <c r="B153" t="inlineStr">
        <is>
          <t>High</t>
        </is>
      </c>
      <c r="C153" t="inlineStr">
        <is>
          <t>TSB</t>
        </is>
      </c>
      <c r="D153" t="inlineStr"/>
      <c r="E153" t="inlineStr"/>
      <c r="F153" t="inlineStr"/>
    </row>
    <row r="154">
      <c r="A154" t="inlineStr">
        <is>
          <t>(tonnes) Low</t>
        </is>
      </c>
      <c r="B154" t="inlineStr">
        <is>
          <t>High</t>
        </is>
      </c>
      <c r="C154" t="inlineStr">
        <is>
          <t>SSB</t>
        </is>
      </c>
      <c r="D154" t="inlineStr"/>
      <c r="E154" t="inlineStr"/>
      <c r="F154" t="inlineStr"/>
    </row>
    <row r="155">
      <c r="A155" t="inlineStr">
        <is>
          <t>(tonnes) Low</t>
        </is>
      </c>
      <c r="B155" t="inlineStr">
        <is>
          <t>High</t>
        </is>
      </c>
      <c r="C155" t="inlineStr">
        <is>
          <t>Catches</t>
        </is>
      </c>
      <c r="D155" t="inlineStr"/>
      <c r="E155" t="inlineStr"/>
      <c r="F155" t="inlineStr"/>
    </row>
    <row r="156">
      <c r="A156" t="inlineStr">
        <is>
          <t>(tonnes) Low</t>
        </is>
      </c>
      <c r="B156" t="inlineStr">
        <is>
          <t>High</t>
        </is>
      </c>
      <c r="C156" t="inlineStr">
        <is>
          <t>Fbar (2 -4) Low</t>
        </is>
      </c>
      <c r="D156" t="inlineStr">
        <is>
          <t>High</t>
        </is>
      </c>
      <c r="E156" t="inlineStr"/>
      <c r="F156" t="inlineStr"/>
    </row>
    <row r="157">
      <c r="A157" t="inlineStr">
        <is>
          <t>1996 49845 28139 88292 32973 22485 48354 16828 11473 24683 24717 16850 36256 0.788 0.657 0.947</t>
        </is>
      </c>
      <c r="B157" t="inlineStr"/>
      <c r="C157" t="inlineStr"/>
      <c r="D157" t="inlineStr"/>
      <c r="E157" t="inlineStr"/>
      <c r="F157" t="inlineStr"/>
    </row>
    <row r="158">
      <c r="A158" t="inlineStr">
        <is>
          <t>1997 120273 68789 210291 30271 20726 44212 14487 9906 21186 19181 13048 28197 0.716 0.599 0.855</t>
        </is>
      </c>
      <c r="B158" t="inlineStr"/>
      <c r="C158" t="inlineStr"/>
      <c r="D158" t="inlineStr"/>
      <c r="E158" t="inlineStr"/>
      <c r="F158" t="inlineStr"/>
    </row>
    <row r="159">
      <c r="A159" t="inlineStr">
        <is>
          <t>1998 16962 9691 29688 31157 21234 45719 15703 10815 22802 19281 13038 28512 0.761 0.641 0.903</t>
        </is>
      </c>
      <c r="B159" t="inlineStr"/>
      <c r="C159" t="inlineStr"/>
      <c r="D159" t="inlineStr"/>
      <c r="E159" t="inlineStr"/>
      <c r="F159" t="inlineStr"/>
    </row>
    <row r="160">
      <c r="A160" t="inlineStr">
        <is>
          <t>1999 41764 23425 74462 25612 17695 37072 13746 9535 19818 17185 11909 24798 0.785 0.659 0.936</t>
        </is>
      </c>
      <c r="B160" t="inlineStr"/>
      <c r="C160" t="inlineStr"/>
      <c r="D160" t="inlineStr"/>
      <c r="E160" t="inlineStr"/>
      <c r="F160" t="inlineStr"/>
    </row>
    <row r="161">
      <c r="A161" t="inlineStr">
        <is>
          <t>2000 60216 34795 104211 22664 15671 32779 12599 8726 18193 13537 9306 19691 0.755 0.634 0.901</t>
        </is>
      </c>
      <c r="B161" t="inlineStr"/>
      <c r="C161" t="inlineStr"/>
      <c r="D161" t="inlineStr"/>
      <c r="E161" t="inlineStr"/>
      <c r="F161" t="inlineStr"/>
    </row>
    <row r="162">
      <c r="A162" t="inlineStr">
        <is>
          <t>2001 26664 14996 47411 21467 14757 31228 9002 6281 12902 11439 7859 16651 0.655 0.546 0.786</t>
        </is>
      </c>
      <c r="B162" t="inlineStr"/>
      <c r="C162" t="inlineStr"/>
      <c r="D162" t="inlineStr"/>
      <c r="E162" t="inlineStr"/>
      <c r="F162" t="inlineStr"/>
    </row>
    <row r="163">
      <c r="A163" t="inlineStr">
        <is>
          <t>2002 38179 21071 69178 19635 13633 28280 10187 7126 14563 10530 7343 15102 0.623 0.514 0.754</t>
        </is>
      </c>
      <c r="B163" t="inlineStr"/>
      <c r="C163" t="inlineStr"/>
      <c r="D163" t="inlineStr"/>
      <c r="E163" t="inlineStr"/>
      <c r="F163" t="inlineStr"/>
    </row>
    <row r="164">
      <c r="A164" t="inlineStr">
        <is>
          <t>2003 24756 13973 43860 19304 13406 27797 8376 5871 11951 9744 6788 13986 0.593 0.488 0.721</t>
        </is>
      </c>
      <c r="B164" t="inlineStr"/>
      <c r="C164" t="inlineStr"/>
      <c r="D164" t="inlineStr"/>
      <c r="E164" t="inlineStr"/>
      <c r="F164" t="inlineStr"/>
    </row>
    <row r="165">
      <c r="A165" t="inlineStr">
        <is>
          <t>2004 51790 28869 92912 18972 13093 27492 10242 7158 14656 7574 5255 10915 0.581 0.477 0.707</t>
        </is>
      </c>
      <c r="B165" t="inlineStr"/>
      <c r="C165" t="inlineStr"/>
      <c r="D165" t="inlineStr"/>
      <c r="E165" t="inlineStr"/>
      <c r="F165" t="inlineStr"/>
    </row>
    <row r="166">
      <c r="A166" t="inlineStr">
        <is>
          <t>2005 35749 20502 62335 19372 13262 28296 9467 6607 13566 7433 5067 10903 0.532 0.434 0.651</t>
        </is>
      </c>
      <c r="B166" t="inlineStr"/>
      <c r="C166" t="inlineStr"/>
      <c r="D166" t="inlineStr"/>
      <c r="E166" t="inlineStr"/>
      <c r="F166" t="inlineStr"/>
    </row>
    <row r="167">
      <c r="A167" t="inlineStr">
        <is>
          <t>2006 71289 40763 124674 19886 13601 29076 7671 5349 11000 6192 4235 9051 0.486 0.39 0.606</t>
        </is>
      </c>
      <c r="B167" t="inlineStr"/>
      <c r="C167" t="inlineStr"/>
      <c r="D167" t="inlineStr"/>
      <c r="E167" t="inlineStr"/>
      <c r="F167" t="inlineStr"/>
    </row>
    <row r="168">
      <c r="A168" t="inlineStr">
        <is>
          <t>2007 31849 17978 56423 21095 14280 31161 9340 6475 13471 8100 5532 11861 0.452 0.365 0.56</t>
        </is>
      </c>
      <c r="B168" t="inlineStr"/>
      <c r="C168" t="inlineStr"/>
      <c r="D168" t="inlineStr"/>
      <c r="E168" t="inlineStr"/>
      <c r="F168" t="inlineStr"/>
    </row>
    <row r="169">
      <c r="A169" t="inlineStr">
        <is>
          <t>2008 38827 22005 68508 21618 14827 31520 11992 8287 17354 9139 6315 13227 0.485 0.393 0.598</t>
        </is>
      </c>
      <c r="B169" t="inlineStr"/>
      <c r="C169" t="inlineStr"/>
      <c r="D169" t="inlineStr"/>
      <c r="E169" t="inlineStr"/>
      <c r="F169" t="inlineStr"/>
    </row>
    <row r="170">
      <c r="A170" t="inlineStr">
        <is>
          <t>2009 45917 25924 81330 21303 14505 31287 10914 7426 16042 8958 6171 13003 0.455 0.369 0.559</t>
        </is>
      </c>
      <c r="B170" t="inlineStr"/>
      <c r="C170" t="inlineStr"/>
      <c r="D170" t="inlineStr"/>
      <c r="E170" t="inlineStr"/>
      <c r="F170" t="inlineStr"/>
    </row>
    <row r="171">
      <c r="A171" t="inlineStr">
        <is>
          <t>2010 68327 39554 118030 22542 15262 33295 9987 6799 14670 8504 5828 12406 0.415 0.337 0.512</t>
        </is>
      </c>
      <c r="B171" t="inlineStr"/>
      <c r="C171" t="inlineStr"/>
      <c r="D171" t="inlineStr"/>
      <c r="E171" t="inlineStr"/>
      <c r="F171" t="inlineStr"/>
    </row>
    <row r="172">
      <c r="A172" t="inlineStr">
        <is>
          <t>2011 35294 20248 61521 25410 17147 37657 11419 7735 16859 9396 6423 13746 0.369 0.299 0.456</t>
        </is>
      </c>
      <c r="B172" t="inlineStr"/>
      <c r="C172" t="inlineStr"/>
      <c r="D172" t="inlineStr"/>
      <c r="E172" t="inlineStr"/>
      <c r="F172" t="inlineStr"/>
    </row>
    <row r="173">
      <c r="A173" t="inlineStr">
        <is>
          <t>2012 59499 33738 104927 28450 19303 41932 11657 7883 17239 10761 7378 15695 0.368 0.297 0.455</t>
        </is>
      </c>
      <c r="B173" t="inlineStr"/>
      <c r="C173" t="inlineStr"/>
      <c r="D173" t="inlineStr"/>
      <c r="E173" t="inlineStr"/>
      <c r="F173" t="inlineStr"/>
    </row>
    <row r="174">
      <c r="A174" t="inlineStr">
        <is>
          <t>2013 62775 36340 108438 29198 19709 43257 13601 9114 20298 10488 7104 15484 0.35 0.282 0.435</t>
        </is>
      </c>
      <c r="B174" t="inlineStr"/>
      <c r="C174" t="inlineStr"/>
      <c r="D174" t="inlineStr"/>
      <c r="E174" t="inlineStr"/>
      <c r="F174" t="inlineStr"/>
    </row>
    <row r="175">
      <c r="A175" t="inlineStr">
        <is>
          <t>ICES</t>
        </is>
      </c>
      <c r="B175" t="inlineStr">
        <is>
          <t>| WGNSSK</t>
        </is>
      </c>
      <c r="C175" t="inlineStr">
        <is>
          <t>2025</t>
        </is>
      </c>
      <c r="D175" t="inlineStr">
        <is>
          <t>| 187</t>
        </is>
      </c>
      <c r="E175" t="inlineStr"/>
      <c r="F175" t="inlineStr"/>
    </row>
    <row r="176">
      <c r="A176" t="inlineStr">
        <is>
          <t>Year</t>
        </is>
      </c>
      <c r="B176" t="inlineStr">
        <is>
          <t>R(age 1)</t>
        </is>
      </c>
      <c r="C176" t="inlineStr"/>
      <c r="D176" t="inlineStr"/>
      <c r="E176" t="inlineStr"/>
      <c r="F176" t="inlineStr"/>
    </row>
    <row r="177">
      <c r="A177" t="inlineStr">
        <is>
          <t>('000) Low</t>
        </is>
      </c>
      <c r="B177" t="inlineStr">
        <is>
          <t>High</t>
        </is>
      </c>
      <c r="C177" t="inlineStr">
        <is>
          <t>TSB</t>
        </is>
      </c>
      <c r="D177" t="inlineStr"/>
      <c r="E177" t="inlineStr"/>
      <c r="F177" t="inlineStr"/>
    </row>
    <row r="178">
      <c r="A178" t="inlineStr">
        <is>
          <t>(tonnes) Low</t>
        </is>
      </c>
      <c r="B178" t="inlineStr">
        <is>
          <t>High</t>
        </is>
      </c>
      <c r="C178" t="inlineStr">
        <is>
          <t>SSB</t>
        </is>
      </c>
      <c r="D178" t="inlineStr"/>
      <c r="E178" t="inlineStr"/>
      <c r="F178" t="inlineStr"/>
    </row>
    <row r="179">
      <c r="A179" t="inlineStr">
        <is>
          <t>(tonnes) Low</t>
        </is>
      </c>
      <c r="B179" t="inlineStr">
        <is>
          <t>High</t>
        </is>
      </c>
      <c r="C179" t="inlineStr">
        <is>
          <t>Catches</t>
        </is>
      </c>
      <c r="D179" t="inlineStr"/>
      <c r="E179" t="inlineStr"/>
      <c r="F179" t="inlineStr"/>
    </row>
    <row r="180">
      <c r="A180" t="inlineStr">
        <is>
          <t>(tonnes) Low</t>
        </is>
      </c>
      <c r="B180" t="inlineStr">
        <is>
          <t>High</t>
        </is>
      </c>
      <c r="C180" t="inlineStr">
        <is>
          <t>Fbar (2 -4) Low</t>
        </is>
      </c>
      <c r="D180" t="inlineStr">
        <is>
          <t>High</t>
        </is>
      </c>
      <c r="E180" t="inlineStr"/>
      <c r="F180" t="inlineStr"/>
    </row>
    <row r="181">
      <c r="A181" t="inlineStr">
        <is>
          <t>2014 77546 45020 133570 32196 21738 47686 14540 9733 21720 9584 6476 14183 0.311 0.249 0.388</t>
        </is>
      </c>
      <c r="B181" t="inlineStr"/>
      <c r="C181" t="inlineStr"/>
      <c r="D181" t="inlineStr"/>
      <c r="E181" t="inlineStr"/>
      <c r="F181" t="inlineStr"/>
    </row>
    <row r="182">
      <c r="A182" t="inlineStr">
        <is>
          <t>2015 39769 23050 68614 38191 25757 56628 16608 11225 24571 11414 7745 16820 0.314 0.251 0.392</t>
        </is>
      </c>
      <c r="B182" t="inlineStr"/>
      <c r="C182" t="inlineStr"/>
      <c r="D182" t="inlineStr"/>
      <c r="E182" t="inlineStr"/>
      <c r="F182" t="inlineStr"/>
    </row>
    <row r="183">
      <c r="A183" t="inlineStr">
        <is>
          <t>2016 24330 13947 42441 41046 27824 60550 17558 11867 25977 15623 10572 23086 0.361 0.292 0.447</t>
        </is>
      </c>
      <c r="B183" t="inlineStr"/>
      <c r="C183" t="inlineStr"/>
      <c r="D183" t="inlineStr"/>
      <c r="E183" t="inlineStr"/>
      <c r="F183" t="inlineStr"/>
    </row>
    <row r="184">
      <c r="A184" t="inlineStr">
        <is>
          <t>2017 54148 31145 94138 38901 26585 56924 23510 15995 34557 17457 11812 25800 0.459 0.368 0.573</t>
        </is>
      </c>
      <c r="B184" t="inlineStr"/>
      <c r="C184" t="inlineStr"/>
      <c r="D184" t="inlineStr"/>
      <c r="E184" t="inlineStr"/>
      <c r="F184" t="inlineStr"/>
    </row>
    <row r="185">
      <c r="A185" t="inlineStr">
        <is>
          <t>2018 18086 10328 31672 30031 20561 43863 17856 12178 26183 13854 9508 20185 0.534 0.423 0.673</t>
        </is>
      </c>
      <c r="B185" t="inlineStr"/>
      <c r="C185" t="inlineStr"/>
      <c r="D185" t="inlineStr"/>
      <c r="E185" t="inlineStr"/>
      <c r="F185" t="inlineStr"/>
    </row>
    <row r="186">
      <c r="A186" t="inlineStr">
        <is>
          <t>2019 33049 18631 58625 20887 14284 30543 13009 8819 19191 9278 6413 13425 0.462 0.371 0.577</t>
        </is>
      </c>
      <c r="B186" t="inlineStr"/>
      <c r="C186" t="inlineStr"/>
      <c r="D186" t="inlineStr"/>
      <c r="E186" t="inlineStr"/>
      <c r="F186" t="inlineStr"/>
    </row>
    <row r="187">
      <c r="A187" t="inlineStr">
        <is>
          <t>2020 70615 39973 124748 20799 14056 30776 10015 6786 14779 5848 4014 8518 0.357 0.287 0.445</t>
        </is>
      </c>
      <c r="B187" t="inlineStr"/>
      <c r="C187" t="inlineStr"/>
      <c r="D187" t="inlineStr"/>
      <c r="E187" t="inlineStr"/>
      <c r="F187" t="inlineStr"/>
    </row>
    <row r="188">
      <c r="A188" t="inlineStr">
        <is>
          <t>2021 34006 19561 59120 23982 15979 35993 7717 5199 11454 6726 4481 10095 0.286 0.226 0.362</t>
        </is>
      </c>
      <c r="B188" t="inlineStr"/>
      <c r="C188" t="inlineStr"/>
      <c r="D188" t="inlineStr"/>
      <c r="E188" t="inlineStr"/>
      <c r="F188" t="inlineStr"/>
    </row>
    <row r="189">
      <c r="A189" t="inlineStr">
        <is>
          <t>2022 48755 26945 88218 28244 19051 41873 10126 6814 15049 8173 5434 12292 0.279 0.219 0.355</t>
        </is>
      </c>
      <c r="B189" t="inlineStr"/>
      <c r="C189" t="inlineStr"/>
      <c r="D189" t="inlineStr"/>
      <c r="E189" t="inlineStr"/>
      <c r="F189" t="inlineStr"/>
    </row>
    <row r="190">
      <c r="A190" t="inlineStr">
        <is>
          <t>2023 32673 17484 61058 28672 19419 42333 12596 8509 18645 9673 6421 14572 0.307 0.238 0.395</t>
        </is>
      </c>
      <c r="B190" t="inlineStr"/>
      <c r="C190" t="inlineStr"/>
      <c r="D190" t="inlineStr"/>
      <c r="E190" t="inlineStr"/>
      <c r="F190" t="inlineStr"/>
    </row>
    <row r="191">
      <c r="A191" t="inlineStr">
        <is>
          <t>2024 7800 3444 17668 25839 17553 38037 13395 9047 19832 10520 6878 16091 0.339 0.248 0.464</t>
        </is>
      </c>
      <c r="B191" t="inlineStr"/>
      <c r="C191" t="inlineStr"/>
      <c r="D191" t="inlineStr"/>
      <c r="E191" t="inlineStr"/>
      <c r="F191" t="inlineStr"/>
    </row>
    <row r="192">
      <c r="A192" t="inlineStr">
        <is>
          <t>2025 14658 4351 49378 19861 13184 29918 12750 8435 19271 #N/A</t>
        </is>
      </c>
      <c r="B192" t="e">
        <v>#N/A</v>
      </c>
      <c r="C192" t="e">
        <v>#N/A</v>
      </c>
      <c r="D192" t="e">
        <v>#N/A</v>
      </c>
      <c r="E192" t="e">
        <v>#N/A</v>
      </c>
      <c r="F192" t="e">
        <v>#N/A</v>
      </c>
    </row>
    <row r="193">
      <c r="A193" t="inlineStr">
        <is>
          <t>188 | ICES SCIENTIFIC REPORTS 6:38 | ICES</t>
        </is>
      </c>
      <c r="B193" t="inlineStr"/>
      <c r="C193" t="inlineStr"/>
      <c r="D193" t="inlineStr"/>
      <c r="E193" t="inlineStr"/>
      <c r="F19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</row>
    <row r="2">
      <c r="A2" t="inlineStr">
        <is>
          <t>multistock SAM assessment and assuming F status quo</t>
        </is>
      </c>
      <c r="B2" t="inlineStr">
        <is>
          <t>in the intermediate year. Units are tonnes (SSB, landings, discards and</t>
        </is>
      </c>
      <c r="C2" t="inlineStr"/>
      <c r="D2" t="inlineStr"/>
    </row>
    <row r="3">
      <c r="A3" t="inlineStr">
        <is>
          <t>catch) or thousands (recruitment).</t>
        </is>
      </c>
      <c r="B3" t="inlineStr"/>
      <c r="C3" t="inlineStr"/>
      <c r="D3" t="inlineStr"/>
    </row>
    <row r="4">
      <c r="A4" t="inlineStr">
        <is>
          <t>Northwest ern</t>
        </is>
      </c>
      <c r="B4" t="inlineStr"/>
      <c r="C4" t="inlineStr"/>
      <c r="D4" t="inlineStr"/>
    </row>
    <row r="5">
      <c r="A5" t="inlineStr">
        <is>
          <t>Forecast assumptions</t>
        </is>
      </c>
      <c r="B5" t="inlineStr"/>
      <c r="C5" t="inlineStr"/>
      <c r="D5" t="inlineStr"/>
    </row>
    <row r="6">
      <c r="A6" t="inlineStr">
        <is>
          <t>variable</t>
        </is>
      </c>
      <c r="B6" t="inlineStr">
        <is>
          <t>value</t>
        </is>
      </c>
      <c r="C6" t="inlineStr"/>
      <c r="D6" t="inlineStr"/>
    </row>
    <row r="7">
      <c r="A7" t="inlineStr">
        <is>
          <t>Fbar(2025) 0.421</t>
        </is>
      </c>
      <c r="B7" t="inlineStr"/>
      <c r="C7" t="inlineStr"/>
      <c r="D7" t="inlineStr"/>
    </row>
    <row r="8">
      <c r="A8" t="inlineStr">
        <is>
          <t>SSB(2026) 35837</t>
        </is>
      </c>
      <c r="B8" t="inlineStr"/>
      <c r="C8" t="inlineStr"/>
      <c r="D8" t="inlineStr"/>
    </row>
    <row r="9">
      <c r="A9" t="inlineStr">
        <is>
          <t>R(2025) 67359</t>
        </is>
      </c>
      <c r="B9" t="inlineStr"/>
      <c r="C9" t="inlineStr"/>
      <c r="D9" t="inlineStr"/>
    </row>
    <row r="10">
      <c r="A10" t="inlineStr">
        <is>
          <t>R(2026) 64705</t>
        </is>
      </c>
      <c r="B10" t="inlineStr"/>
      <c r="C10" t="inlineStr"/>
      <c r="D10" t="inlineStr"/>
    </row>
    <row r="11">
      <c r="A11" t="inlineStr">
        <is>
          <t>Catch(2025) 21692</t>
        </is>
      </c>
      <c r="B11" t="inlineStr"/>
      <c r="C11" t="inlineStr"/>
      <c r="D11" t="inlineStr"/>
    </row>
    <row r="12">
      <c r="A12" t="inlineStr">
        <is>
          <t>Landings(202 5) 17961</t>
        </is>
      </c>
      <c r="B12" t="inlineStr"/>
      <c r="C12" t="inlineStr"/>
      <c r="D12" t="inlineStr"/>
    </row>
    <row r="13">
      <c r="A13" t="inlineStr">
        <is>
          <t>Discards(2025) 3731</t>
        </is>
      </c>
      <c r="B13" t="inlineStr"/>
      <c r="C13" t="inlineStr"/>
      <c r="D13" t="inlineStr"/>
    </row>
    <row r="14">
      <c r="A14" t="inlineStr">
        <is>
          <t>Ca</t>
        </is>
      </c>
      <c r="B14" t="inlineStr"/>
      <c r="C14" t="inlineStr"/>
      <c r="D14" t="inlineStr"/>
    </row>
    <row r="15">
      <c r="A15" t="inlineStr">
        <is>
          <t>tch scenarios</t>
        </is>
      </c>
      <c r="B15" t="inlineStr"/>
      <c r="C15" t="inlineStr"/>
      <c r="D15" t="inlineStr"/>
    </row>
    <row r="16">
      <c r="A16" t="inlineStr">
        <is>
          <t>Basis</t>
        </is>
      </c>
      <c r="B16" t="inlineStr">
        <is>
          <t>Catch</t>
        </is>
      </c>
      <c r="C16" t="inlineStr"/>
      <c r="D16" t="inlineStr"/>
    </row>
    <row r="17">
      <c r="A17" t="inlineStr">
        <is>
          <t>(2026) Ftotal</t>
        </is>
      </c>
      <c r="B17" t="inlineStr"/>
      <c r="C17" t="inlineStr"/>
      <c r="D17" t="inlineStr"/>
    </row>
    <row r="18">
      <c r="A18" t="inlineStr">
        <is>
          <t>(2026) SSB</t>
        </is>
      </c>
      <c r="B18" t="inlineStr"/>
      <c r="C18" t="inlineStr"/>
      <c r="D18" t="inlineStr"/>
    </row>
    <row r="19">
      <c r="A19" t="inlineStr">
        <is>
          <t>(2027) % SSB</t>
        </is>
      </c>
      <c r="B19" t="inlineStr"/>
      <c r="C19" t="inlineStr"/>
      <c r="D19" t="inlineStr"/>
    </row>
    <row r="20">
      <c r="A20" t="inlineStr">
        <is>
          <t>change</t>
        </is>
      </c>
      <c r="B20" t="inlineStr">
        <is>
          <t>% advice</t>
        </is>
      </c>
      <c r="C20" t="inlineStr"/>
      <c r="D20" t="inlineStr"/>
    </row>
    <row r="21">
      <c r="A21" t="inlineStr">
        <is>
          <t>change</t>
        </is>
      </c>
      <c r="B21" t="inlineStr">
        <is>
          <t>Probability of SSB</t>
        </is>
      </c>
      <c r="C21" t="inlineStr"/>
      <c r="D21" t="inlineStr"/>
    </row>
    <row r="22">
      <c r="A22" t="inlineStr">
        <is>
          <t>(2027) &lt; B lim (%)</t>
        </is>
      </c>
      <c r="B22" t="inlineStr"/>
      <c r="C22" t="inlineStr"/>
      <c r="D22" t="inlineStr"/>
    </row>
    <row r="23">
      <c r="A23" t="inlineStr">
        <is>
          <t>F2026=F2025 x 0.074*</t>
        </is>
      </c>
      <c r="B23" t="inlineStr">
        <is>
          <t>1737 0.031 48221 35 -82 1.00</t>
        </is>
      </c>
      <c r="C23" t="inlineStr"/>
      <c r="D23" t="inlineStr"/>
    </row>
    <row r="24">
      <c r="A24" t="inlineStr">
        <is>
          <t>FMSY 9712 0.196 39170 9.3 -2.1 9.3</t>
        </is>
      </c>
      <c r="B24" t="inlineStr"/>
      <c r="C24" t="inlineStr"/>
      <c r="D24" t="inlineStr"/>
    </row>
    <row r="25">
      <c r="A25" t="inlineStr">
        <is>
          <t>FMSY lower</t>
        </is>
      </c>
      <c r="B25" t="inlineStr">
        <is>
          <t>6315 0.121 42997 20.0 -36 3.4</t>
        </is>
      </c>
      <c r="C25" t="inlineStr"/>
      <c r="D25" t="inlineStr"/>
    </row>
    <row r="26">
      <c r="A26" t="inlineStr">
        <is>
          <t>F = 0</t>
        </is>
      </c>
      <c r="B26" t="inlineStr">
        <is>
          <t>0 0 50332 40 -100 0.60</t>
        </is>
      </c>
      <c r="C26" t="inlineStr"/>
      <c r="D26" t="inlineStr"/>
    </row>
    <row r="27">
      <c r="A27" t="inlineStr">
        <is>
          <t>Fpa 21524 0.543 26058 -27 117 68</t>
        </is>
      </c>
      <c r="B27" t="inlineStr"/>
      <c r="C27" t="inlineStr"/>
      <c r="D27" t="inlineStr"/>
    </row>
    <row r="28">
      <c r="A28" t="inlineStr">
        <is>
          <t>SSB(2027) = B lim 18393 0.43 29378 -18.0 85 50</t>
        </is>
      </c>
      <c r="B28" t="inlineStr"/>
      <c r="C28" t="inlineStr"/>
      <c r="D28" t="inlineStr"/>
    </row>
    <row r="29">
      <c r="A29" t="inlineStr">
        <is>
          <t>SSB(2027) = B trigger</t>
        </is>
      </c>
      <c r="B29">
        <f> B pa 8242 0.163 40823 13.9 -16.9 6.1</f>
        <v/>
      </c>
      <c r="C29" t="inlineStr"/>
      <c r="D29" t="inlineStr"/>
    </row>
    <row r="30">
      <c r="A30" t="inlineStr">
        <is>
          <t>F=F 2025 17967 0.421 29901 -16.6 81 47</t>
        </is>
      </c>
      <c r="B30" t="inlineStr"/>
      <c r="C30" t="inlineStr"/>
      <c r="D30" t="inlineStr"/>
    </row>
    <row r="31">
      <c r="A31" t="inlineStr">
        <is>
          <t>SSB(2027) = SSB(2026) 12657 0.269 35837 0.00 28 17.3</t>
        </is>
      </c>
      <c r="B31" t="inlineStr"/>
      <c r="C31" t="inlineStr"/>
      <c r="D31" t="inlineStr"/>
    </row>
    <row r="32">
      <c r="A32" t="inlineStr">
        <is>
          <t>MSY approach: F MSY x</t>
        </is>
      </c>
      <c r="B32" t="inlineStr"/>
      <c r="C32" t="inlineStr"/>
      <c r="D32" t="inlineStr"/>
    </row>
    <row r="33">
      <c r="A33" t="inlineStr">
        <is>
          <t>SSB (2026)/MSY B trigger</t>
        </is>
      </c>
      <c r="B33" t="inlineStr">
        <is>
          <t>8670 0.172 40379 12.7 -12.6 6.8</t>
        </is>
      </c>
      <c r="C33" t="inlineStr"/>
      <c r="D33" t="inlineStr"/>
    </row>
    <row r="34">
      <c r="A34" t="inlineStr">
        <is>
          <t>FMSY lower x SSB (2026) / MSY B trigger</t>
        </is>
      </c>
      <c r="B34" t="inlineStr">
        <is>
          <t>5603 0.106 43816 22 -44 2.8</t>
        </is>
      </c>
      <c r="C34" t="inlineStr"/>
      <c r="D34" t="inlineStr"/>
    </row>
    <row r="35">
      <c r="A35" t="inlineStr">
        <is>
          <t>Without precautionary</t>
        </is>
      </c>
      <c r="B35" t="inlineStr"/>
      <c r="C35" t="inlineStr"/>
      <c r="D35" t="inlineStr"/>
    </row>
    <row r="36">
      <c r="A36" t="inlineStr">
        <is>
          <t>considerations : F2025 x 0.36* 7859 0.154 41261 15.1 -21 5. 6</t>
        </is>
      </c>
      <c r="B36" t="inlineStr"/>
      <c r="C36" t="inlineStr"/>
      <c r="D36" t="inlineStr"/>
    </row>
    <row r="37">
      <c r="A37" t="inlineStr">
        <is>
          <t>* F multiplier that equates approximately to the cumulative substock advice when following MSY approac h</t>
        </is>
      </c>
      <c r="B37" t="inlineStr"/>
      <c r="C37" t="inlineStr"/>
      <c r="D37" t="inlineStr"/>
    </row>
    <row r="38">
      <c r="A38" t="inlineStr">
        <is>
          <t>for each substock</t>
        </is>
      </c>
      <c r="B38" t="inlineStr">
        <is>
          <t>independently and equates to a total catch of 12 675 t. F (2026, Northwestern)</t>
        </is>
      </c>
      <c r="C38">
        <f> F 2025 x 0.074 (as</f>
        <v/>
      </c>
      <c r="D38" t="inlineStr"/>
    </row>
    <row r="39">
      <c r="A39" t="inlineStr">
        <is>
          <t>FSouthern (2026)</t>
        </is>
      </c>
      <c r="B39" t="inlineStr">
        <is>
          <t>/ FSouthern (2025)</t>
        </is>
      </c>
      <c r="C39">
        <f> 0.074) .</f>
        <v/>
      </c>
      <c r="D39" t="inlineStr"/>
    </row>
    <row r="40">
      <c r="A40" t="inlineStr">
        <is>
          <t>ICES</t>
        </is>
      </c>
      <c r="B40" t="inlineStr">
        <is>
          <t>| WGNSSK</t>
        </is>
      </c>
      <c r="C40" t="inlineStr">
        <is>
          <t>2025</t>
        </is>
      </c>
      <c r="D40" t="inlineStr">
        <is>
          <t>| 189</t>
        </is>
      </c>
    </row>
    <row r="41">
      <c r="A41" t="inlineStr">
        <is>
          <t>Southern</t>
        </is>
      </c>
      <c r="B41" t="inlineStr"/>
      <c r="C41" t="inlineStr"/>
      <c r="D41" t="inlineStr"/>
    </row>
    <row r="42">
      <c r="A42" t="inlineStr">
        <is>
          <t>Forecast assumptions</t>
        </is>
      </c>
      <c r="B42" t="inlineStr"/>
      <c r="C42" t="inlineStr"/>
      <c r="D42" t="inlineStr"/>
    </row>
    <row r="43">
      <c r="A43" t="inlineStr">
        <is>
          <t>variable</t>
        </is>
      </c>
      <c r="B43" t="inlineStr">
        <is>
          <t>value</t>
        </is>
      </c>
      <c r="C43" t="inlineStr"/>
      <c r="D43" t="inlineStr"/>
    </row>
    <row r="44">
      <c r="A44" t="inlineStr">
        <is>
          <t>Fbar(2025) 0.591</t>
        </is>
      </c>
      <c r="B44" t="inlineStr"/>
      <c r="C44" t="inlineStr"/>
      <c r="D44" t="inlineStr"/>
    </row>
    <row r="45">
      <c r="A45" t="inlineStr">
        <is>
          <t>SSB(2026) 9259</t>
        </is>
      </c>
      <c r="B45" t="inlineStr"/>
      <c r="C45" t="inlineStr"/>
      <c r="D45" t="inlineStr"/>
    </row>
    <row r="46">
      <c r="A46" t="inlineStr">
        <is>
          <t>R(2025) 21822</t>
        </is>
      </c>
      <c r="B46" t="inlineStr"/>
      <c r="C46" t="inlineStr"/>
      <c r="D46" t="inlineStr"/>
    </row>
    <row r="47">
      <c r="A47" t="inlineStr">
        <is>
          <t>R(2026) 22280</t>
        </is>
      </c>
      <c r="B47" t="inlineStr"/>
      <c r="C47" t="inlineStr"/>
      <c r="D47" t="inlineStr"/>
    </row>
    <row r="48">
      <c r="A48" t="inlineStr">
        <is>
          <t>Catch(2025) 4172</t>
        </is>
      </c>
      <c r="B48" t="inlineStr"/>
      <c r="C48" t="inlineStr"/>
      <c r="D48" t="inlineStr"/>
    </row>
    <row r="49">
      <c r="A49" t="inlineStr">
        <is>
          <t>Landings(202 5) 2954</t>
        </is>
      </c>
      <c r="B49" t="inlineStr"/>
      <c r="C49" t="inlineStr"/>
      <c r="D49" t="inlineStr"/>
    </row>
    <row r="50">
      <c r="A50" t="inlineStr">
        <is>
          <t>Discards(2025) 1218</t>
        </is>
      </c>
      <c r="B50" t="inlineStr"/>
      <c r="C50" t="inlineStr"/>
      <c r="D50" t="inlineStr"/>
    </row>
    <row r="51">
      <c r="A51" t="inlineStr">
        <is>
          <t>Ca</t>
        </is>
      </c>
      <c r="B51" t="inlineStr"/>
      <c r="C51" t="inlineStr"/>
      <c r="D51" t="inlineStr"/>
    </row>
    <row r="52">
      <c r="A52" t="inlineStr">
        <is>
          <t>tch scenarios</t>
        </is>
      </c>
      <c r="B52" t="inlineStr"/>
      <c r="C52" t="inlineStr"/>
      <c r="D52" t="inlineStr"/>
    </row>
    <row r="53">
      <c r="A53" t="inlineStr">
        <is>
          <t>Basis</t>
        </is>
      </c>
      <c r="B53" t="inlineStr">
        <is>
          <t>Catch</t>
        </is>
      </c>
      <c r="C53" t="inlineStr"/>
      <c r="D53" t="inlineStr"/>
    </row>
    <row r="54">
      <c r="A54" t="inlineStr">
        <is>
          <t>(2026) Ftotal</t>
        </is>
      </c>
      <c r="B54" t="inlineStr"/>
      <c r="C54" t="inlineStr"/>
      <c r="D54" t="inlineStr"/>
    </row>
    <row r="55">
      <c r="A55" t="inlineStr">
        <is>
          <t>(2026) SSB</t>
        </is>
      </c>
      <c r="B55" t="inlineStr"/>
      <c r="C55" t="inlineStr"/>
      <c r="D55" t="inlineStr"/>
    </row>
    <row r="56">
      <c r="A56" t="inlineStr">
        <is>
          <t>(2027) % SSB</t>
        </is>
      </c>
      <c r="B56" t="inlineStr"/>
      <c r="C56" t="inlineStr"/>
      <c r="D56" t="inlineStr"/>
    </row>
    <row r="57">
      <c r="A57" t="inlineStr">
        <is>
          <t>change</t>
        </is>
      </c>
      <c r="B57" t="inlineStr">
        <is>
          <t>% advice</t>
        </is>
      </c>
      <c r="C57" t="inlineStr"/>
      <c r="D57" t="inlineStr"/>
    </row>
    <row r="58">
      <c r="A58" t="inlineStr">
        <is>
          <t>change</t>
        </is>
      </c>
      <c r="B58" t="inlineStr">
        <is>
          <t>Probability of SSB</t>
        </is>
      </c>
      <c r="C58" t="inlineStr"/>
      <c r="D58" t="inlineStr"/>
    </row>
    <row r="59">
      <c r="A59" t="inlineStr">
        <is>
          <t>(2027) &lt; B lim (%)</t>
        </is>
      </c>
      <c r="B59" t="inlineStr"/>
      <c r="C59" t="inlineStr"/>
      <c r="D59" t="inlineStr"/>
    </row>
    <row r="60">
      <c r="A60" t="inlineStr">
        <is>
          <t>MSY approach: SSB(202 7) = B lim 399 0.044 14002 51 -82 50</t>
        </is>
      </c>
      <c r="B60" t="inlineStr"/>
      <c r="C60" t="inlineStr"/>
      <c r="D60" t="inlineStr"/>
    </row>
    <row r="61">
      <c r="A61" t="inlineStr">
        <is>
          <t>Without precautionary considera-</t>
        </is>
      </c>
      <c r="B61" t="inlineStr"/>
      <c r="C61" t="inlineStr"/>
      <c r="D61" t="inlineStr"/>
    </row>
    <row r="62">
      <c r="A62" t="inlineStr">
        <is>
          <t>tions:</t>
        </is>
      </c>
      <c r="B62" t="inlineStr">
        <is>
          <t>F = F 2025 x 0.36***</t>
        </is>
      </c>
      <c r="C62" t="inlineStr">
        <is>
          <t>1824 0.22 11935 29 -18.9 69</t>
        </is>
      </c>
      <c r="D62" t="inlineStr"/>
    </row>
    <row r="63">
      <c r="A63" t="inlineStr">
        <is>
          <t>FMSY x SSB(2027 ) / B trigger</t>
        </is>
      </c>
      <c r="B63" t="inlineStr">
        <is>
          <t>933 0.108 13219 43 -58 56</t>
        </is>
      </c>
      <c r="C63" t="inlineStr"/>
      <c r="D63" t="inlineStr"/>
    </row>
    <row r="64">
      <c r="A64" t="inlineStr">
        <is>
          <t>FMSY lower</t>
        </is>
      </c>
      <c r="B64" t="inlineStr">
        <is>
          <t>x SSB(2026) / B trigger</t>
        </is>
      </c>
      <c r="C64" t="inlineStr">
        <is>
          <t>595 0.067 13706 48 -74 53</t>
        </is>
      </c>
      <c r="D64" t="inlineStr"/>
    </row>
    <row r="65">
      <c r="A65" t="inlineStr">
        <is>
          <t>F = 0</t>
        </is>
      </c>
      <c r="B65" t="inlineStr">
        <is>
          <t>0 0 14605 58 -100 44</t>
        </is>
      </c>
      <c r="C65" t="inlineStr"/>
      <c r="D65" t="inlineStr"/>
    </row>
    <row r="66">
      <c r="A66" t="inlineStr">
        <is>
          <t>Fpa 3312 0.464 9839 6.3 47 85</t>
        </is>
      </c>
      <c r="B66" t="inlineStr"/>
      <c r="C66" t="inlineStr"/>
      <c r="D66" t="inlineStr"/>
    </row>
    <row r="67">
      <c r="A67" t="inlineStr">
        <is>
          <t>SSB(2027) = B trigger</t>
        </is>
      </c>
      <c r="B67">
        <f> B pa^</f>
        <v/>
      </c>
      <c r="C67" t="inlineStr"/>
      <c r="D67" t="inlineStr"/>
    </row>
    <row r="68">
      <c r="A68" t="inlineStr">
        <is>
          <t>F = F 2025 3958 0.591 8905 -3.8 76 89</t>
        </is>
      </c>
      <c r="B68" t="inlineStr"/>
      <c r="C68" t="inlineStr"/>
      <c r="D68" t="inlineStr"/>
    </row>
    <row r="69">
      <c r="A69" t="inlineStr">
        <is>
          <t>SSB(2027) = SSB(2026) 3717 0.542 9259 0.00 65 87</t>
        </is>
      </c>
      <c r="B69" t="inlineStr"/>
      <c r="C69" t="inlineStr"/>
      <c r="D69" t="inlineStr"/>
    </row>
    <row r="70">
      <c r="A70" t="inlineStr">
        <is>
          <t>FMSY 1866 0.231 11878 28 -17.0 69</t>
        </is>
      </c>
      <c r="B70" t="inlineStr"/>
      <c r="C70" t="inlineStr"/>
      <c r="D70" t="inlineStr"/>
    </row>
    <row r="71">
      <c r="A71" t="inlineStr">
        <is>
          <t>FMSY lower</t>
        </is>
      </c>
      <c r="B71" t="inlineStr">
        <is>
          <t>1221 0.144 12769 38 -46 61</t>
        </is>
      </c>
      <c r="C71" t="inlineStr"/>
      <c r="D71" t="inlineStr"/>
    </row>
    <row r="72">
      <c r="A72" t="inlineStr">
        <is>
          <t>^ Bpa and MSY B trigger cannot be achieved in 2027, even with zero catches.</t>
        </is>
      </c>
      <c r="B72" t="inlineStr"/>
      <c r="C72" t="inlineStr"/>
      <c r="D72" t="inlineStr"/>
    </row>
    <row r="73">
      <c r="A73" t="inlineStr">
        <is>
          <t>*** F multiplier that equates approximately to the cumulative substock advice when following MSY ap-</t>
        </is>
      </c>
      <c r="B73" t="inlineStr"/>
      <c r="C73" t="inlineStr"/>
      <c r="D73" t="inlineStr"/>
    </row>
    <row r="74">
      <c r="A74" t="inlineStr">
        <is>
          <t>proach for each substock independently and equates to a total catch of 12 675 t.</t>
        </is>
      </c>
      <c r="B74" t="inlineStr"/>
      <c r="C74" t="inlineStr"/>
      <c r="D74" t="inlineStr"/>
    </row>
    <row r="75">
      <c r="A75" t="inlineStr">
        <is>
          <t>190 | ICES SCIENTIFIC REPORTS 6:38 | ICES</t>
        </is>
      </c>
      <c r="B75" t="inlineStr"/>
      <c r="C75" t="inlineStr"/>
      <c r="D75" t="inlineStr"/>
    </row>
    <row r="76">
      <c r="A76" t="inlineStr">
        <is>
          <t>Viking</t>
        </is>
      </c>
      <c r="B76" t="inlineStr"/>
      <c r="C76" t="inlineStr"/>
      <c r="D76" t="inlineStr"/>
    </row>
    <row r="77">
      <c r="A77" t="inlineStr">
        <is>
          <t>Forecast assumptions</t>
        </is>
      </c>
      <c r="B77" t="inlineStr"/>
      <c r="C77" t="inlineStr"/>
      <c r="D77" t="inlineStr"/>
    </row>
    <row r="78">
      <c r="A78" t="inlineStr">
        <is>
          <t>variable</t>
        </is>
      </c>
      <c r="B78" t="inlineStr">
        <is>
          <t>value</t>
        </is>
      </c>
      <c r="C78" t="inlineStr"/>
      <c r="D78" t="inlineStr"/>
    </row>
    <row r="79">
      <c r="A79" t="inlineStr">
        <is>
          <t>Fbar(2025) 0.342</t>
        </is>
      </c>
      <c r="B79" t="inlineStr"/>
      <c r="C79" t="inlineStr"/>
      <c r="D79" t="inlineStr"/>
    </row>
    <row r="80">
      <c r="A80" t="inlineStr">
        <is>
          <t>SSB(2026) 11096</t>
        </is>
      </c>
      <c r="B80" t="inlineStr"/>
      <c r="C80" t="inlineStr"/>
      <c r="D80" t="inlineStr"/>
    </row>
    <row r="81">
      <c r="A81" t="inlineStr">
        <is>
          <t>R(2025) 14788</t>
        </is>
      </c>
      <c r="B81" t="inlineStr"/>
      <c r="C81" t="inlineStr"/>
      <c r="D81" t="inlineStr"/>
    </row>
    <row r="82">
      <c r="A82" t="inlineStr">
        <is>
          <t>R(2026) 14588</t>
        </is>
      </c>
      <c r="B82" t="inlineStr"/>
      <c r="C82" t="inlineStr"/>
      <c r="D82" t="inlineStr"/>
    </row>
    <row r="83">
      <c r="A83" t="inlineStr">
        <is>
          <t>Catch(2025) 8853</t>
        </is>
      </c>
      <c r="B83" t="inlineStr"/>
      <c r="C83" t="inlineStr"/>
      <c r="D83" t="inlineStr"/>
    </row>
    <row r="84">
      <c r="A84" t="inlineStr">
        <is>
          <t>Landings(202 5) 7838</t>
        </is>
      </c>
      <c r="B84" t="inlineStr"/>
      <c r="C84" t="inlineStr"/>
      <c r="D84" t="inlineStr"/>
    </row>
    <row r="85">
      <c r="A85" t="inlineStr">
        <is>
          <t>Discards(2025) 1015</t>
        </is>
      </c>
      <c r="B85" t="inlineStr"/>
      <c r="C85" t="inlineStr"/>
      <c r="D85" t="inlineStr"/>
    </row>
    <row r="86">
      <c r="A86" t="inlineStr">
        <is>
          <t>Ca</t>
        </is>
      </c>
      <c r="B86" t="inlineStr"/>
      <c r="C86" t="inlineStr"/>
      <c r="D86" t="inlineStr"/>
    </row>
    <row r="87">
      <c r="A87" t="inlineStr">
        <is>
          <t>tch scenarios</t>
        </is>
      </c>
      <c r="B87" t="inlineStr"/>
      <c r="C87" t="inlineStr"/>
      <c r="D87" t="inlineStr"/>
    </row>
    <row r="88">
      <c r="A88" t="inlineStr">
        <is>
          <t>Basis</t>
        </is>
      </c>
      <c r="B88" t="inlineStr">
        <is>
          <t>Catch</t>
        </is>
      </c>
      <c r="C88" t="inlineStr"/>
      <c r="D88" t="inlineStr"/>
    </row>
    <row r="89">
      <c r="A89" t="inlineStr">
        <is>
          <t>(2026) Ftotal</t>
        </is>
      </c>
      <c r="B89" t="inlineStr"/>
      <c r="C89" t="inlineStr"/>
      <c r="D89" t="inlineStr"/>
    </row>
    <row r="90">
      <c r="A90" t="inlineStr">
        <is>
          <t>(2026) SSB</t>
        </is>
      </c>
      <c r="B90" t="inlineStr"/>
      <c r="C90" t="inlineStr"/>
      <c r="D90" t="inlineStr"/>
    </row>
    <row r="91">
      <c r="A91" t="inlineStr">
        <is>
          <t>(2027) % SSB</t>
        </is>
      </c>
      <c r="B91" t="inlineStr"/>
      <c r="C91" t="inlineStr"/>
      <c r="D91" t="inlineStr"/>
    </row>
    <row r="92">
      <c r="A92" t="inlineStr">
        <is>
          <t>change</t>
        </is>
      </c>
      <c r="B92" t="inlineStr">
        <is>
          <t>% advice</t>
        </is>
      </c>
      <c r="C92" t="inlineStr"/>
      <c r="D92" t="inlineStr"/>
    </row>
    <row r="93">
      <c r="A93" t="inlineStr">
        <is>
          <t>change</t>
        </is>
      </c>
      <c r="B93" t="inlineStr">
        <is>
          <t>Probability of SSB</t>
        </is>
      </c>
      <c r="C93" t="inlineStr"/>
      <c r="D93" t="inlineStr"/>
    </row>
    <row r="94">
      <c r="A94" t="inlineStr">
        <is>
          <t>(2027) &lt; B lim (%)</t>
        </is>
      </c>
      <c r="B94" t="inlineStr"/>
      <c r="C94" t="inlineStr"/>
      <c r="D94" t="inlineStr"/>
    </row>
    <row r="95">
      <c r="A95" t="inlineStr">
        <is>
          <t>F2026 = F 2025 x 0.074*</t>
        </is>
      </c>
      <c r="B95" t="inlineStr">
        <is>
          <t>676 0.025 14478 30 -80 6.2</t>
        </is>
      </c>
      <c r="C95" t="inlineStr"/>
      <c r="D95" t="inlineStr"/>
    </row>
    <row r="96">
      <c r="A96" t="inlineStr">
        <is>
          <t>FMSY 4322 0.187 10825 -2.4 29 32</t>
        </is>
      </c>
      <c r="B96" t="inlineStr"/>
      <c r="C96" t="inlineStr"/>
      <c r="D96" t="inlineStr"/>
    </row>
    <row r="97">
      <c r="A97" t="inlineStr">
        <is>
          <t>FMSY lower</t>
        </is>
      </c>
      <c r="B97" t="inlineStr">
        <is>
          <t>2541 0.102 12596 13.5 -24 15.4</t>
        </is>
      </c>
      <c r="C97" t="inlineStr"/>
      <c r="D97" t="inlineStr"/>
    </row>
    <row r="98">
      <c r="A98" t="inlineStr">
        <is>
          <t>F = 0</t>
        </is>
      </c>
      <c r="B98" t="inlineStr">
        <is>
          <t>0 0 15171 37 -100 -3.9</t>
        </is>
      </c>
      <c r="C98" t="inlineStr"/>
      <c r="D98" t="inlineStr"/>
    </row>
    <row r="99">
      <c r="A99" t="inlineStr">
        <is>
          <t>Fpa 6402 0.307 8812 --21 92 62</t>
        </is>
      </c>
      <c r="B99" t="inlineStr"/>
      <c r="C99" t="inlineStr"/>
      <c r="D99" t="inlineStr"/>
    </row>
    <row r="100">
      <c r="A100" t="inlineStr">
        <is>
          <t>SSB(2027) = B lim 5522 0.25 9619 -13.3 65 50</t>
        </is>
      </c>
      <c r="B100" t="inlineStr"/>
      <c r="C100" t="inlineStr"/>
      <c r="D100" t="inlineStr"/>
    </row>
    <row r="101">
      <c r="A101" t="inlineStr">
        <is>
          <t>SSB(2027) = B trigger</t>
        </is>
      </c>
      <c r="B101">
        <f> B pa 1406 0.054 13732 24 -58 8.6</f>
        <v/>
      </c>
      <c r="C101" t="inlineStr"/>
      <c r="D101" t="inlineStr"/>
    </row>
    <row r="102">
      <c r="A102" t="inlineStr">
        <is>
          <t>F = F 2025 6898 0.340 8327 -25 106 68</t>
        </is>
      </c>
      <c r="B102" t="inlineStr"/>
      <c r="C102" t="inlineStr"/>
      <c r="D102" t="inlineStr"/>
    </row>
    <row r="103">
      <c r="A103" t="inlineStr">
        <is>
          <t>SSB(2027) = SSB(2026) 4045 0.173 11096 0 21 30</t>
        </is>
      </c>
      <c r="B103" t="inlineStr"/>
      <c r="C103" t="inlineStr"/>
      <c r="D103" t="inlineStr"/>
    </row>
    <row r="104">
      <c r="A104" t="inlineStr">
        <is>
          <t>MSY approach: F MSY x SSB</t>
        </is>
      </c>
      <c r="B104" t="inlineStr"/>
      <c r="C104" t="inlineStr"/>
      <c r="D104" t="inlineStr"/>
    </row>
    <row r="105">
      <c r="A105" t="inlineStr">
        <is>
          <t>(2026)/MSY B trigger</t>
        </is>
      </c>
      <c r="B105" t="inlineStr">
        <is>
          <t>3610 0.151 11571 4.3 8.0 25</t>
        </is>
      </c>
      <c r="C105" t="inlineStr"/>
      <c r="D105" t="inlineStr"/>
    </row>
    <row r="106">
      <c r="A106" t="inlineStr">
        <is>
          <t>FMSY lower x SSB (2026)/MSY</t>
        </is>
      </c>
      <c r="B106" t="inlineStr"/>
      <c r="C106" t="inlineStr"/>
      <c r="D106" t="inlineStr"/>
    </row>
    <row r="107">
      <c r="A107" t="inlineStr">
        <is>
          <t>Btrigger</t>
        </is>
      </c>
      <c r="B107" t="inlineStr">
        <is>
          <t>2090 0.082 13047 17.6 -37 12.9</t>
        </is>
      </c>
      <c r="C107" t="inlineStr"/>
      <c r="D107" t="inlineStr"/>
    </row>
    <row r="108">
      <c r="A108" t="inlineStr">
        <is>
          <t>* F (2026, Northwestern)</t>
        </is>
      </c>
      <c r="B108">
        <f> F 2025 x 0.074 (as F Southern (2026)</f>
        <v/>
      </c>
      <c r="C108" t="inlineStr">
        <is>
          <t>/ FSouthern (2025)</t>
        </is>
      </c>
      <c r="D108">
        <f> 0.074)</f>
        <v/>
      </c>
    </row>
    <row r="109">
      <c r="A109" t="inlineStr">
        <is>
          <t>ICES</t>
        </is>
      </c>
      <c r="B109" t="inlineStr">
        <is>
          <t>| WGNSSK</t>
        </is>
      </c>
      <c r="C109" t="inlineStr">
        <is>
          <t>2025</t>
        </is>
      </c>
      <c r="D109" t="inlineStr">
        <is>
          <t>| 191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</row>
    <row r="2">
      <c r="A2" t="inlineStr">
        <is>
          <t>and forecast results from WGNSSK 202 4 and WGNSSK 202 5.</t>
        </is>
      </c>
    </row>
    <row r="3">
      <c r="A3" t="inlineStr">
        <is>
          <t>Northwestern</t>
        </is>
      </c>
    </row>
    <row r="4">
      <c r="A4" t="inlineStr">
        <is>
          <t>Age 2016 2017 2018 2019 2020 2021 2022 2023 2024 2025</t>
        </is>
      </c>
    </row>
    <row r="5">
      <c r="A5" t="inlineStr">
        <is>
          <t>1 0.98 0.97 1 0.99 0.95 0.96 0.96 1.06 0.69 0.66</t>
        </is>
      </c>
    </row>
    <row r="6">
      <c r="A6" t="inlineStr">
        <is>
          <t>2 0.99 0.97 0.98 1 0.98 0.95 0.94 0.93 1.08 0.72</t>
        </is>
      </c>
    </row>
    <row r="7">
      <c r="A7" t="inlineStr">
        <is>
          <t>3 0.97 0.99 0.97 0.98 0.99 0.98 0.96 0.9 0.84 1.17</t>
        </is>
      </c>
    </row>
    <row r="8">
      <c r="A8" t="inlineStr">
        <is>
          <t>4 0.98 0.96 0.98 1 1.02 1.01 0.99 0.93 0.76 0.75</t>
        </is>
      </c>
    </row>
    <row r="9">
      <c r="A9" t="inlineStr">
        <is>
          <t>5 1 1 0.98 0.99 1.02 1.02 1.01 0.94 0.79 0.66</t>
        </is>
      </c>
    </row>
    <row r="10">
      <c r="A10" t="inlineStr">
        <is>
          <t>6 1.02 1 1 1.01 1.02 1.04 1.02 1 0.81 0.65</t>
        </is>
      </c>
    </row>
    <row r="11">
      <c r="A11" t="inlineStr">
        <is>
          <t>7+ 1.02 1.02 1.01 1 1.01 1.01 0.99 0.97 0.9 0.81</t>
        </is>
      </c>
    </row>
    <row r="12">
      <c r="A12" t="inlineStr">
        <is>
          <t>S</t>
        </is>
      </c>
    </row>
    <row r="13">
      <c r="A13" t="inlineStr">
        <is>
          <t>outhern</t>
        </is>
      </c>
    </row>
    <row r="14">
      <c r="A14" t="inlineStr">
        <is>
          <t>Age 2016 2017 2018 2019 2020 2021 2022 2023 2024 2025</t>
        </is>
      </c>
    </row>
    <row r="15">
      <c r="A15" t="inlineStr">
        <is>
          <t>1 1.01 1.07 1.03 1.04 0.98 0.91 0.8 0.91 0.96 0.41</t>
        </is>
      </c>
    </row>
    <row r="16">
      <c r="A16" t="inlineStr">
        <is>
          <t>2 1.02 1.02 1.08 1.04 1.04 0.99 0.9 0.79 0.94 0.97</t>
        </is>
      </c>
    </row>
    <row r="17">
      <c r="A17" t="inlineStr">
        <is>
          <t>3 1.03 1.02 1.02 1.08 1.05 1.05 0.99 0.86 0.71 0.92</t>
        </is>
      </c>
    </row>
    <row r="18">
      <c r="A18" t="inlineStr">
        <is>
          <t>4 0.97 1 0.98 0.98 1.03 1 1 0.89 0.69 0.55</t>
        </is>
      </c>
    </row>
    <row r="19">
      <c r="A19" t="inlineStr">
        <is>
          <t>5 0.95 0.94 0.96 0.95 0.94 0.98 0.95 0.91 0.73 0.48</t>
        </is>
      </c>
    </row>
    <row r="20">
      <c r="A20" t="inlineStr">
        <is>
          <t>6 0.92 0.93 0.91 0.94 0.92 0.91 0.93 0.87 0.75 0.54</t>
        </is>
      </c>
    </row>
    <row r="21">
      <c r="A21" t="inlineStr">
        <is>
          <t>7+ 0.91 0.9 0.91 0.91 0.92 0.91 0.89 0.88 0.82 0.64</t>
        </is>
      </c>
    </row>
    <row r="22">
      <c r="A22" t="inlineStr">
        <is>
          <t>V</t>
        </is>
      </c>
    </row>
    <row r="23">
      <c r="A23" t="inlineStr">
        <is>
          <t>iking</t>
        </is>
      </c>
    </row>
    <row r="24">
      <c r="A24" t="inlineStr">
        <is>
          <t>Age 2016 2017 2018 2019 2020 2021 2022 2023 2024 2025</t>
        </is>
      </c>
    </row>
    <row r="25">
      <c r="A25" t="inlineStr">
        <is>
          <t>1 0.96 0.97 1 0.99 0.99 0.99 1.01 1.45 1.04 0.38</t>
        </is>
      </c>
    </row>
    <row r="26">
      <c r="A26" t="inlineStr">
        <is>
          <t>2 0.96 0.95 0.97 0.99 0.99 0.99 0.99 1 1.56 1.02</t>
        </is>
      </c>
    </row>
    <row r="27">
      <c r="A27" t="inlineStr">
        <is>
          <t>3 0.98 0.97 0.96 0.98 1 1 0.99 1 1 1.76</t>
        </is>
      </c>
    </row>
    <row r="28">
      <c r="A28" t="inlineStr">
        <is>
          <t>4 1 0.99 0.98 0.98 1 1.01 1 0.98 0.95 0.8</t>
        </is>
      </c>
    </row>
    <row r="29">
      <c r="A29" t="inlineStr">
        <is>
          <t>5 1 0.99 1.01 1.01 1.02 1.01 1.01 0.99 0.97 0.83</t>
        </is>
      </c>
    </row>
    <row r="30">
      <c r="A30" t="inlineStr">
        <is>
          <t>6 1.02 0.99 0.99 1.01 1.04 1.04 1 0.98 0.94 0.78</t>
        </is>
      </c>
    </row>
    <row r="31">
      <c r="A31" t="inlineStr">
        <is>
          <t>7+ 1 0.99 0.99 1 1.02 1.03 1.02 0.99 0.93 0.86</t>
        </is>
      </c>
    </row>
    <row r="32">
      <c r="A32" t="inlineStr">
        <is>
          <t>192 | ICES SCIENTIFIC REPORTS 6:38 | ICES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</row>
    <row r="2">
      <c r="A2" t="inlineStr">
        <is>
          <t>and forecast results from WGNSSK 202 4 and WGNSSK 202 5.</t>
        </is>
      </c>
      <c r="B2" t="inlineStr"/>
      <c r="C2" t="inlineStr"/>
      <c r="D2" t="inlineStr"/>
    </row>
    <row r="3">
      <c r="A3" t="inlineStr">
        <is>
          <t>Northwestern</t>
        </is>
      </c>
      <c r="B3" t="inlineStr"/>
      <c r="C3" t="inlineStr"/>
      <c r="D3" t="inlineStr"/>
    </row>
    <row r="4">
      <c r="A4" t="inlineStr">
        <is>
          <t>Age 2016 2017 2018 2019 2020 2021 2022 2023 2024 2025</t>
        </is>
      </c>
      <c r="B4" t="inlineStr"/>
      <c r="C4" t="inlineStr"/>
      <c r="D4" t="inlineStr"/>
    </row>
    <row r="5">
      <c r="A5" t="inlineStr">
        <is>
          <t>1 0.98 0.98 1 0.99 0.96 0.96 0.96 1.06 0.69 0.75</t>
        </is>
      </c>
      <c r="B5" t="inlineStr"/>
      <c r="C5" t="inlineStr"/>
      <c r="D5" t="inlineStr"/>
    </row>
    <row r="6">
      <c r="A6" t="inlineStr">
        <is>
          <t>2 0.99 0.98 0.98 1 0.98 0.95 0.94 0.93 1.04 0.67</t>
        </is>
      </c>
      <c r="B6" t="inlineStr"/>
      <c r="C6" t="inlineStr"/>
      <c r="D6" t="inlineStr"/>
    </row>
    <row r="7">
      <c r="A7" t="inlineStr">
        <is>
          <t>3 0.97 0.99 0.97 0.98 0.99 0.98 0.96 0.9 0.82 0.94</t>
        </is>
      </c>
      <c r="B7" t="inlineStr"/>
      <c r="C7" t="inlineStr"/>
      <c r="D7" t="inlineStr"/>
    </row>
    <row r="8">
      <c r="A8" t="inlineStr">
        <is>
          <t>4 0.98 0.96 0.98 1 1.02 1.01 0.99 0.93 0.75 0.7</t>
        </is>
      </c>
      <c r="B8" t="inlineStr"/>
      <c r="C8" t="inlineStr"/>
      <c r="D8" t="inlineStr"/>
    </row>
    <row r="9">
      <c r="A9" t="inlineStr">
        <is>
          <t>5 1 1 0.98 0.99 1.01 1.02 1.01 0.94 0.79 0.62</t>
        </is>
      </c>
      <c r="B9" t="inlineStr"/>
      <c r="C9" t="inlineStr"/>
      <c r="D9" t="inlineStr"/>
    </row>
    <row r="10">
      <c r="A10" t="inlineStr">
        <is>
          <t>6 1.02 1 1 1.01 1.02 1.04 1.02 0.99 0.81 0.65</t>
        </is>
      </c>
      <c r="B10" t="inlineStr"/>
      <c r="C10" t="inlineStr"/>
      <c r="D10" t="inlineStr"/>
    </row>
    <row r="11">
      <c r="A11" t="inlineStr">
        <is>
          <t>7+ 1.02 1.01 1 0.99 1 1 0.98 0.95 0.87 0.75</t>
        </is>
      </c>
      <c r="B11" t="inlineStr"/>
      <c r="C11" t="inlineStr"/>
      <c r="D11" t="inlineStr"/>
    </row>
    <row r="12">
      <c r="A12" t="inlineStr">
        <is>
          <t>S</t>
        </is>
      </c>
      <c r="B12" t="inlineStr"/>
      <c r="C12" t="inlineStr"/>
      <c r="D12" t="inlineStr"/>
    </row>
    <row r="13">
      <c r="A13" t="inlineStr">
        <is>
          <t>outhern</t>
        </is>
      </c>
      <c r="B13" t="inlineStr"/>
      <c r="C13" t="inlineStr"/>
      <c r="D13" t="inlineStr"/>
    </row>
    <row r="14">
      <c r="A14" t="inlineStr">
        <is>
          <t>Age 2016 2017 2018 2019 2020 2021 2022 2023 2024 2025</t>
        </is>
      </c>
      <c r="B14" t="inlineStr"/>
      <c r="C14" t="inlineStr"/>
      <c r="D14" t="inlineStr"/>
    </row>
    <row r="15">
      <c r="A15" t="inlineStr">
        <is>
          <t>1 1.02 1.07 1.03 1.04 0.99 0.91 0.81 0.91 0.96 0.44</t>
        </is>
      </c>
      <c r="B15" t="inlineStr"/>
      <c r="C15" t="inlineStr"/>
      <c r="D15" t="inlineStr"/>
    </row>
    <row r="16">
      <c r="A16" t="inlineStr">
        <is>
          <t>2 1.02 1.02 1.08 1.04 1.05 0.99 0.91 0.79 0.93 0.99</t>
        </is>
      </c>
      <c r="B16" t="inlineStr"/>
      <c r="C16" t="inlineStr"/>
      <c r="D16" t="inlineStr"/>
    </row>
    <row r="17">
      <c r="A17" t="inlineStr">
        <is>
          <t>3 1.03 1.02 1.02 1.08 1.05 1.05 0.99 0.86 0.69 0.83</t>
        </is>
      </c>
      <c r="B17" t="inlineStr"/>
      <c r="C17" t="inlineStr"/>
      <c r="D17" t="inlineStr"/>
    </row>
    <row r="18">
      <c r="A18" t="inlineStr">
        <is>
          <t>4 0.97 1 0.98 0.98 1.02 1 0.99 0.88 0.68 0.51</t>
        </is>
      </c>
      <c r="B18" t="inlineStr"/>
      <c r="C18" t="inlineStr"/>
      <c r="D18" t="inlineStr"/>
    </row>
    <row r="19">
      <c r="A19" t="inlineStr">
        <is>
          <t>5 0.95 0.94 0.96 0.94 0.94 0.98 0.95 0.9 0.7 0.47</t>
        </is>
      </c>
      <c r="B19" t="inlineStr"/>
      <c r="C19" t="inlineStr"/>
      <c r="D19" t="inlineStr"/>
    </row>
    <row r="20">
      <c r="A20" t="inlineStr">
        <is>
          <t>6 0.91 0.92 0.9 0.93 0.91 0.9 0.92 0.86 0.76 0.44</t>
        </is>
      </c>
      <c r="B20" t="inlineStr"/>
      <c r="C20" t="inlineStr"/>
      <c r="D20" t="inlineStr"/>
    </row>
    <row r="21">
      <c r="A21" t="inlineStr">
        <is>
          <t>7+ 0.91 0.9 0.9 0.9 0.92 0.91 0.88 0.87 0.8 0.63</t>
        </is>
      </c>
      <c r="B21" t="inlineStr"/>
      <c r="C21" t="inlineStr"/>
      <c r="D21" t="inlineStr"/>
    </row>
    <row r="22">
      <c r="A22" t="inlineStr">
        <is>
          <t>V</t>
        </is>
      </c>
      <c r="B22" t="inlineStr"/>
      <c r="C22" t="inlineStr"/>
      <c r="D22" t="inlineStr"/>
    </row>
    <row r="23">
      <c r="A23" t="inlineStr">
        <is>
          <t>iking</t>
        </is>
      </c>
      <c r="B23" t="inlineStr"/>
      <c r="C23" t="inlineStr"/>
      <c r="D23" t="inlineStr"/>
    </row>
    <row r="24">
      <c r="A24" t="inlineStr">
        <is>
          <t>Age 2016 2017 2018 2019 2020 2021 2022 2023 2024 2025</t>
        </is>
      </c>
      <c r="B24" t="inlineStr"/>
      <c r="C24" t="inlineStr"/>
      <c r="D24" t="inlineStr"/>
    </row>
    <row r="25">
      <c r="A25" t="inlineStr">
        <is>
          <t>1 0.96 0.97 1 0.99 0.99 0.99 1.01 1.45 1.09 0.42</t>
        </is>
      </c>
      <c r="B25" t="inlineStr"/>
      <c r="C25" t="inlineStr"/>
      <c r="D25" t="inlineStr"/>
    </row>
    <row r="26">
      <c r="A26" t="inlineStr">
        <is>
          <t>2 0.97 0.95 0.98 1 1 0.99 0.99 1 1.52 1.14</t>
        </is>
      </c>
      <c r="B26" t="inlineStr"/>
      <c r="C26" t="inlineStr"/>
      <c r="D26" t="inlineStr"/>
    </row>
    <row r="27">
      <c r="A27" t="inlineStr">
        <is>
          <t>3 0.98 0.96 0.96 0.98 1 1 0.99 0.99 0.98 1.58</t>
        </is>
      </c>
      <c r="B27" t="inlineStr"/>
      <c r="C27" t="inlineStr"/>
      <c r="D27" t="inlineStr"/>
    </row>
    <row r="28">
      <c r="A28" t="inlineStr">
        <is>
          <t>4 0.99 0.99 0.98 0.98 1 1.01 1 0.97 0.92 0.73</t>
        </is>
      </c>
      <c r="B28" t="inlineStr"/>
      <c r="C28" t="inlineStr"/>
      <c r="D28" t="inlineStr"/>
    </row>
    <row r="29">
      <c r="A29" t="inlineStr">
        <is>
          <t>5 1 0.99 1.01 1.01 1.02 1.01 1 0.99 0.95 0.77</t>
        </is>
      </c>
      <c r="B29" t="inlineStr"/>
      <c r="C29" t="inlineStr"/>
      <c r="D29" t="inlineStr"/>
    </row>
    <row r="30">
      <c r="A30" t="inlineStr">
        <is>
          <t>6 1.01 0.99 0.99 1.01 1.04 1.03 1 0.98 0.95 0.74</t>
        </is>
      </c>
      <c r="B30" t="inlineStr"/>
      <c r="C30" t="inlineStr"/>
      <c r="D30" t="inlineStr"/>
    </row>
    <row r="31">
      <c r="A31" t="inlineStr">
        <is>
          <t>7+ 1 0.99 0.99 1 1.02 1.02 1.02 0.98 0.92 0.85</t>
        </is>
      </c>
      <c r="B31" t="inlineStr"/>
      <c r="C31" t="inlineStr"/>
      <c r="D31" t="inlineStr"/>
    </row>
    <row r="32">
      <c r="A32" t="inlineStr">
        <is>
          <t>ICES</t>
        </is>
      </c>
      <c r="B32" t="inlineStr">
        <is>
          <t>| WGNSSK</t>
        </is>
      </c>
      <c r="C32" t="inlineStr">
        <is>
          <t>2025</t>
        </is>
      </c>
      <c r="D32" t="inlineStr">
        <is>
          <t>| 193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</row>
    <row r="2">
      <c r="A2" t="inlineStr">
        <is>
          <t>(WGNSSK 202 5) and previous (WGNSSK 202 4) assessments.</t>
        </is>
      </c>
      <c r="B2" t="inlineStr"/>
      <c r="C2" t="inlineStr"/>
      <c r="D2" t="inlineStr"/>
    </row>
    <row r="3">
      <c r="A3" t="inlineStr">
        <is>
          <t>Northwestern</t>
        </is>
      </c>
      <c r="B3" t="inlineStr"/>
      <c r="C3" t="inlineStr"/>
      <c r="D3" t="inlineStr"/>
    </row>
    <row r="4">
      <c r="A4" t="inlineStr">
        <is>
          <t>Year</t>
        </is>
      </c>
      <c r="B4" t="inlineStr">
        <is>
          <t>Current assessment</t>
        </is>
      </c>
      <c r="C4" t="inlineStr">
        <is>
          <t>(2025) Previous assessment</t>
        </is>
      </c>
      <c r="D4" t="inlineStr">
        <is>
          <t>(2024)</t>
        </is>
      </c>
    </row>
    <row r="5">
      <c r="A5" t="inlineStr">
        <is>
          <t>Assumed recruitment</t>
        </is>
      </c>
      <c r="B5" t="inlineStr">
        <is>
          <t>2024 39135 56780</t>
        </is>
      </c>
      <c r="C5" t="inlineStr"/>
      <c r="D5" t="inlineStr"/>
    </row>
    <row r="6">
      <c r="A6" t="inlineStr">
        <is>
          <t>2025 67359 102098</t>
        </is>
      </c>
      <c r="B6" t="inlineStr"/>
      <c r="C6" t="inlineStr"/>
      <c r="D6" t="inlineStr"/>
    </row>
    <row r="7">
      <c r="A7" t="inlineStr">
        <is>
          <t>Catch 2024 24877 26500</t>
        </is>
      </c>
      <c r="B7" t="inlineStr"/>
      <c r="C7" t="inlineStr"/>
      <c r="D7" t="inlineStr"/>
    </row>
    <row r="8">
      <c r="A8" t="inlineStr">
        <is>
          <t>SSB 2024 44308 55468</t>
        </is>
      </c>
      <c r="B8" t="inlineStr"/>
      <c r="C8" t="inlineStr"/>
      <c r="D8" t="inlineStr"/>
    </row>
    <row r="9">
      <c r="A9" t="inlineStr">
        <is>
          <t>2025 41270 55567</t>
        </is>
      </c>
      <c r="B9" t="inlineStr"/>
      <c r="C9" t="inlineStr"/>
      <c r="D9" t="inlineStr"/>
    </row>
    <row r="10">
      <c r="A10" t="inlineStr">
        <is>
          <t>F 2024 0.417 0.322</t>
        </is>
      </c>
      <c r="B10" t="inlineStr"/>
      <c r="C10" t="inlineStr"/>
      <c r="D10" t="inlineStr"/>
    </row>
    <row r="11">
      <c r="A11" t="inlineStr">
        <is>
          <t>Target F 2025 0.421 0.111</t>
        </is>
      </c>
      <c r="B11" t="inlineStr"/>
      <c r="C11" t="inlineStr"/>
      <c r="D11" t="inlineStr"/>
    </row>
    <row r="12">
      <c r="A12" t="inlineStr">
        <is>
          <t>S</t>
        </is>
      </c>
      <c r="B12" t="inlineStr"/>
      <c r="C12" t="inlineStr"/>
      <c r="D12" t="inlineStr"/>
    </row>
    <row r="13">
      <c r="A13" t="inlineStr">
        <is>
          <t>outhern</t>
        </is>
      </c>
      <c r="B13" t="inlineStr"/>
      <c r="C13" t="inlineStr"/>
      <c r="D13" t="inlineStr"/>
    </row>
    <row r="14">
      <c r="A14" t="inlineStr">
        <is>
          <t>Year</t>
        </is>
      </c>
      <c r="B14" t="inlineStr">
        <is>
          <t>Current assessment</t>
        </is>
      </c>
      <c r="C14" t="inlineStr">
        <is>
          <t>(2025) Previous assessment</t>
        </is>
      </c>
      <c r="D14" t="inlineStr">
        <is>
          <t>(2024)</t>
        </is>
      </c>
    </row>
    <row r="15">
      <c r="A15" t="inlineStr">
        <is>
          <t>Assumed recruitment</t>
        </is>
      </c>
      <c r="B15" t="inlineStr">
        <is>
          <t>2024 15952 16556</t>
        </is>
      </c>
      <c r="C15" t="inlineStr"/>
      <c r="D15" t="inlineStr"/>
    </row>
    <row r="16">
      <c r="A16" t="inlineStr">
        <is>
          <t>2025 21822 53397</t>
        </is>
      </c>
      <c r="B16" t="inlineStr"/>
      <c r="C16" t="inlineStr"/>
      <c r="D16" t="inlineStr"/>
    </row>
    <row r="17">
      <c r="A17" t="inlineStr">
        <is>
          <t>Catch 2024 4196 4966</t>
        </is>
      </c>
      <c r="B17" t="inlineStr"/>
      <c r="C17" t="inlineStr"/>
      <c r="D17" t="inlineStr"/>
    </row>
    <row r="18">
      <c r="A18" t="inlineStr">
        <is>
          <t>SSB 2024 8887 12131</t>
        </is>
      </c>
      <c r="B18" t="inlineStr"/>
      <c r="C18" t="inlineStr"/>
      <c r="D18" t="inlineStr"/>
    </row>
    <row r="19">
      <c r="A19" t="inlineStr">
        <is>
          <t>2025 9293 12844</t>
        </is>
      </c>
      <c r="B19" t="inlineStr"/>
      <c r="C19" t="inlineStr"/>
      <c r="D19" t="inlineStr"/>
    </row>
    <row r="20">
      <c r="A20" t="inlineStr">
        <is>
          <t>F 2024 0.59 0.428</t>
        </is>
      </c>
      <c r="B20" t="inlineStr"/>
      <c r="C20" t="inlineStr"/>
      <c r="D20" t="inlineStr"/>
    </row>
    <row r="21">
      <c r="A21" t="inlineStr">
        <is>
          <t>Target F 2025 0.591 0.152</t>
        </is>
      </c>
      <c r="B21" t="inlineStr"/>
      <c r="C21" t="inlineStr"/>
      <c r="D21" t="inlineStr"/>
    </row>
    <row r="22">
      <c r="A22" t="inlineStr">
        <is>
          <t>V</t>
        </is>
      </c>
      <c r="B22" t="inlineStr"/>
      <c r="C22" t="inlineStr"/>
      <c r="D22" t="inlineStr"/>
    </row>
    <row r="23">
      <c r="A23" t="inlineStr">
        <is>
          <t>iking</t>
        </is>
      </c>
      <c r="B23" t="inlineStr"/>
      <c r="C23" t="inlineStr"/>
      <c r="D23" t="inlineStr"/>
    </row>
    <row r="24">
      <c r="A24" t="inlineStr">
        <is>
          <t>Year</t>
        </is>
      </c>
      <c r="B24" t="inlineStr">
        <is>
          <t>Current assessment</t>
        </is>
      </c>
      <c r="C24" t="inlineStr">
        <is>
          <t>(2025) Previous assessment</t>
        </is>
      </c>
      <c r="D24" t="inlineStr">
        <is>
          <t>(2024)</t>
        </is>
      </c>
    </row>
    <row r="25">
      <c r="A25" t="inlineStr">
        <is>
          <t>Assumed recruitment</t>
        </is>
      </c>
      <c r="B25" t="inlineStr">
        <is>
          <t>2024 7800 7483</t>
        </is>
      </c>
      <c r="C25" t="inlineStr"/>
      <c r="D25" t="inlineStr"/>
    </row>
    <row r="26">
      <c r="A26" t="inlineStr">
        <is>
          <t>2025 14788 39382</t>
        </is>
      </c>
      <c r="B26" t="inlineStr"/>
      <c r="C26" t="inlineStr"/>
      <c r="D26" t="inlineStr"/>
    </row>
    <row r="27">
      <c r="A27" t="inlineStr">
        <is>
          <t>Catch 2024 10501 9060</t>
        </is>
      </c>
      <c r="B27" t="inlineStr"/>
      <c r="C27" t="inlineStr"/>
      <c r="D27" t="inlineStr"/>
    </row>
    <row r="28">
      <c r="A28" t="inlineStr">
        <is>
          <t>SSB 2024 13395 14272</t>
        </is>
      </c>
      <c r="B28" t="inlineStr"/>
      <c r="C28" t="inlineStr"/>
      <c r="D28" t="inlineStr"/>
    </row>
    <row r="29">
      <c r="A29" t="inlineStr">
        <is>
          <t>2025 12968 15249</t>
        </is>
      </c>
      <c r="B29" t="inlineStr"/>
      <c r="C29" t="inlineStr"/>
      <c r="D29" t="inlineStr"/>
    </row>
    <row r="30">
      <c r="A30" t="inlineStr">
        <is>
          <t>F 2024 0.338 0.256</t>
        </is>
      </c>
      <c r="B30" t="inlineStr"/>
      <c r="C30" t="inlineStr"/>
      <c r="D30" t="inlineStr"/>
    </row>
    <row r="31">
      <c r="A31" t="inlineStr">
        <is>
          <t>Target F 2025 0.342 0.088</t>
        </is>
      </c>
      <c r="B31" t="inlineStr"/>
      <c r="C31" t="inlineStr"/>
      <c r="D31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number</t>
        </is>
      </c>
      <c r="B1" s="1" t="inlineStr">
        <is>
          <t>Title</t>
        </is>
      </c>
      <c r="C1" s="1" t="inlineStr">
        <is>
          <t>Rows</t>
        </is>
      </c>
      <c r="D1" s="1" t="inlineStr">
        <is>
          <t>Cols</t>
        </is>
      </c>
      <c r="E1" s="1" t="inlineStr">
        <is>
          <t>Status</t>
        </is>
      </c>
    </row>
    <row r="2">
      <c r="A2" t="inlineStr">
        <is>
          <t>4.1_1</t>
        </is>
      </c>
      <c r="B2" t="inlineStr">
        <is>
          <t>a. Cod in Subarea 4, divisions 6.a and 7.d, and Subdivision 20. Nominal landings (in tonnes) as officially reported to ICES, and as used by the Working Group</t>
        </is>
      </c>
      <c r="C2" t="n">
        <v>104</v>
      </c>
      <c r="D2" t="n">
        <v>20</v>
      </c>
      <c r="E2" t="inlineStr">
        <is>
          <t>tokenized</t>
        </is>
      </c>
    </row>
    <row r="3">
      <c r="A3" t="inlineStr">
        <is>
          <t>4.1_2</t>
        </is>
      </c>
      <c r="B3" t="inlineStr">
        <is>
          <t>b. Cod in Subarea 4, divisions 6.a and 7.d, and Subdivision 20 . Sampling coverage for discard ratio, landings age</t>
        </is>
      </c>
      <c r="C3" t="n">
        <v>30</v>
      </c>
      <c r="D3" t="n">
        <v>4</v>
      </c>
      <c r="E3" t="inlineStr">
        <is>
          <t>tokenized</t>
        </is>
      </c>
    </row>
    <row r="4">
      <c r="A4" t="inlineStr">
        <is>
          <t>4.2_1</t>
        </is>
      </c>
      <c r="B4" t="inlineStr">
        <is>
          <t>a. Cod in Subarea 4, divisions 6.a and 7.d, and Subdivision 20 . Landings numbers -at-age ( thousands)</t>
        </is>
      </c>
      <c r="C4" t="n">
        <v>45</v>
      </c>
      <c r="D4" t="n">
        <v>4</v>
      </c>
      <c r="E4" t="inlineStr">
        <is>
          <t>tokenized</t>
        </is>
      </c>
    </row>
    <row r="5">
      <c r="A5" t="inlineStr">
        <is>
          <t>4.2_2</t>
        </is>
      </c>
      <c r="B5" t="inlineStr">
        <is>
          <t>b. Cod in Subarea 4, divisions 6.a and 7.d, and Subdivision 20 . Discard numbers -at-age (including BMS landings</t>
        </is>
      </c>
      <c r="C5" t="n">
        <v>47</v>
      </c>
      <c r="D5" t="n">
        <v>4</v>
      </c>
      <c r="E5" t="inlineStr">
        <is>
          <t>tokenized</t>
        </is>
      </c>
    </row>
    <row r="6">
      <c r="A6" t="inlineStr">
        <is>
          <t>4.2_3</t>
        </is>
      </c>
      <c r="B6" t="inlineStr">
        <is>
          <t>c. Cod in Subarea 4, divisions 6.a and 7.d, and Subdivision 20 . Catch numbers -at-age ( thousands)</t>
        </is>
      </c>
      <c r="C6" t="n">
        <v>45</v>
      </c>
      <c r="D6" t="n">
        <v>2</v>
      </c>
      <c r="E6" t="inlineStr">
        <is>
          <t>tokenized</t>
        </is>
      </c>
    </row>
    <row r="7">
      <c r="A7" t="inlineStr">
        <is>
          <t>4.3</t>
        </is>
      </c>
      <c r="B7" t="inlineStr">
        <is>
          <t>Cod in Subarea 4, Divisions 6.a and 7.d, and Subdivision 20. Reported landings, estimated discards (including</t>
        </is>
      </c>
      <c r="C7" t="n">
        <v>69</v>
      </c>
      <c r="D7" t="n">
        <v>4</v>
      </c>
      <c r="E7" t="inlineStr">
        <is>
          <t>tokenized</t>
        </is>
      </c>
    </row>
    <row r="8">
      <c r="A8" t="inlineStr">
        <is>
          <t>4.4_1</t>
        </is>
      </c>
      <c r="B8" t="inlineStr">
        <is>
          <t>a. Cod in Subarea 4, divisions 6.a and 7.d, and Subdivision 20 . Landings weights -at-age (kg)</t>
        </is>
      </c>
      <c r="C8" t="n">
        <v>47</v>
      </c>
      <c r="D8" t="n">
        <v>4</v>
      </c>
      <c r="E8" t="inlineStr">
        <is>
          <t>tokenized</t>
        </is>
      </c>
    </row>
    <row r="9">
      <c r="A9" t="inlineStr">
        <is>
          <t>4.4_2</t>
        </is>
      </c>
      <c r="B9" t="inlineStr">
        <is>
          <t>b. Cod in Subarea 4, divisions 6.a and 7.d, and Subdivision 20 . Discard weights -at-age (includes BMS landings</t>
        </is>
      </c>
      <c r="C9" t="n">
        <v>46</v>
      </c>
      <c r="D9" t="n">
        <v>4</v>
      </c>
      <c r="E9" t="inlineStr">
        <is>
          <t>tokenized</t>
        </is>
      </c>
    </row>
    <row r="10">
      <c r="A10" t="inlineStr">
        <is>
          <t>4.4_3</t>
        </is>
      </c>
      <c r="B10" t="inlineStr">
        <is>
          <t>c. Cod in Subarea 4, divisions 6.a and 7.d, and Subdivision 20 . Catch weights -at-age (kg)</t>
        </is>
      </c>
      <c r="C10" t="n">
        <v>47</v>
      </c>
      <c r="D10" t="n">
        <v>4</v>
      </c>
      <c r="E10" t="inlineStr">
        <is>
          <t>tokenized</t>
        </is>
      </c>
    </row>
    <row r="11">
      <c r="A11" t="inlineStr">
        <is>
          <t>4.5_1</t>
        </is>
      </c>
      <c r="B11" t="inlineStr">
        <is>
          <t>a. Cod in Subarea 4, divisions 6.a and 7.d, and Subdivision 20 . Stock weights -at-age (kg) by substock</t>
        </is>
      </c>
      <c r="C11" t="n">
        <v>144</v>
      </c>
      <c r="D11" t="n">
        <v>4</v>
      </c>
      <c r="E11" t="inlineStr">
        <is>
          <t>tokenized</t>
        </is>
      </c>
    </row>
    <row r="12">
      <c r="A12" t="inlineStr">
        <is>
          <t>4.5_2</t>
        </is>
      </c>
      <c r="B12" t="inlineStr">
        <is>
          <t>b. Cod in Subarea 4, divisions 6.a and 7.d, and Subdivision 20 . Proportion mature by age group and substock</t>
        </is>
      </c>
      <c r="C12" t="n">
        <v>143</v>
      </c>
      <c r="D12" t="n">
        <v>4</v>
      </c>
      <c r="E12" t="inlineStr">
        <is>
          <t>tokenized</t>
        </is>
      </c>
    </row>
    <row r="13">
      <c r="A13" t="inlineStr">
        <is>
          <t>4.5_3</t>
        </is>
      </c>
      <c r="B13" t="inlineStr">
        <is>
          <t>c. Cod in Subarea 4, divisions 6.a and 7.d, and Subdivision 20 . Natural mortality by age group. Values are as-</t>
        </is>
      </c>
      <c r="C13" t="n">
        <v>52</v>
      </c>
      <c r="D13" t="n">
        <v>7</v>
      </c>
      <c r="E13" t="inlineStr">
        <is>
          <t>tokenized</t>
        </is>
      </c>
    </row>
    <row r="14">
      <c r="A14" t="inlineStr">
        <is>
          <t>4.6_1</t>
        </is>
      </c>
      <c r="B14" t="inlineStr">
        <is>
          <t>a. Cod in Subarea 4, divisions 6.a and 7.d, and Subdivision 20 . Delta -GAM tuning indices and standard deviations by substock in Q1</t>
        </is>
      </c>
      <c r="C14" t="n">
        <v>148</v>
      </c>
      <c r="D14" t="n">
        <v>4</v>
      </c>
      <c r="E14" t="inlineStr">
        <is>
          <t>tokenized</t>
        </is>
      </c>
    </row>
    <row r="15">
      <c r="A15" t="inlineStr">
        <is>
          <t>4.6_2</t>
        </is>
      </c>
      <c r="B15" t="inlineStr">
        <is>
          <t>b. Cod in Subarea 4, divisions 6.a and 7.d, and Subdivision 20 . Delta -GAM tuning indices and standard deviations for the Northern Shelf cod stock (all substocks) in Q3+Q4</t>
        </is>
      </c>
      <c r="C15" t="n">
        <v>39</v>
      </c>
      <c r="D15" t="n">
        <v>4</v>
      </c>
      <c r="E15" t="inlineStr">
        <is>
          <t>tokenized</t>
        </is>
      </c>
    </row>
    <row r="16">
      <c r="A16" t="inlineStr">
        <is>
          <t>4.6_3</t>
        </is>
      </c>
      <c r="B16" t="inlineStr">
        <is>
          <t>c. Cod in Subarea 4, divisions 6.a and 7.d, and Subdivision 20. Delta -GAM recruitment indices and standard</t>
        </is>
      </c>
      <c r="C16" t="n">
        <v>38</v>
      </c>
      <c r="D16" t="n">
        <v>4</v>
      </c>
      <c r="E16" t="inlineStr">
        <is>
          <t>tokenized</t>
        </is>
      </c>
    </row>
    <row r="17">
      <c r="A17" t="inlineStr">
        <is>
          <t>4.7_1</t>
        </is>
      </c>
      <c r="B17" t="inlineStr">
        <is>
          <t>a. Cod in Subarea 4, divisions 6.a and 7.d, and Subdivision 20. Multistock SAM final run stock- wise configuration</t>
        </is>
      </c>
      <c r="C17" t="n">
        <v>345</v>
      </c>
      <c r="D17" t="n">
        <v>7</v>
      </c>
      <c r="E17" t="inlineStr">
        <is>
          <t>tokenized</t>
        </is>
      </c>
    </row>
    <row r="18">
      <c r="A18" t="inlineStr">
        <is>
          <t>4.7_2</t>
        </is>
      </c>
      <c r="B18" t="inlineStr">
        <is>
          <t>b. Cod in Subarea 4, divisions 6.a and 7.d, and Subdivision 20. Multistock SAM final run stock- complex configu-</t>
        </is>
      </c>
      <c r="C18" t="n">
        <v>55</v>
      </c>
      <c r="D18" t="n">
        <v>6</v>
      </c>
      <c r="E18" t="inlineStr">
        <is>
          <t>tokenized</t>
        </is>
      </c>
    </row>
    <row r="19">
      <c r="A19" t="inlineStr">
        <is>
          <t>4.7_3</t>
        </is>
      </c>
      <c r="B19" t="inlineStr">
        <is>
          <t>d. Cod in Subarea 4, divisions 6.a and 7.d, and Subdivision 20 . Multistock SAM final run model fitting diagnostics</t>
        </is>
      </c>
      <c r="C19" t="n">
        <v>4</v>
      </c>
      <c r="D19" t="n">
        <v>3</v>
      </c>
      <c r="E19" t="inlineStr">
        <is>
          <t>tokenized</t>
        </is>
      </c>
    </row>
    <row r="20">
      <c r="A20" t="inlineStr">
        <is>
          <t>4.8</t>
        </is>
      </c>
      <c r="B20" t="inlineStr">
        <is>
          <t>Cod in Subarea 4, divisions 6.a and 7.d, and Subdivision 20: Multistock SAM final run estimated fishing mortal-</t>
        </is>
      </c>
      <c r="C20" t="n">
        <v>141</v>
      </c>
      <c r="D20" t="n">
        <v>4</v>
      </c>
      <c r="E20" t="inlineStr">
        <is>
          <t>tokenized</t>
        </is>
      </c>
    </row>
    <row r="21">
      <c r="A21" t="inlineStr">
        <is>
          <t>4.9</t>
        </is>
      </c>
      <c r="B21" t="inlineStr">
        <is>
          <t>Cod in Subarea 4, divisions 6.a and 7.d, and Subdivision 20 . Multistock SAM final run estimated population</t>
        </is>
      </c>
      <c r="C21" t="n">
        <v>146</v>
      </c>
      <c r="D21" t="n">
        <v>4</v>
      </c>
      <c r="E21" t="inlineStr">
        <is>
          <t>tokenized</t>
        </is>
      </c>
    </row>
    <row r="22">
      <c r="A22" t="inlineStr">
        <is>
          <t>4.10</t>
        </is>
      </c>
      <c r="B22" t="inlineStr">
        <is>
          <t>Cod in Subarea 4, divisions 6.a and 7.d, and Subdivision 20: Multistock SAM final run estimated catches -at-</t>
        </is>
      </c>
      <c r="C22" t="n">
        <v>141</v>
      </c>
      <c r="D22" t="n">
        <v>4</v>
      </c>
      <c r="E22" t="inlineStr">
        <is>
          <t>tokenized</t>
        </is>
      </c>
    </row>
    <row r="23">
      <c r="A23" t="inlineStr">
        <is>
          <t>4.11</t>
        </is>
      </c>
      <c r="B23" t="inlineStr">
        <is>
          <t>Cod in Subarea 4, divisions 6.a and 7.d, and Subdivision 20 . Multistock SAM final run estimated stock weights -</t>
        </is>
      </c>
      <c r="C23" t="n">
        <v>145</v>
      </c>
      <c r="D23" t="n">
        <v>4</v>
      </c>
      <c r="E23" t="inlineStr">
        <is>
          <t>tokenized</t>
        </is>
      </c>
    </row>
    <row r="24">
      <c r="A24" t="inlineStr">
        <is>
          <t>4.12</t>
        </is>
      </c>
      <c r="B24" t="inlineStr">
        <is>
          <t>Cod in Subarea 4, divisions 6.a and 7.d, and Subdivision 20 . Multistock SAM final run estimated maturity -at-</t>
        </is>
      </c>
      <c r="C24" t="n">
        <v>146</v>
      </c>
      <c r="D24" t="n">
        <v>4</v>
      </c>
      <c r="E24" t="inlineStr">
        <is>
          <t>tokenized</t>
        </is>
      </c>
    </row>
    <row r="25">
      <c r="A25" t="inlineStr">
        <is>
          <t>4.13</t>
        </is>
      </c>
      <c r="B25" t="inlineStr">
        <is>
          <t>Cod in Subarea 4, divisions 6.a and 7.d, and Subdivision 20 . Multistock SAM final run estimated natural mor-</t>
        </is>
      </c>
      <c r="C25" t="n">
        <v>145</v>
      </c>
      <c r="D25" t="n">
        <v>4</v>
      </c>
      <c r="E25" t="inlineStr">
        <is>
          <t>tokenized</t>
        </is>
      </c>
    </row>
    <row r="26">
      <c r="A26" t="inlineStr">
        <is>
          <t>4.14</t>
        </is>
      </c>
      <c r="B26" t="inlineStr">
        <is>
          <t>Cod in Subarea 4, divisions 6.a and 7.d, and Subdivision 20 . Multi -stock SAM final run estimated stock and management metrics for each sub -stock, together with the lower and</t>
        </is>
      </c>
      <c r="C26" t="n">
        <v>192</v>
      </c>
      <c r="D26" t="n">
        <v>6</v>
      </c>
      <c r="E26" t="inlineStr">
        <is>
          <t>tokenized</t>
        </is>
      </c>
    </row>
    <row r="27">
      <c r="A27" t="inlineStr">
        <is>
          <t>4.15</t>
        </is>
      </c>
      <c r="B27" t="inlineStr">
        <is>
          <t>Cod in Subarea 4, divisions 6.a and 7.d, and Subdivision 20.   Catch scenarios for each substock based on the</t>
        </is>
      </c>
      <c r="C27" t="n">
        <v>108</v>
      </c>
      <c r="D27" t="n">
        <v>4</v>
      </c>
      <c r="E27" t="inlineStr">
        <is>
          <t>tokenized</t>
        </is>
      </c>
    </row>
    <row r="28">
      <c r="A28" t="inlineStr">
        <is>
          <t>4.16_1</t>
        </is>
      </c>
      <c r="B28" t="inlineStr">
        <is>
          <t>a. Cod in Subarea 4, divisions 6.a and 7.d, and Subdivision 20. Ratio of numbers -at-age from stock assessment</t>
        </is>
      </c>
      <c r="C28" t="n">
        <v>31</v>
      </c>
      <c r="D28" t="n">
        <v>1</v>
      </c>
      <c r="E28" t="inlineStr">
        <is>
          <t>tokenized</t>
        </is>
      </c>
    </row>
    <row r="29">
      <c r="A29" t="inlineStr">
        <is>
          <t>4.16_2</t>
        </is>
      </c>
      <c r="B29" t="inlineStr">
        <is>
          <t>b. Cod in Subarea 4, divisions 6.a and 7.d, and Subdivision 20. Ratio of biomass -at-age from stock assessment</t>
        </is>
      </c>
      <c r="C29" t="n">
        <v>31</v>
      </c>
      <c r="D29" t="n">
        <v>4</v>
      </c>
      <c r="E29" t="inlineStr">
        <is>
          <t>tokenized</t>
        </is>
      </c>
    </row>
    <row r="30">
      <c r="A30" t="inlineStr">
        <is>
          <t>4.17</t>
        </is>
      </c>
      <c r="B30" t="inlineStr">
        <is>
          <t>Cod in Subarea 4, divisions 6.a and 7.d, and Subdivision 20. Summary of forecast assumptions from the current</t>
        </is>
      </c>
      <c r="C30" t="n">
        <v>30</v>
      </c>
      <c r="D30" t="n">
        <v>4</v>
      </c>
      <c r="E30" t="inlineStr">
        <is>
          <t>tokenized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2026-03-03T00:11:44Z</dcterms:created>
  <dcterms:modified xmlns:dcterms="http://purl.org/dc/terms/" xmlns:xsi="http://www.w3.org/2001/XMLSchema-instance" xsi:type="dcterms:W3CDTF">2026-03-03T00:11:44Z</dcterms:modified>
</cp:coreProperties>
</file>