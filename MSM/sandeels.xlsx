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1_{A8DCCF55-31DB-461B-8499-DB06154F5122}" xr6:coauthVersionLast="47" xr6:coauthVersionMax="47" xr10:uidLastSave="{00000000-0000-0000-0000-000000000000}"/>
  <bookViews>
    <workbookView xWindow="-120" yWindow="-16320" windowWidth="29040" windowHeight="15720" firstSheet="14" activeTab="16" xr2:uid="{823D27E6-8ED8-453C-8B88-9404483DC7CA}"/>
  </bookViews>
  <sheets>
    <sheet name="1r Table 9.2.8 - NM" sheetId="1" r:id="rId1"/>
    <sheet name="1r Table 9.2.6- FM" sheetId="2" r:id="rId2"/>
    <sheet name="1r Table 9.2.9 Num" sheetId="3" r:id="rId3"/>
    <sheet name="1r Table 9.2.2 - WA" sheetId="4" r:id="rId4"/>
    <sheet name="1r Table 9.2.3 - AM" sheetId="5" r:id="rId5"/>
    <sheet name="2r Table 9.3.8 - NM" sheetId="6" r:id="rId6"/>
    <sheet name="2r Table 9.3.6- FM" sheetId="7" r:id="rId7"/>
    <sheet name="2r Table 9.3.9 Num" sheetId="8" r:id="rId8"/>
    <sheet name="2r Table 9.3.2 - WA" sheetId="9" r:id="rId9"/>
    <sheet name="2r Table 9.3.3 - AM" sheetId="10" r:id="rId10"/>
    <sheet name="3r Table 9.4.8 - NM" sheetId="11" r:id="rId11"/>
    <sheet name="3r Table 9.4.6- FM" sheetId="12" r:id="rId12"/>
    <sheet name="3r Table 9.4.9 Num " sheetId="13" r:id="rId13"/>
    <sheet name="3r Table 9.4.2 - WA" sheetId="14" r:id="rId14"/>
    <sheet name="3r Table 9.4.3 - AM" sheetId="15" r:id="rId15"/>
    <sheet name="4 Table 9.5.8 - NM" sheetId="16" r:id="rId16"/>
    <sheet name="4 Table 9.5.6- FM" sheetId="17" r:id="rId17"/>
    <sheet name="4 Table 9.5.9 Num" sheetId="18" r:id="rId18"/>
    <sheet name="4 Table 9.5.2 - WA" sheetId="19" r:id="rId19"/>
    <sheet name="4 Table 9.5.3 - AM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9" l="1"/>
  <c r="C3" i="19"/>
  <c r="D3" i="19"/>
  <c r="E3" i="19"/>
  <c r="F3" i="19"/>
  <c r="B4" i="19"/>
  <c r="C4" i="19"/>
  <c r="D4" i="19"/>
  <c r="E4" i="19"/>
  <c r="F4" i="19"/>
  <c r="B5" i="19"/>
  <c r="C5" i="19"/>
  <c r="D5" i="19"/>
  <c r="E5" i="19"/>
  <c r="F5" i="19"/>
  <c r="B6" i="19"/>
  <c r="C6" i="19"/>
  <c r="D6" i="19"/>
  <c r="E6" i="19"/>
  <c r="F6" i="19"/>
  <c r="B7" i="19"/>
  <c r="C7" i="19"/>
  <c r="D7" i="19"/>
  <c r="E7" i="19"/>
  <c r="F7" i="19"/>
  <c r="B8" i="19"/>
  <c r="C8" i="19"/>
  <c r="D8" i="19"/>
  <c r="E8" i="19"/>
  <c r="F8" i="19"/>
  <c r="B9" i="19"/>
  <c r="C9" i="19"/>
  <c r="D9" i="19"/>
  <c r="E9" i="19"/>
  <c r="F9" i="19"/>
  <c r="B10" i="19"/>
  <c r="C10" i="19"/>
  <c r="D10" i="19"/>
  <c r="E10" i="19"/>
  <c r="F10" i="19"/>
  <c r="B11" i="19"/>
  <c r="C11" i="19"/>
  <c r="D11" i="19"/>
  <c r="E11" i="19"/>
  <c r="F11" i="19"/>
  <c r="B12" i="19"/>
  <c r="C12" i="19"/>
  <c r="D12" i="19"/>
  <c r="E12" i="19"/>
  <c r="F12" i="19"/>
  <c r="B13" i="19"/>
  <c r="C13" i="19"/>
  <c r="D13" i="19"/>
  <c r="E13" i="19"/>
  <c r="F13" i="19"/>
  <c r="B14" i="19"/>
  <c r="C14" i="19"/>
  <c r="D14" i="19"/>
  <c r="E14" i="19"/>
  <c r="F14" i="19"/>
  <c r="B15" i="19"/>
  <c r="C15" i="19"/>
  <c r="D15" i="19"/>
  <c r="E15" i="19"/>
  <c r="F15" i="19"/>
  <c r="B16" i="19"/>
  <c r="C16" i="19"/>
  <c r="D16" i="19"/>
  <c r="E16" i="19"/>
  <c r="F16" i="19"/>
  <c r="B17" i="19"/>
  <c r="C17" i="19"/>
  <c r="D17" i="19"/>
  <c r="E17" i="19"/>
  <c r="F17" i="19"/>
  <c r="B18" i="19"/>
  <c r="C18" i="19"/>
  <c r="D18" i="19"/>
  <c r="E18" i="19"/>
  <c r="F18" i="19"/>
  <c r="B19" i="19"/>
  <c r="C19" i="19"/>
  <c r="D19" i="19"/>
  <c r="E19" i="19"/>
  <c r="F19" i="19"/>
  <c r="B20" i="19"/>
  <c r="C20" i="19"/>
  <c r="D20" i="19"/>
  <c r="E20" i="19"/>
  <c r="F20" i="19"/>
  <c r="B21" i="19"/>
  <c r="C21" i="19"/>
  <c r="D21" i="19"/>
  <c r="E21" i="19"/>
  <c r="F21" i="19"/>
  <c r="B22" i="19"/>
  <c r="C22" i="19"/>
  <c r="D22" i="19"/>
  <c r="E22" i="19"/>
  <c r="F22" i="19"/>
  <c r="B23" i="19"/>
  <c r="C23" i="19"/>
  <c r="D23" i="19"/>
  <c r="E23" i="19"/>
  <c r="F23" i="19"/>
  <c r="B24" i="19"/>
  <c r="C24" i="19"/>
  <c r="D24" i="19"/>
  <c r="E24" i="19"/>
  <c r="F24" i="19"/>
  <c r="B25" i="19"/>
  <c r="C25" i="19"/>
  <c r="D25" i="19"/>
  <c r="E25" i="19"/>
  <c r="F25" i="19"/>
  <c r="B26" i="19"/>
  <c r="C26" i="19"/>
  <c r="D26" i="19"/>
  <c r="E26" i="19"/>
  <c r="F26" i="19"/>
  <c r="B27" i="19"/>
  <c r="C27" i="19"/>
  <c r="D27" i="19"/>
  <c r="E27" i="19"/>
  <c r="F27" i="19"/>
  <c r="B28" i="19"/>
  <c r="C28" i="19"/>
  <c r="D28" i="19"/>
  <c r="E28" i="19"/>
  <c r="F28" i="19"/>
  <c r="B29" i="19"/>
  <c r="C29" i="19"/>
  <c r="D29" i="19"/>
  <c r="E29" i="19"/>
  <c r="F29" i="19"/>
  <c r="B30" i="19"/>
  <c r="C30" i="19"/>
  <c r="D30" i="19"/>
  <c r="E30" i="19"/>
  <c r="F30" i="19"/>
  <c r="B31" i="19"/>
  <c r="C31" i="19"/>
  <c r="D31" i="19"/>
  <c r="E31" i="19"/>
  <c r="F31" i="19"/>
  <c r="B32" i="19"/>
  <c r="C32" i="19"/>
  <c r="D32" i="19"/>
  <c r="E32" i="19"/>
  <c r="F32" i="19"/>
  <c r="B33" i="19"/>
  <c r="C33" i="19"/>
  <c r="D33" i="19"/>
  <c r="E33" i="19"/>
  <c r="F33" i="19"/>
  <c r="B34" i="19"/>
  <c r="C34" i="19"/>
  <c r="D34" i="19"/>
  <c r="E34" i="19"/>
  <c r="F34" i="19"/>
  <c r="C2" i="19"/>
  <c r="D2" i="19"/>
  <c r="E2" i="19"/>
  <c r="F2" i="19"/>
  <c r="B2" i="19"/>
  <c r="O7" i="13"/>
  <c r="B3" i="14"/>
  <c r="C3" i="14"/>
  <c r="D3" i="14"/>
  <c r="E3" i="14"/>
  <c r="F3" i="14"/>
  <c r="B4" i="14"/>
  <c r="C4" i="14"/>
  <c r="D4" i="14"/>
  <c r="E4" i="14"/>
  <c r="F4" i="14"/>
  <c r="B5" i="14"/>
  <c r="C5" i="14"/>
  <c r="D5" i="14"/>
  <c r="E5" i="14"/>
  <c r="F5" i="14"/>
  <c r="B6" i="14"/>
  <c r="C6" i="14"/>
  <c r="D6" i="14"/>
  <c r="E6" i="14"/>
  <c r="F6" i="14"/>
  <c r="B7" i="14"/>
  <c r="C7" i="14"/>
  <c r="D7" i="14"/>
  <c r="E7" i="14"/>
  <c r="F7" i="14"/>
  <c r="B8" i="14"/>
  <c r="C8" i="14"/>
  <c r="D8" i="14"/>
  <c r="E8" i="14"/>
  <c r="F8" i="14"/>
  <c r="B9" i="14"/>
  <c r="C9" i="14"/>
  <c r="D9" i="14"/>
  <c r="E9" i="14"/>
  <c r="F9" i="14"/>
  <c r="B10" i="14"/>
  <c r="C10" i="14"/>
  <c r="D10" i="14"/>
  <c r="E10" i="14"/>
  <c r="F10" i="14"/>
  <c r="B11" i="14"/>
  <c r="C11" i="14"/>
  <c r="D11" i="14"/>
  <c r="E11" i="14"/>
  <c r="F11" i="14"/>
  <c r="B12" i="14"/>
  <c r="C12" i="14"/>
  <c r="D12" i="14"/>
  <c r="E12" i="14"/>
  <c r="F12" i="14"/>
  <c r="B13" i="14"/>
  <c r="C13" i="14"/>
  <c r="D13" i="14"/>
  <c r="E13" i="14"/>
  <c r="F13" i="14"/>
  <c r="B14" i="14"/>
  <c r="C14" i="14"/>
  <c r="D14" i="14"/>
  <c r="E14" i="14"/>
  <c r="F14" i="14"/>
  <c r="B15" i="14"/>
  <c r="C15" i="14"/>
  <c r="D15" i="14"/>
  <c r="E15" i="14"/>
  <c r="F15" i="14"/>
  <c r="B16" i="14"/>
  <c r="C16" i="14"/>
  <c r="D16" i="14"/>
  <c r="E16" i="14"/>
  <c r="F16" i="14"/>
  <c r="B17" i="14"/>
  <c r="C17" i="14"/>
  <c r="D17" i="14"/>
  <c r="E17" i="14"/>
  <c r="F17" i="14"/>
  <c r="B18" i="14"/>
  <c r="C18" i="14"/>
  <c r="D18" i="14"/>
  <c r="E18" i="14"/>
  <c r="F18" i="14"/>
  <c r="B19" i="14"/>
  <c r="C19" i="14"/>
  <c r="D19" i="14"/>
  <c r="E19" i="14"/>
  <c r="F19" i="14"/>
  <c r="B20" i="14"/>
  <c r="C20" i="14"/>
  <c r="D20" i="14"/>
  <c r="E20" i="14"/>
  <c r="F20" i="14"/>
  <c r="B21" i="14"/>
  <c r="C21" i="14"/>
  <c r="D21" i="14"/>
  <c r="E21" i="14"/>
  <c r="F21" i="14"/>
  <c r="B22" i="14"/>
  <c r="C22" i="14"/>
  <c r="D22" i="14"/>
  <c r="E22" i="14"/>
  <c r="F22" i="14"/>
  <c r="B23" i="14"/>
  <c r="C23" i="14"/>
  <c r="D23" i="14"/>
  <c r="E23" i="14"/>
  <c r="F23" i="14"/>
  <c r="B24" i="14"/>
  <c r="C24" i="14"/>
  <c r="D24" i="14"/>
  <c r="E24" i="14"/>
  <c r="F24" i="14"/>
  <c r="B25" i="14"/>
  <c r="C25" i="14"/>
  <c r="D25" i="14"/>
  <c r="E25" i="14"/>
  <c r="F25" i="14"/>
  <c r="B26" i="14"/>
  <c r="C26" i="14"/>
  <c r="D26" i="14"/>
  <c r="E26" i="14"/>
  <c r="F26" i="14"/>
  <c r="B27" i="14"/>
  <c r="C27" i="14"/>
  <c r="D27" i="14"/>
  <c r="E27" i="14"/>
  <c r="F27" i="14"/>
  <c r="B28" i="14"/>
  <c r="C28" i="14"/>
  <c r="D28" i="14"/>
  <c r="E28" i="14"/>
  <c r="F28" i="14"/>
  <c r="B29" i="14"/>
  <c r="C29" i="14"/>
  <c r="D29" i="14"/>
  <c r="E29" i="14"/>
  <c r="F29" i="14"/>
  <c r="B30" i="14"/>
  <c r="C30" i="14"/>
  <c r="D30" i="14"/>
  <c r="E30" i="14"/>
  <c r="F30" i="14"/>
  <c r="B31" i="14"/>
  <c r="C31" i="14"/>
  <c r="D31" i="14"/>
  <c r="E31" i="14"/>
  <c r="F31" i="14"/>
  <c r="B32" i="14"/>
  <c r="C32" i="14"/>
  <c r="D32" i="14"/>
  <c r="E32" i="14"/>
  <c r="F32" i="14"/>
  <c r="B33" i="14"/>
  <c r="C33" i="14"/>
  <c r="D33" i="14"/>
  <c r="E33" i="14"/>
  <c r="F33" i="14"/>
  <c r="B34" i="14"/>
  <c r="C34" i="14"/>
  <c r="D34" i="14"/>
  <c r="E34" i="14"/>
  <c r="F34" i="14"/>
  <c r="B35" i="14"/>
  <c r="C35" i="14"/>
  <c r="D35" i="14"/>
  <c r="E35" i="14"/>
  <c r="F35" i="14"/>
  <c r="B36" i="14"/>
  <c r="C36" i="14"/>
  <c r="D36" i="14"/>
  <c r="E36" i="14"/>
  <c r="F36" i="14"/>
  <c r="B37" i="14"/>
  <c r="C37" i="14"/>
  <c r="D37" i="14"/>
  <c r="E37" i="14"/>
  <c r="F37" i="14"/>
  <c r="B38" i="14"/>
  <c r="C38" i="14"/>
  <c r="D38" i="14"/>
  <c r="E38" i="14"/>
  <c r="F38" i="14"/>
  <c r="B39" i="14"/>
  <c r="C39" i="14"/>
  <c r="D39" i="14"/>
  <c r="E39" i="14"/>
  <c r="F39" i="14"/>
  <c r="B40" i="14"/>
  <c r="C40" i="14"/>
  <c r="D40" i="14"/>
  <c r="E40" i="14"/>
  <c r="F40" i="14"/>
  <c r="C2" i="14"/>
  <c r="D2" i="14"/>
  <c r="E2" i="14"/>
  <c r="F2" i="14"/>
  <c r="B2" i="14"/>
  <c r="C3" i="6"/>
  <c r="D3" i="6"/>
  <c r="E3" i="6"/>
  <c r="F3" i="6"/>
  <c r="C4" i="6"/>
  <c r="D4" i="6"/>
  <c r="E4" i="6"/>
  <c r="F4" i="6"/>
  <c r="C5" i="6"/>
  <c r="D5" i="6"/>
  <c r="E5" i="6"/>
  <c r="F5" i="6"/>
  <c r="C6" i="6"/>
  <c r="D6" i="6"/>
  <c r="E6" i="6"/>
  <c r="F6" i="6"/>
  <c r="C7" i="6"/>
  <c r="D7" i="6"/>
  <c r="E7" i="6"/>
  <c r="F7" i="6"/>
  <c r="C8" i="6"/>
  <c r="D8" i="6"/>
  <c r="E8" i="6"/>
  <c r="F8" i="6"/>
  <c r="C9" i="6"/>
  <c r="D9" i="6"/>
  <c r="E9" i="6"/>
  <c r="F9" i="6"/>
  <c r="C10" i="6"/>
  <c r="D10" i="6"/>
  <c r="E10" i="6"/>
  <c r="F10" i="6"/>
  <c r="C11" i="6"/>
  <c r="D11" i="6"/>
  <c r="E11" i="6"/>
  <c r="F11" i="6"/>
  <c r="C12" i="6"/>
  <c r="D12" i="6"/>
  <c r="E12" i="6"/>
  <c r="F12" i="6"/>
  <c r="C13" i="6"/>
  <c r="D13" i="6"/>
  <c r="E13" i="6"/>
  <c r="F13" i="6"/>
  <c r="C14" i="6"/>
  <c r="D14" i="6"/>
  <c r="E14" i="6"/>
  <c r="F14" i="6"/>
  <c r="C15" i="6"/>
  <c r="D15" i="6"/>
  <c r="E15" i="6"/>
  <c r="F15" i="6"/>
  <c r="C16" i="6"/>
  <c r="D16" i="6"/>
  <c r="E16" i="6"/>
  <c r="F16" i="6"/>
  <c r="C17" i="6"/>
  <c r="D17" i="6"/>
  <c r="E17" i="6"/>
  <c r="F17" i="6"/>
  <c r="C18" i="6"/>
  <c r="D18" i="6"/>
  <c r="E18" i="6"/>
  <c r="F18" i="6"/>
  <c r="C19" i="6"/>
  <c r="D19" i="6"/>
  <c r="E19" i="6"/>
  <c r="F19" i="6"/>
  <c r="C20" i="6"/>
  <c r="D20" i="6"/>
  <c r="E20" i="6"/>
  <c r="F20" i="6"/>
  <c r="C21" i="6"/>
  <c r="D21" i="6"/>
  <c r="E21" i="6"/>
  <c r="F21" i="6"/>
  <c r="C22" i="6"/>
  <c r="D22" i="6"/>
  <c r="E22" i="6"/>
  <c r="F22" i="6"/>
  <c r="C23" i="6"/>
  <c r="D23" i="6"/>
  <c r="E23" i="6"/>
  <c r="F23" i="6"/>
  <c r="C24" i="6"/>
  <c r="D24" i="6"/>
  <c r="E24" i="6"/>
  <c r="F24" i="6"/>
  <c r="C25" i="6"/>
  <c r="D25" i="6"/>
  <c r="E25" i="6"/>
  <c r="F25" i="6"/>
  <c r="C26" i="6"/>
  <c r="D26" i="6"/>
  <c r="E26" i="6"/>
  <c r="F26" i="6"/>
  <c r="C27" i="6"/>
  <c r="D27" i="6"/>
  <c r="E27" i="6"/>
  <c r="F27" i="6"/>
  <c r="C28" i="6"/>
  <c r="D28" i="6"/>
  <c r="E28" i="6"/>
  <c r="F28" i="6"/>
  <c r="C29" i="6"/>
  <c r="D29" i="6"/>
  <c r="E29" i="6"/>
  <c r="F29" i="6"/>
  <c r="C30" i="6"/>
  <c r="D30" i="6"/>
  <c r="E30" i="6"/>
  <c r="F30" i="6"/>
  <c r="C31" i="6"/>
  <c r="D31" i="6"/>
  <c r="E31" i="6"/>
  <c r="F31" i="6"/>
  <c r="C32" i="6"/>
  <c r="D32" i="6"/>
  <c r="E32" i="6"/>
  <c r="F32" i="6"/>
  <c r="C33" i="6"/>
  <c r="D33" i="6"/>
  <c r="E33" i="6"/>
  <c r="F33" i="6"/>
  <c r="C34" i="6"/>
  <c r="D34" i="6"/>
  <c r="E34" i="6"/>
  <c r="F34" i="6"/>
  <c r="C35" i="6"/>
  <c r="D35" i="6"/>
  <c r="E35" i="6"/>
  <c r="F35" i="6"/>
  <c r="C36" i="6"/>
  <c r="D36" i="6"/>
  <c r="E36" i="6"/>
  <c r="F36" i="6"/>
  <c r="C37" i="6"/>
  <c r="D37" i="6"/>
  <c r="E37" i="6"/>
  <c r="F37" i="6"/>
  <c r="C38" i="6"/>
  <c r="D38" i="6"/>
  <c r="E38" i="6"/>
  <c r="F38" i="6"/>
  <c r="C39" i="6"/>
  <c r="D39" i="6"/>
  <c r="E39" i="6"/>
  <c r="F39" i="6"/>
  <c r="C40" i="6"/>
  <c r="D40" i="6"/>
  <c r="E40" i="6"/>
  <c r="F40" i="6"/>
  <c r="C41" i="6"/>
  <c r="D41" i="6"/>
  <c r="E41" i="6"/>
  <c r="F41" i="6"/>
  <c r="C42" i="6"/>
  <c r="D42" i="6"/>
  <c r="E42" i="6"/>
  <c r="F42" i="6"/>
  <c r="C43" i="6"/>
  <c r="D43" i="6"/>
  <c r="E43" i="6"/>
  <c r="F43" i="6"/>
  <c r="C44" i="6"/>
  <c r="D44" i="6"/>
  <c r="E44" i="6"/>
  <c r="F44" i="6"/>
  <c r="D2" i="6"/>
  <c r="E2" i="6"/>
  <c r="F2" i="6"/>
  <c r="C2" i="6"/>
  <c r="B3" i="9"/>
  <c r="C3" i="9"/>
  <c r="D3" i="9"/>
  <c r="E3" i="9"/>
  <c r="F3" i="9"/>
  <c r="B4" i="9"/>
  <c r="C4" i="9"/>
  <c r="D4" i="9"/>
  <c r="E4" i="9"/>
  <c r="F4" i="9"/>
  <c r="B5" i="9"/>
  <c r="C5" i="9"/>
  <c r="D5" i="9"/>
  <c r="E5" i="9"/>
  <c r="F5" i="9"/>
  <c r="B6" i="9"/>
  <c r="C6" i="9"/>
  <c r="D6" i="9"/>
  <c r="E6" i="9"/>
  <c r="F6" i="9"/>
  <c r="B7" i="9"/>
  <c r="C7" i="9"/>
  <c r="D7" i="9"/>
  <c r="E7" i="9"/>
  <c r="F7" i="9"/>
  <c r="B8" i="9"/>
  <c r="C8" i="9"/>
  <c r="D8" i="9"/>
  <c r="E8" i="9"/>
  <c r="F8" i="9"/>
  <c r="B9" i="9"/>
  <c r="C9" i="9"/>
  <c r="D9" i="9"/>
  <c r="E9" i="9"/>
  <c r="F9" i="9"/>
  <c r="B10" i="9"/>
  <c r="C10" i="9"/>
  <c r="D10" i="9"/>
  <c r="E10" i="9"/>
  <c r="F10" i="9"/>
  <c r="B11" i="9"/>
  <c r="C11" i="9"/>
  <c r="D11" i="9"/>
  <c r="E11" i="9"/>
  <c r="F11" i="9"/>
  <c r="B12" i="9"/>
  <c r="C12" i="9"/>
  <c r="D12" i="9"/>
  <c r="E12" i="9"/>
  <c r="F12" i="9"/>
  <c r="B13" i="9"/>
  <c r="C13" i="9"/>
  <c r="D13" i="9"/>
  <c r="E13" i="9"/>
  <c r="F13" i="9"/>
  <c r="B14" i="9"/>
  <c r="C14" i="9"/>
  <c r="D14" i="9"/>
  <c r="E14" i="9"/>
  <c r="F14" i="9"/>
  <c r="B15" i="9"/>
  <c r="C15" i="9"/>
  <c r="D15" i="9"/>
  <c r="E15" i="9"/>
  <c r="F15" i="9"/>
  <c r="B16" i="9"/>
  <c r="C16" i="9"/>
  <c r="D16" i="9"/>
  <c r="E16" i="9"/>
  <c r="F16" i="9"/>
  <c r="B17" i="9"/>
  <c r="C17" i="9"/>
  <c r="D17" i="9"/>
  <c r="E17" i="9"/>
  <c r="F17" i="9"/>
  <c r="B18" i="9"/>
  <c r="C18" i="9"/>
  <c r="D18" i="9"/>
  <c r="E18" i="9"/>
  <c r="F18" i="9"/>
  <c r="B19" i="9"/>
  <c r="C19" i="9"/>
  <c r="D19" i="9"/>
  <c r="E19" i="9"/>
  <c r="F19" i="9"/>
  <c r="B20" i="9"/>
  <c r="C20" i="9"/>
  <c r="D20" i="9"/>
  <c r="E20" i="9"/>
  <c r="F20" i="9"/>
  <c r="B21" i="9"/>
  <c r="C21" i="9"/>
  <c r="D21" i="9"/>
  <c r="E21" i="9"/>
  <c r="F21" i="9"/>
  <c r="B22" i="9"/>
  <c r="C22" i="9"/>
  <c r="D22" i="9"/>
  <c r="E22" i="9"/>
  <c r="F22" i="9"/>
  <c r="B23" i="9"/>
  <c r="C23" i="9"/>
  <c r="D23" i="9"/>
  <c r="E23" i="9"/>
  <c r="F23" i="9"/>
  <c r="B24" i="9"/>
  <c r="C24" i="9"/>
  <c r="D24" i="9"/>
  <c r="E24" i="9"/>
  <c r="F24" i="9"/>
  <c r="B25" i="9"/>
  <c r="C25" i="9"/>
  <c r="D25" i="9"/>
  <c r="E25" i="9"/>
  <c r="F25" i="9"/>
  <c r="B26" i="9"/>
  <c r="C26" i="9"/>
  <c r="D26" i="9"/>
  <c r="E26" i="9"/>
  <c r="F26" i="9"/>
  <c r="B27" i="9"/>
  <c r="C27" i="9"/>
  <c r="D27" i="9"/>
  <c r="E27" i="9"/>
  <c r="F27" i="9"/>
  <c r="B28" i="9"/>
  <c r="C28" i="9"/>
  <c r="D28" i="9"/>
  <c r="E28" i="9"/>
  <c r="F28" i="9"/>
  <c r="B29" i="9"/>
  <c r="C29" i="9"/>
  <c r="D29" i="9"/>
  <c r="E29" i="9"/>
  <c r="F29" i="9"/>
  <c r="B30" i="9"/>
  <c r="C30" i="9"/>
  <c r="D30" i="9"/>
  <c r="E30" i="9"/>
  <c r="F30" i="9"/>
  <c r="B31" i="9"/>
  <c r="C31" i="9"/>
  <c r="D31" i="9"/>
  <c r="E31" i="9"/>
  <c r="F31" i="9"/>
  <c r="B32" i="9"/>
  <c r="C32" i="9"/>
  <c r="D32" i="9"/>
  <c r="E32" i="9"/>
  <c r="F32" i="9"/>
  <c r="B33" i="9"/>
  <c r="C33" i="9"/>
  <c r="D33" i="9"/>
  <c r="E33" i="9"/>
  <c r="F33" i="9"/>
  <c r="B34" i="9"/>
  <c r="C34" i="9"/>
  <c r="D34" i="9"/>
  <c r="E34" i="9"/>
  <c r="F34" i="9"/>
  <c r="B35" i="9"/>
  <c r="C35" i="9"/>
  <c r="D35" i="9"/>
  <c r="E35" i="9"/>
  <c r="F35" i="9"/>
  <c r="B36" i="9"/>
  <c r="C36" i="9"/>
  <c r="D36" i="9"/>
  <c r="E36" i="9"/>
  <c r="F36" i="9"/>
  <c r="B37" i="9"/>
  <c r="C37" i="9"/>
  <c r="D37" i="9"/>
  <c r="E37" i="9"/>
  <c r="F37" i="9"/>
  <c r="B38" i="9"/>
  <c r="C38" i="9"/>
  <c r="D38" i="9"/>
  <c r="E38" i="9"/>
  <c r="F38" i="9"/>
  <c r="B39" i="9"/>
  <c r="C39" i="9"/>
  <c r="D39" i="9"/>
  <c r="E39" i="9"/>
  <c r="F39" i="9"/>
  <c r="B40" i="9"/>
  <c r="C40" i="9"/>
  <c r="D40" i="9"/>
  <c r="E40" i="9"/>
  <c r="F40" i="9"/>
  <c r="B41" i="9"/>
  <c r="C41" i="9"/>
  <c r="D41" i="9"/>
  <c r="E41" i="9"/>
  <c r="F41" i="9"/>
  <c r="B42" i="9"/>
  <c r="C42" i="9"/>
  <c r="D42" i="9"/>
  <c r="E42" i="9"/>
  <c r="F42" i="9"/>
  <c r="B43" i="9"/>
  <c r="C43" i="9"/>
  <c r="D43" i="9"/>
  <c r="E43" i="9"/>
  <c r="F43" i="9"/>
  <c r="B44" i="9"/>
  <c r="C44" i="9"/>
  <c r="D44" i="9"/>
  <c r="E44" i="9"/>
  <c r="F44" i="9"/>
  <c r="C2" i="9"/>
  <c r="D2" i="9"/>
  <c r="E2" i="9"/>
  <c r="F2" i="9"/>
  <c r="B2" i="9"/>
  <c r="L3" i="4"/>
  <c r="M3" i="4"/>
  <c r="N3" i="4"/>
  <c r="O3" i="4"/>
  <c r="P3" i="4"/>
  <c r="Q3" i="4"/>
  <c r="R3" i="4"/>
  <c r="S3" i="4"/>
  <c r="T3" i="4"/>
  <c r="L4" i="4"/>
  <c r="M4" i="4"/>
  <c r="N4" i="4"/>
  <c r="O4" i="4"/>
  <c r="P4" i="4"/>
  <c r="Q4" i="4"/>
  <c r="R4" i="4"/>
  <c r="S4" i="4"/>
  <c r="T4" i="4"/>
  <c r="L5" i="4"/>
  <c r="M5" i="4"/>
  <c r="N5" i="4"/>
  <c r="O5" i="4"/>
  <c r="P5" i="4"/>
  <c r="Q5" i="4"/>
  <c r="R5" i="4"/>
  <c r="S5" i="4"/>
  <c r="T5" i="4"/>
  <c r="L6" i="4"/>
  <c r="M6" i="4"/>
  <c r="N6" i="4"/>
  <c r="O6" i="4"/>
  <c r="P6" i="4"/>
  <c r="Q6" i="4"/>
  <c r="R6" i="4"/>
  <c r="S6" i="4"/>
  <c r="T6" i="4"/>
  <c r="L7" i="4"/>
  <c r="M7" i="4"/>
  <c r="N7" i="4"/>
  <c r="O7" i="4"/>
  <c r="P7" i="4"/>
  <c r="Q7" i="4"/>
  <c r="R7" i="4"/>
  <c r="S7" i="4"/>
  <c r="T7" i="4"/>
  <c r="L8" i="4"/>
  <c r="M8" i="4"/>
  <c r="N8" i="4"/>
  <c r="O8" i="4"/>
  <c r="P8" i="4"/>
  <c r="Q8" i="4"/>
  <c r="R8" i="4"/>
  <c r="S8" i="4"/>
  <c r="T8" i="4"/>
  <c r="L9" i="4"/>
  <c r="M9" i="4"/>
  <c r="N9" i="4"/>
  <c r="O9" i="4"/>
  <c r="P9" i="4"/>
  <c r="Q9" i="4"/>
  <c r="R9" i="4"/>
  <c r="S9" i="4"/>
  <c r="T9" i="4"/>
  <c r="L10" i="4"/>
  <c r="M10" i="4"/>
  <c r="N10" i="4"/>
  <c r="O10" i="4"/>
  <c r="P10" i="4"/>
  <c r="Q10" i="4"/>
  <c r="R10" i="4"/>
  <c r="S10" i="4"/>
  <c r="T10" i="4"/>
  <c r="L11" i="4"/>
  <c r="M11" i="4"/>
  <c r="N11" i="4"/>
  <c r="O11" i="4"/>
  <c r="P11" i="4"/>
  <c r="Q11" i="4"/>
  <c r="R11" i="4"/>
  <c r="S11" i="4"/>
  <c r="T11" i="4"/>
  <c r="L12" i="4"/>
  <c r="M12" i="4"/>
  <c r="N12" i="4"/>
  <c r="O12" i="4"/>
  <c r="P12" i="4"/>
  <c r="Q12" i="4"/>
  <c r="R12" i="4"/>
  <c r="S12" i="4"/>
  <c r="T12" i="4"/>
  <c r="L13" i="4"/>
  <c r="M13" i="4"/>
  <c r="N13" i="4"/>
  <c r="O13" i="4"/>
  <c r="P13" i="4"/>
  <c r="Q13" i="4"/>
  <c r="R13" i="4"/>
  <c r="S13" i="4"/>
  <c r="T13" i="4"/>
  <c r="L14" i="4"/>
  <c r="M14" i="4"/>
  <c r="N14" i="4"/>
  <c r="O14" i="4"/>
  <c r="P14" i="4"/>
  <c r="Q14" i="4"/>
  <c r="R14" i="4"/>
  <c r="S14" i="4"/>
  <c r="T14" i="4"/>
  <c r="L15" i="4"/>
  <c r="M15" i="4"/>
  <c r="N15" i="4"/>
  <c r="O15" i="4"/>
  <c r="P15" i="4"/>
  <c r="Q15" i="4"/>
  <c r="R15" i="4"/>
  <c r="S15" i="4"/>
  <c r="T15" i="4"/>
  <c r="L16" i="4"/>
  <c r="M16" i="4"/>
  <c r="N16" i="4"/>
  <c r="O16" i="4"/>
  <c r="P16" i="4"/>
  <c r="Q16" i="4"/>
  <c r="R16" i="4"/>
  <c r="S16" i="4"/>
  <c r="T16" i="4"/>
  <c r="L17" i="4"/>
  <c r="M17" i="4"/>
  <c r="N17" i="4"/>
  <c r="O17" i="4"/>
  <c r="P17" i="4"/>
  <c r="Q17" i="4"/>
  <c r="R17" i="4"/>
  <c r="S17" i="4"/>
  <c r="T17" i="4"/>
  <c r="L18" i="4"/>
  <c r="M18" i="4"/>
  <c r="N18" i="4"/>
  <c r="O18" i="4"/>
  <c r="P18" i="4"/>
  <c r="Q18" i="4"/>
  <c r="R18" i="4"/>
  <c r="S18" i="4"/>
  <c r="T18" i="4"/>
  <c r="L19" i="4"/>
  <c r="M19" i="4"/>
  <c r="N19" i="4"/>
  <c r="O19" i="4"/>
  <c r="P19" i="4"/>
  <c r="Q19" i="4"/>
  <c r="R19" i="4"/>
  <c r="S19" i="4"/>
  <c r="T19" i="4"/>
  <c r="L20" i="4"/>
  <c r="M20" i="4"/>
  <c r="N20" i="4"/>
  <c r="O20" i="4"/>
  <c r="P20" i="4"/>
  <c r="Q20" i="4"/>
  <c r="R20" i="4"/>
  <c r="S20" i="4"/>
  <c r="T20" i="4"/>
  <c r="L21" i="4"/>
  <c r="M21" i="4"/>
  <c r="N21" i="4"/>
  <c r="O21" i="4"/>
  <c r="P21" i="4"/>
  <c r="Q21" i="4"/>
  <c r="R21" i="4"/>
  <c r="S21" i="4"/>
  <c r="T21" i="4"/>
  <c r="L22" i="4"/>
  <c r="M22" i="4"/>
  <c r="N22" i="4"/>
  <c r="O22" i="4"/>
  <c r="P22" i="4"/>
  <c r="Q22" i="4"/>
  <c r="R22" i="4"/>
  <c r="S22" i="4"/>
  <c r="T22" i="4"/>
  <c r="L23" i="4"/>
  <c r="M23" i="4"/>
  <c r="N23" i="4"/>
  <c r="O23" i="4"/>
  <c r="P23" i="4"/>
  <c r="Q23" i="4"/>
  <c r="R23" i="4"/>
  <c r="S23" i="4"/>
  <c r="T23" i="4"/>
  <c r="L24" i="4"/>
  <c r="M24" i="4"/>
  <c r="N24" i="4"/>
  <c r="O24" i="4"/>
  <c r="P24" i="4"/>
  <c r="Q24" i="4"/>
  <c r="R24" i="4"/>
  <c r="S24" i="4"/>
  <c r="T24" i="4"/>
  <c r="L25" i="4"/>
  <c r="M25" i="4"/>
  <c r="N25" i="4"/>
  <c r="O25" i="4"/>
  <c r="P25" i="4"/>
  <c r="Q25" i="4"/>
  <c r="R25" i="4"/>
  <c r="S25" i="4"/>
  <c r="T25" i="4"/>
  <c r="L26" i="4"/>
  <c r="M26" i="4"/>
  <c r="N26" i="4"/>
  <c r="O26" i="4"/>
  <c r="P26" i="4"/>
  <c r="Q26" i="4"/>
  <c r="R26" i="4"/>
  <c r="S26" i="4"/>
  <c r="T26" i="4"/>
  <c r="L27" i="4"/>
  <c r="M27" i="4"/>
  <c r="N27" i="4"/>
  <c r="O27" i="4"/>
  <c r="P27" i="4"/>
  <c r="Q27" i="4"/>
  <c r="R27" i="4"/>
  <c r="S27" i="4"/>
  <c r="T27" i="4"/>
  <c r="L28" i="4"/>
  <c r="M28" i="4"/>
  <c r="N28" i="4"/>
  <c r="O28" i="4"/>
  <c r="P28" i="4"/>
  <c r="Q28" i="4"/>
  <c r="R28" i="4"/>
  <c r="S28" i="4"/>
  <c r="T28" i="4"/>
  <c r="L29" i="4"/>
  <c r="M29" i="4"/>
  <c r="N29" i="4"/>
  <c r="O29" i="4"/>
  <c r="P29" i="4"/>
  <c r="Q29" i="4"/>
  <c r="R29" i="4"/>
  <c r="S29" i="4"/>
  <c r="T29" i="4"/>
  <c r="L30" i="4"/>
  <c r="M30" i="4"/>
  <c r="N30" i="4"/>
  <c r="O30" i="4"/>
  <c r="P30" i="4"/>
  <c r="Q30" i="4"/>
  <c r="R30" i="4"/>
  <c r="S30" i="4"/>
  <c r="T30" i="4"/>
  <c r="L31" i="4"/>
  <c r="M31" i="4"/>
  <c r="N31" i="4"/>
  <c r="O31" i="4"/>
  <c r="P31" i="4"/>
  <c r="Q31" i="4"/>
  <c r="R31" i="4"/>
  <c r="S31" i="4"/>
  <c r="T31" i="4"/>
  <c r="L32" i="4"/>
  <c r="M32" i="4"/>
  <c r="N32" i="4"/>
  <c r="O32" i="4"/>
  <c r="P32" i="4"/>
  <c r="Q32" i="4"/>
  <c r="R32" i="4"/>
  <c r="S32" i="4"/>
  <c r="T32" i="4"/>
  <c r="L33" i="4"/>
  <c r="M33" i="4"/>
  <c r="N33" i="4"/>
  <c r="O33" i="4"/>
  <c r="P33" i="4"/>
  <c r="Q33" i="4"/>
  <c r="R33" i="4"/>
  <c r="S33" i="4"/>
  <c r="T33" i="4"/>
  <c r="L34" i="4"/>
  <c r="M34" i="4"/>
  <c r="N34" i="4"/>
  <c r="O34" i="4"/>
  <c r="P34" i="4"/>
  <c r="Q34" i="4"/>
  <c r="R34" i="4"/>
  <c r="S34" i="4"/>
  <c r="T34" i="4"/>
  <c r="L35" i="4"/>
  <c r="M35" i="4"/>
  <c r="N35" i="4"/>
  <c r="O35" i="4"/>
  <c r="P35" i="4"/>
  <c r="Q35" i="4"/>
  <c r="R35" i="4"/>
  <c r="S35" i="4"/>
  <c r="T35" i="4"/>
  <c r="L36" i="4"/>
  <c r="M36" i="4"/>
  <c r="N36" i="4"/>
  <c r="O36" i="4"/>
  <c r="P36" i="4"/>
  <c r="Q36" i="4"/>
  <c r="R36" i="4"/>
  <c r="S36" i="4"/>
  <c r="T36" i="4"/>
  <c r="L37" i="4"/>
  <c r="M37" i="4"/>
  <c r="N37" i="4"/>
  <c r="O37" i="4"/>
  <c r="P37" i="4"/>
  <c r="Q37" i="4"/>
  <c r="R37" i="4"/>
  <c r="S37" i="4"/>
  <c r="T37" i="4"/>
  <c r="L38" i="4"/>
  <c r="M38" i="4"/>
  <c r="N38" i="4"/>
  <c r="O38" i="4"/>
  <c r="P38" i="4"/>
  <c r="Q38" i="4"/>
  <c r="R38" i="4"/>
  <c r="S38" i="4"/>
  <c r="T38" i="4"/>
  <c r="L39" i="4"/>
  <c r="M39" i="4"/>
  <c r="N39" i="4"/>
  <c r="O39" i="4"/>
  <c r="P39" i="4"/>
  <c r="Q39" i="4"/>
  <c r="R39" i="4"/>
  <c r="S39" i="4"/>
  <c r="T39" i="4"/>
  <c r="L40" i="4"/>
  <c r="M40" i="4"/>
  <c r="N40" i="4"/>
  <c r="O40" i="4"/>
  <c r="P40" i="4"/>
  <c r="Q40" i="4"/>
  <c r="R40" i="4"/>
  <c r="S40" i="4"/>
  <c r="T40" i="4"/>
  <c r="L41" i="4"/>
  <c r="M41" i="4"/>
  <c r="N41" i="4"/>
  <c r="O41" i="4"/>
  <c r="P41" i="4"/>
  <c r="Q41" i="4"/>
  <c r="R41" i="4"/>
  <c r="S41" i="4"/>
  <c r="T41" i="4"/>
  <c r="L42" i="4"/>
  <c r="M42" i="4"/>
  <c r="N42" i="4"/>
  <c r="O42" i="4"/>
  <c r="P42" i="4"/>
  <c r="Q42" i="4"/>
  <c r="R42" i="4"/>
  <c r="S42" i="4"/>
  <c r="T42" i="4"/>
  <c r="L43" i="4"/>
  <c r="M43" i="4"/>
  <c r="N43" i="4"/>
  <c r="O43" i="4"/>
  <c r="P43" i="4"/>
  <c r="Q43" i="4"/>
  <c r="R43" i="4"/>
  <c r="S43" i="4"/>
  <c r="T43" i="4"/>
  <c r="L44" i="4"/>
  <c r="M44" i="4"/>
  <c r="N44" i="4"/>
  <c r="O44" i="4"/>
  <c r="P44" i="4"/>
  <c r="Q44" i="4"/>
  <c r="R44" i="4"/>
  <c r="S44" i="4"/>
  <c r="T44" i="4"/>
  <c r="M2" i="4"/>
  <c r="N2" i="4"/>
  <c r="O2" i="4"/>
  <c r="P2" i="4"/>
  <c r="Q2" i="4"/>
  <c r="R2" i="4"/>
  <c r="S2" i="4"/>
  <c r="T2" i="4"/>
  <c r="L2" i="4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F2" i="1"/>
  <c r="E2" i="1"/>
  <c r="D2" i="1"/>
  <c r="C2" i="1"/>
</calcChain>
</file>

<file path=xl/sharedStrings.xml><?xml version="1.0" encoding="utf-8"?>
<sst xmlns="http://schemas.openxmlformats.org/spreadsheetml/2006/main" count="169" uniqueCount="22">
  <si>
    <t>year</t>
  </si>
  <si>
    <t>1s1</t>
  </si>
  <si>
    <t>2S1</t>
  </si>
  <si>
    <t>3S1</t>
  </si>
  <si>
    <t>4S1</t>
  </si>
  <si>
    <t>0S2</t>
  </si>
  <si>
    <t>1S2</t>
  </si>
  <si>
    <t>2S2</t>
  </si>
  <si>
    <t>3S2</t>
  </si>
  <si>
    <t>4S2</t>
  </si>
  <si>
    <t>FM.0</t>
  </si>
  <si>
    <t>FM.1</t>
  </si>
  <si>
    <t>FM.2</t>
  </si>
  <si>
    <t>FM.3</t>
  </si>
  <si>
    <t>FM.4</t>
  </si>
  <si>
    <t>Year</t>
  </si>
  <si>
    <t>Num.0</t>
  </si>
  <si>
    <t>Num.1</t>
  </si>
  <si>
    <t>Num.2</t>
  </si>
  <si>
    <t>Num.3</t>
  </si>
  <si>
    <t>Num.4</t>
  </si>
  <si>
    <t>DK Note, this table says millions but these are in thousands…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</si>
</sst>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0000"/>
    <numFmt numFmtId="171" formatCode="0.00000"/>
    <numFmt numFmtId="173" formatCode="0.0"/>
  </numFmts>
  <fonts count="2" x14ac:knownFonts="1">
    <font>
      <sz val="11"/>
      <color theme="1"/>
      <name val="Aptos Narrow"/>
      <family val="2"/>
      <scheme val="minor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" fontId="1" fillId="0" borderId="1" xfId="0" applyNumberFormat="1" applyFont="1" applyBorder="1" applyAlignment="1">
      <alignment horizontal="center" vertical="top" shrinkToFit="1"/>
    </xf>
    <xf numFmtId="2" fontId="1" fillId="0" borderId="1" xfId="0" applyNumberFormat="1" applyFont="1" applyBorder="1" applyAlignment="1">
      <alignment horizontal="left" vertical="top" shrinkToFit="1"/>
    </xf>
    <xf numFmtId="2" fontId="1" fillId="0" borderId="1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center" vertical="top" shrinkToFit="1"/>
    </xf>
    <xf numFmtId="2" fontId="1" fillId="0" borderId="2" xfId="0" applyNumberFormat="1" applyFont="1" applyBorder="1" applyAlignment="1">
      <alignment horizontal="left" vertical="top" shrinkToFit="1"/>
    </xf>
    <xf numFmtId="2" fontId="1" fillId="0" borderId="2" xfId="0" applyNumberFormat="1" applyFont="1" applyBorder="1" applyAlignment="1">
      <alignment horizontal="center" vertical="top" shrinkToFit="1"/>
    </xf>
    <xf numFmtId="1" fontId="1" fillId="0" borderId="3" xfId="0" applyNumberFormat="1" applyFont="1" applyBorder="1" applyAlignment="1">
      <alignment horizontal="center" vertical="top" shrinkToFit="1"/>
    </xf>
    <xf numFmtId="2" fontId="1" fillId="0" borderId="3" xfId="0" applyNumberFormat="1" applyFont="1" applyBorder="1" applyAlignment="1">
      <alignment horizontal="left" vertical="top" shrinkToFit="1"/>
    </xf>
    <xf numFmtId="2" fontId="1" fillId="0" borderId="3" xfId="0" applyNumberFormat="1" applyFont="1" applyBorder="1" applyAlignment="1">
      <alignment horizontal="center" vertical="top" shrinkToFit="1"/>
    </xf>
    <xf numFmtId="2" fontId="0" fillId="0" borderId="0" xfId="0" applyNumberFormat="1"/>
    <xf numFmtId="2" fontId="1" fillId="0" borderId="0" xfId="0" applyNumberFormat="1" applyFont="1" applyFill="1" applyBorder="1" applyAlignment="1">
      <alignment horizontal="center" vertical="top" shrinkToFit="1"/>
    </xf>
    <xf numFmtId="2" fontId="1" fillId="0" borderId="0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left" vertical="top" shrinkToFit="1"/>
    </xf>
    <xf numFmtId="1" fontId="1" fillId="0" borderId="2" xfId="0" applyNumberFormat="1" applyFont="1" applyBorder="1" applyAlignment="1">
      <alignment horizontal="left" vertical="top" shrinkToFit="1"/>
    </xf>
    <xf numFmtId="1" fontId="1" fillId="0" borderId="3" xfId="0" applyNumberFormat="1" applyFont="1" applyBorder="1" applyAlignment="1">
      <alignment horizontal="left" vertical="top" shrinkToFit="1"/>
    </xf>
    <xf numFmtId="2" fontId="1" fillId="0" borderId="1" xfId="0" applyNumberFormat="1" applyFont="1" applyBorder="1" applyAlignment="1">
      <alignment horizontal="left" vertical="top" indent="1" shrinkToFit="1"/>
    </xf>
    <xf numFmtId="2" fontId="1" fillId="0" borderId="2" xfId="0" applyNumberFormat="1" applyFont="1" applyBorder="1" applyAlignment="1">
      <alignment horizontal="left" vertical="top" indent="1" shrinkToFit="1"/>
    </xf>
    <xf numFmtId="2" fontId="1" fillId="0" borderId="3" xfId="0" applyNumberFormat="1" applyFont="1" applyBorder="1" applyAlignment="1">
      <alignment horizontal="left" vertical="top" indent="1" shrinkToFit="1"/>
    </xf>
    <xf numFmtId="168" fontId="1" fillId="0" borderId="1" xfId="0" applyNumberFormat="1" applyFont="1" applyBorder="1" applyAlignment="1">
      <alignment horizontal="right" vertical="top" indent="1" shrinkToFit="1"/>
    </xf>
    <xf numFmtId="168" fontId="1" fillId="0" borderId="1" xfId="0" applyNumberFormat="1" applyFont="1" applyBorder="1" applyAlignment="1">
      <alignment horizontal="center" vertical="top" shrinkToFit="1"/>
    </xf>
    <xf numFmtId="168" fontId="1" fillId="0" borderId="2" xfId="0" applyNumberFormat="1" applyFont="1" applyBorder="1" applyAlignment="1">
      <alignment horizontal="right" vertical="top" indent="1" shrinkToFit="1"/>
    </xf>
    <xf numFmtId="168" fontId="1" fillId="0" borderId="2" xfId="0" applyNumberFormat="1" applyFont="1" applyBorder="1" applyAlignment="1">
      <alignment horizontal="center" vertical="top" shrinkToFit="1"/>
    </xf>
    <xf numFmtId="168" fontId="1" fillId="0" borderId="3" xfId="0" applyNumberFormat="1" applyFont="1" applyBorder="1" applyAlignment="1">
      <alignment horizontal="right" vertical="top" indent="1" shrinkToFit="1"/>
    </xf>
    <xf numFmtId="168" fontId="1" fillId="0" borderId="3" xfId="0" applyNumberFormat="1" applyFont="1" applyBorder="1" applyAlignment="1">
      <alignment horizontal="center" vertical="top" shrinkToFit="1"/>
    </xf>
    <xf numFmtId="171" fontId="1" fillId="0" borderId="1" xfId="0" applyNumberFormat="1" applyFont="1" applyBorder="1" applyAlignment="1">
      <alignment horizontal="left" vertical="top" shrinkToFit="1"/>
    </xf>
    <xf numFmtId="173" fontId="1" fillId="0" borderId="1" xfId="0" applyNumberFormat="1" applyFont="1" applyBorder="1" applyAlignment="1">
      <alignment horizontal="center" vertical="top" shrinkToFit="1"/>
    </xf>
    <xf numFmtId="173" fontId="1" fillId="0" borderId="2" xfId="0" applyNumberFormat="1" applyFont="1" applyBorder="1" applyAlignment="1">
      <alignment horizontal="center" vertical="top" shrinkToFit="1"/>
    </xf>
    <xf numFmtId="173" fontId="1" fillId="0" borderId="3" xfId="0" applyNumberFormat="1" applyFont="1" applyBorder="1" applyAlignment="1">
      <alignment horizontal="center" vertical="top" shrinkToFit="1"/>
    </xf>
    <xf numFmtId="173" fontId="0" fillId="0" borderId="0" xfId="0" applyNumberFormat="1"/>
    <xf numFmtId="1" fontId="1" fillId="0" borderId="1" xfId="0" applyNumberFormat="1" applyFont="1" applyBorder="1" applyAlignment="1">
      <alignment horizontal="left" vertical="top" indent="2" shrinkToFit="1"/>
    </xf>
    <xf numFmtId="173" fontId="1" fillId="0" borderId="1" xfId="0" applyNumberFormat="1" applyFont="1" applyBorder="1" applyAlignment="1">
      <alignment horizontal="left" vertical="top" indent="2" shrinkToFit="1"/>
    </xf>
    <xf numFmtId="1" fontId="1" fillId="0" borderId="2" xfId="0" applyNumberFormat="1" applyFont="1" applyBorder="1" applyAlignment="1">
      <alignment horizontal="left" vertical="top" indent="2" shrinkToFit="1"/>
    </xf>
    <xf numFmtId="173" fontId="1" fillId="0" borderId="2" xfId="0" applyNumberFormat="1" applyFont="1" applyBorder="1" applyAlignment="1">
      <alignment horizontal="left" vertical="top" indent="2" shrinkToFit="1"/>
    </xf>
    <xf numFmtId="1" fontId="1" fillId="0" borderId="3" xfId="0" applyNumberFormat="1" applyFont="1" applyBorder="1" applyAlignment="1">
      <alignment horizontal="left" vertical="top" indent="2" shrinkToFit="1"/>
    </xf>
    <xf numFmtId="173" fontId="1" fillId="0" borderId="3" xfId="0" applyNumberFormat="1" applyFont="1" applyBorder="1" applyAlignment="1">
      <alignment horizontal="left" vertical="top" indent="2" shrinkToFit="1"/>
    </xf>
    <xf numFmtId="1" fontId="1" fillId="0" borderId="1" xfId="0" applyNumberFormat="1" applyFont="1" applyBorder="1" applyAlignment="1">
      <alignment horizontal="right" vertical="top" indent="2" shrinkToFit="1"/>
    </xf>
    <xf numFmtId="1" fontId="1" fillId="0" borderId="2" xfId="0" applyNumberFormat="1" applyFont="1" applyBorder="1" applyAlignment="1">
      <alignment horizontal="right" vertical="top" indent="2" shrinkToFit="1"/>
    </xf>
    <xf numFmtId="1" fontId="1" fillId="0" borderId="3" xfId="0" applyNumberFormat="1" applyFont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5CB7-FE3F-44E9-AB68-481A33F932FF}">
  <dimension ref="A1:P44"/>
  <sheetViews>
    <sheetView workbookViewId="0">
      <selection activeCell="B13" sqref="B13"/>
    </sheetView>
  </sheetViews>
  <sheetFormatPr defaultRowHeight="15" x14ac:dyDescent="0.25"/>
  <sheetData>
    <row r="1" spans="1:16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s="1">
        <v>1983</v>
      </c>
      <c r="B2" s="11">
        <v>0.44</v>
      </c>
      <c r="C2" s="10">
        <f>H2+M2</f>
        <v>0.8</v>
      </c>
      <c r="D2" s="10">
        <f>I2+N2</f>
        <v>0.71</v>
      </c>
      <c r="E2" s="10">
        <f>J2+O2</f>
        <v>0.57999999999999996</v>
      </c>
      <c r="F2" s="10">
        <f>K2+P2</f>
        <v>0.56000000000000005</v>
      </c>
      <c r="H2" s="2">
        <v>0.38</v>
      </c>
      <c r="I2" s="3">
        <v>0.36</v>
      </c>
      <c r="J2" s="3">
        <v>0.28999999999999998</v>
      </c>
      <c r="K2" s="3">
        <v>0.27</v>
      </c>
      <c r="L2" s="3">
        <v>0.44</v>
      </c>
      <c r="M2" s="3">
        <v>0.42</v>
      </c>
      <c r="N2" s="3">
        <v>0.35</v>
      </c>
      <c r="O2" s="3">
        <v>0.28999999999999998</v>
      </c>
      <c r="P2" s="3">
        <v>0.28999999999999998</v>
      </c>
    </row>
    <row r="3" spans="1:16" x14ac:dyDescent="0.25">
      <c r="A3" s="4">
        <v>1984</v>
      </c>
      <c r="B3" s="11">
        <v>0.44</v>
      </c>
      <c r="C3" s="10">
        <f>H3+M3</f>
        <v>0.8</v>
      </c>
      <c r="D3" s="10">
        <f>I3+N3</f>
        <v>0.71</v>
      </c>
      <c r="E3" s="10">
        <f>J3+O3</f>
        <v>0.57999999999999996</v>
      </c>
      <c r="F3" s="10">
        <f>K3+P3</f>
        <v>0.56000000000000005</v>
      </c>
      <c r="H3" s="5">
        <v>0.38</v>
      </c>
      <c r="I3" s="6">
        <v>0.36</v>
      </c>
      <c r="J3" s="6">
        <v>0.28999999999999998</v>
      </c>
      <c r="K3" s="6">
        <v>0.27</v>
      </c>
      <c r="L3" s="6">
        <v>0.44</v>
      </c>
      <c r="M3" s="6">
        <v>0.42</v>
      </c>
      <c r="N3" s="6">
        <v>0.35</v>
      </c>
      <c r="O3" s="6">
        <v>0.28999999999999998</v>
      </c>
      <c r="P3" s="6">
        <v>0.28999999999999998</v>
      </c>
    </row>
    <row r="4" spans="1:16" x14ac:dyDescent="0.25">
      <c r="A4" s="4">
        <v>1985</v>
      </c>
      <c r="B4" s="11">
        <v>0.44</v>
      </c>
      <c r="C4" s="10">
        <f>H4+M4</f>
        <v>0.8</v>
      </c>
      <c r="D4" s="10">
        <f>I4+N4</f>
        <v>0.7</v>
      </c>
      <c r="E4" s="10">
        <f>J4+O4</f>
        <v>0.59000000000000008</v>
      </c>
      <c r="F4" s="10">
        <f>K4+P4</f>
        <v>0.57000000000000006</v>
      </c>
      <c r="H4" s="5">
        <v>0.36</v>
      </c>
      <c r="I4" s="6">
        <v>0.34</v>
      </c>
      <c r="J4" s="6">
        <v>0.28000000000000003</v>
      </c>
      <c r="K4" s="6">
        <v>0.26</v>
      </c>
      <c r="L4" s="6">
        <v>0.46</v>
      </c>
      <c r="M4" s="6">
        <v>0.44</v>
      </c>
      <c r="N4" s="6">
        <v>0.36</v>
      </c>
      <c r="O4" s="6">
        <v>0.31</v>
      </c>
      <c r="P4" s="6">
        <v>0.31</v>
      </c>
    </row>
    <row r="5" spans="1:16" x14ac:dyDescent="0.25">
      <c r="A5" s="4">
        <v>1986</v>
      </c>
      <c r="B5" s="11">
        <v>0.44</v>
      </c>
      <c r="C5" s="10">
        <f>H5+M5</f>
        <v>0.81</v>
      </c>
      <c r="D5" s="10">
        <f>I5+N5</f>
        <v>0.72</v>
      </c>
      <c r="E5" s="10">
        <f>J5+O5</f>
        <v>0.61</v>
      </c>
      <c r="F5" s="10">
        <f>K5+P5</f>
        <v>0.59000000000000008</v>
      </c>
      <c r="H5" s="5">
        <v>0.37</v>
      </c>
      <c r="I5" s="6">
        <v>0.35</v>
      </c>
      <c r="J5" s="6">
        <v>0.28999999999999998</v>
      </c>
      <c r="K5" s="6">
        <v>0.27</v>
      </c>
      <c r="L5" s="6">
        <v>0.46</v>
      </c>
      <c r="M5" s="6">
        <v>0.44</v>
      </c>
      <c r="N5" s="6">
        <v>0.37</v>
      </c>
      <c r="O5" s="6">
        <v>0.32</v>
      </c>
      <c r="P5" s="6">
        <v>0.32</v>
      </c>
    </row>
    <row r="6" spans="1:16" x14ac:dyDescent="0.25">
      <c r="A6" s="4">
        <v>1987</v>
      </c>
      <c r="B6" s="11">
        <v>0.44</v>
      </c>
      <c r="C6" s="10">
        <f>H6+M6</f>
        <v>0.83000000000000007</v>
      </c>
      <c r="D6" s="10">
        <f>I6+N6</f>
        <v>0.75</v>
      </c>
      <c r="E6" s="10">
        <f>J6+O6</f>
        <v>0.64</v>
      </c>
      <c r="F6" s="10">
        <f>K6+P6</f>
        <v>0.62000000000000011</v>
      </c>
      <c r="H6" s="5">
        <v>0.38</v>
      </c>
      <c r="I6" s="6">
        <v>0.37</v>
      </c>
      <c r="J6" s="6">
        <v>0.3</v>
      </c>
      <c r="K6" s="6">
        <v>0.28000000000000003</v>
      </c>
      <c r="L6" s="6">
        <v>0.47</v>
      </c>
      <c r="M6" s="6">
        <v>0.45</v>
      </c>
      <c r="N6" s="6">
        <v>0.38</v>
      </c>
      <c r="O6" s="6">
        <v>0.34</v>
      </c>
      <c r="P6" s="6">
        <v>0.34</v>
      </c>
    </row>
    <row r="7" spans="1:16" x14ac:dyDescent="0.25">
      <c r="A7" s="4">
        <v>1988</v>
      </c>
      <c r="B7" s="11">
        <v>0.44</v>
      </c>
      <c r="C7" s="10">
        <f>H7+M7</f>
        <v>0.85000000000000009</v>
      </c>
      <c r="D7" s="10">
        <f>I7+N7</f>
        <v>0.75</v>
      </c>
      <c r="E7" s="10">
        <f>J7+O7</f>
        <v>0.64</v>
      </c>
      <c r="F7" s="10">
        <f>K7+P7</f>
        <v>0.62000000000000011</v>
      </c>
      <c r="H7" s="5">
        <v>0.39</v>
      </c>
      <c r="I7" s="6">
        <v>0.38</v>
      </c>
      <c r="J7" s="6">
        <v>0.3</v>
      </c>
      <c r="K7" s="6">
        <v>0.28000000000000003</v>
      </c>
      <c r="L7" s="6">
        <v>0.48</v>
      </c>
      <c r="M7" s="6">
        <v>0.46</v>
      </c>
      <c r="N7" s="6">
        <v>0.37</v>
      </c>
      <c r="O7" s="6">
        <v>0.34</v>
      </c>
      <c r="P7" s="6">
        <v>0.34</v>
      </c>
    </row>
    <row r="8" spans="1:16" x14ac:dyDescent="0.25">
      <c r="A8" s="4">
        <v>1989</v>
      </c>
      <c r="B8" s="11">
        <v>0.44</v>
      </c>
      <c r="C8" s="10">
        <f>H8+M8</f>
        <v>0.87</v>
      </c>
      <c r="D8" s="10">
        <f>I8+N8</f>
        <v>0.76</v>
      </c>
      <c r="E8" s="10">
        <f>J8+O8</f>
        <v>0.66</v>
      </c>
      <c r="F8" s="10">
        <f>K8+P8</f>
        <v>0.63</v>
      </c>
      <c r="H8" s="5">
        <v>0.41</v>
      </c>
      <c r="I8" s="6">
        <v>0.4</v>
      </c>
      <c r="J8" s="6">
        <v>0.32</v>
      </c>
      <c r="K8" s="6">
        <v>0.28999999999999998</v>
      </c>
      <c r="L8" s="6">
        <v>0.48</v>
      </c>
      <c r="M8" s="6">
        <v>0.46</v>
      </c>
      <c r="N8" s="6">
        <v>0.36</v>
      </c>
      <c r="O8" s="6">
        <v>0.34</v>
      </c>
      <c r="P8" s="6">
        <v>0.34</v>
      </c>
    </row>
    <row r="9" spans="1:16" x14ac:dyDescent="0.25">
      <c r="A9" s="4">
        <v>1990</v>
      </c>
      <c r="B9" s="11">
        <v>0.44</v>
      </c>
      <c r="C9" s="10">
        <f>H9+M9</f>
        <v>0.87</v>
      </c>
      <c r="D9" s="10">
        <f>I9+N9</f>
        <v>0.75</v>
      </c>
      <c r="E9" s="10">
        <f>J9+O9</f>
        <v>0.65</v>
      </c>
      <c r="F9" s="10">
        <f>K9+P9</f>
        <v>0.62</v>
      </c>
      <c r="H9" s="5">
        <v>0.41</v>
      </c>
      <c r="I9" s="6">
        <v>0.4</v>
      </c>
      <c r="J9" s="6">
        <v>0.32</v>
      </c>
      <c r="K9" s="6">
        <v>0.28999999999999998</v>
      </c>
      <c r="L9" s="6">
        <v>0.49</v>
      </c>
      <c r="M9" s="6">
        <v>0.46</v>
      </c>
      <c r="N9" s="6">
        <v>0.35</v>
      </c>
      <c r="O9" s="6">
        <v>0.33</v>
      </c>
      <c r="P9" s="6">
        <v>0.33</v>
      </c>
    </row>
    <row r="10" spans="1:16" x14ac:dyDescent="0.25">
      <c r="A10" s="4">
        <v>1991</v>
      </c>
      <c r="B10" s="11">
        <v>0.44</v>
      </c>
      <c r="C10" s="10">
        <f>H10+M10</f>
        <v>0.87</v>
      </c>
      <c r="D10" s="10">
        <f>I10+N10</f>
        <v>0.73</v>
      </c>
      <c r="E10" s="10">
        <f>J10+O10</f>
        <v>0.65</v>
      </c>
      <c r="F10" s="10">
        <f>K10+P10</f>
        <v>0.62</v>
      </c>
      <c r="H10" s="5">
        <v>0.41</v>
      </c>
      <c r="I10" s="6">
        <v>0.39</v>
      </c>
      <c r="J10" s="6">
        <v>0.32</v>
      </c>
      <c r="K10" s="6">
        <v>0.28999999999999998</v>
      </c>
      <c r="L10" s="6">
        <v>0.49</v>
      </c>
      <c r="M10" s="6">
        <v>0.46</v>
      </c>
      <c r="N10" s="6">
        <v>0.34</v>
      </c>
      <c r="O10" s="6">
        <v>0.33</v>
      </c>
      <c r="P10" s="6">
        <v>0.33</v>
      </c>
    </row>
    <row r="11" spans="1:16" x14ac:dyDescent="0.25">
      <c r="A11" s="4">
        <v>1992</v>
      </c>
      <c r="B11" s="11">
        <v>0.44</v>
      </c>
      <c r="C11" s="10">
        <f>H11+M11</f>
        <v>0.85</v>
      </c>
      <c r="D11" s="10">
        <f>I11+N11</f>
        <v>0.71</v>
      </c>
      <c r="E11" s="10">
        <f>J11+O11</f>
        <v>0.62</v>
      </c>
      <c r="F11" s="10">
        <f>K11+P11</f>
        <v>0.6</v>
      </c>
      <c r="H11" s="5">
        <v>0.41</v>
      </c>
      <c r="I11" s="6">
        <v>0.39</v>
      </c>
      <c r="J11" s="6">
        <v>0.31</v>
      </c>
      <c r="K11" s="6">
        <v>0.28999999999999998</v>
      </c>
      <c r="L11" s="6">
        <v>0.48</v>
      </c>
      <c r="M11" s="6">
        <v>0.44</v>
      </c>
      <c r="N11" s="6">
        <v>0.32</v>
      </c>
      <c r="O11" s="6">
        <v>0.31</v>
      </c>
      <c r="P11" s="6">
        <v>0.31</v>
      </c>
    </row>
    <row r="12" spans="1:16" x14ac:dyDescent="0.25">
      <c r="A12" s="4">
        <v>1993</v>
      </c>
      <c r="B12" s="11">
        <v>0.44</v>
      </c>
      <c r="C12" s="10">
        <f>H12+M12</f>
        <v>0.84000000000000008</v>
      </c>
      <c r="D12" s="10">
        <f>I12+N12</f>
        <v>0.67999999999999994</v>
      </c>
      <c r="E12" s="10">
        <f>J12+O12</f>
        <v>0.6</v>
      </c>
      <c r="F12" s="10">
        <f>K12+P12</f>
        <v>0.58000000000000007</v>
      </c>
      <c r="H12" s="5">
        <v>0.4</v>
      </c>
      <c r="I12" s="6">
        <v>0.37</v>
      </c>
      <c r="J12" s="6">
        <v>0.3</v>
      </c>
      <c r="K12" s="6">
        <v>0.28000000000000003</v>
      </c>
      <c r="L12" s="6">
        <v>0.47</v>
      </c>
      <c r="M12" s="6">
        <v>0.44</v>
      </c>
      <c r="N12" s="6">
        <v>0.31</v>
      </c>
      <c r="O12" s="6">
        <v>0.3</v>
      </c>
      <c r="P12" s="6">
        <v>0.3</v>
      </c>
    </row>
    <row r="13" spans="1:16" x14ac:dyDescent="0.25">
      <c r="A13" s="4">
        <v>1994</v>
      </c>
      <c r="B13" s="11">
        <v>0.44</v>
      </c>
      <c r="C13" s="10">
        <f>H13+M13</f>
        <v>0.84000000000000008</v>
      </c>
      <c r="D13" s="10">
        <f>I13+N13</f>
        <v>0.67999999999999994</v>
      </c>
      <c r="E13" s="10">
        <f>J13+O13</f>
        <v>0.6</v>
      </c>
      <c r="F13" s="10">
        <f>K13+P13</f>
        <v>0.58000000000000007</v>
      </c>
      <c r="H13" s="5">
        <v>0.39</v>
      </c>
      <c r="I13" s="6">
        <v>0.36</v>
      </c>
      <c r="J13" s="6">
        <v>0.28999999999999998</v>
      </c>
      <c r="K13" s="6">
        <v>0.27</v>
      </c>
      <c r="L13" s="6">
        <v>0.49</v>
      </c>
      <c r="M13" s="6">
        <v>0.45</v>
      </c>
      <c r="N13" s="6">
        <v>0.32</v>
      </c>
      <c r="O13" s="6">
        <v>0.31</v>
      </c>
      <c r="P13" s="6">
        <v>0.31</v>
      </c>
    </row>
    <row r="14" spans="1:16" x14ac:dyDescent="0.25">
      <c r="A14" s="4">
        <v>1995</v>
      </c>
      <c r="B14" s="11">
        <v>0.44</v>
      </c>
      <c r="C14" s="10">
        <f>H14+M14</f>
        <v>0.84000000000000008</v>
      </c>
      <c r="D14" s="10">
        <f>I14+N14</f>
        <v>0.71</v>
      </c>
      <c r="E14" s="10">
        <f>J14+O14</f>
        <v>0.61</v>
      </c>
      <c r="F14" s="10">
        <f>K14+P14</f>
        <v>0.58000000000000007</v>
      </c>
      <c r="H14" s="5">
        <v>0.38</v>
      </c>
      <c r="I14" s="6">
        <v>0.37</v>
      </c>
      <c r="J14" s="6">
        <v>0.28999999999999998</v>
      </c>
      <c r="K14" s="6">
        <v>0.26</v>
      </c>
      <c r="L14" s="6">
        <v>0.48</v>
      </c>
      <c r="M14" s="6">
        <v>0.46</v>
      </c>
      <c r="N14" s="6">
        <v>0.34</v>
      </c>
      <c r="O14" s="6">
        <v>0.32</v>
      </c>
      <c r="P14" s="6">
        <v>0.32</v>
      </c>
    </row>
    <row r="15" spans="1:16" x14ac:dyDescent="0.25">
      <c r="A15" s="4">
        <v>1996</v>
      </c>
      <c r="B15" s="11">
        <v>0.44</v>
      </c>
      <c r="C15" s="10">
        <f>H15+M15</f>
        <v>0.83</v>
      </c>
      <c r="D15" s="10">
        <f>I15+N15</f>
        <v>0.69</v>
      </c>
      <c r="E15" s="10">
        <f>J15+O15</f>
        <v>0.60000000000000009</v>
      </c>
      <c r="F15" s="10">
        <f>K15+P15</f>
        <v>0.57000000000000006</v>
      </c>
      <c r="H15" s="5">
        <v>0.35</v>
      </c>
      <c r="I15" s="6">
        <v>0.34</v>
      </c>
      <c r="J15" s="6">
        <v>0.27</v>
      </c>
      <c r="K15" s="6">
        <v>0.24</v>
      </c>
      <c r="L15" s="6">
        <v>0.51</v>
      </c>
      <c r="M15" s="6">
        <v>0.48</v>
      </c>
      <c r="N15" s="6">
        <v>0.35</v>
      </c>
      <c r="O15" s="6">
        <v>0.33</v>
      </c>
      <c r="P15" s="6">
        <v>0.33</v>
      </c>
    </row>
    <row r="16" spans="1:16" x14ac:dyDescent="0.25">
      <c r="A16" s="4">
        <v>1997</v>
      </c>
      <c r="B16" s="11">
        <v>0.44</v>
      </c>
      <c r="C16" s="10">
        <f>H16+M16</f>
        <v>0.83</v>
      </c>
      <c r="D16" s="10">
        <f>I16+N16</f>
        <v>0.71</v>
      </c>
      <c r="E16" s="10">
        <f>J16+O16</f>
        <v>0.61</v>
      </c>
      <c r="F16" s="10">
        <f>K16+P16</f>
        <v>0.56000000000000005</v>
      </c>
      <c r="H16" s="5">
        <v>0.35</v>
      </c>
      <c r="I16" s="6">
        <v>0.35</v>
      </c>
      <c r="J16" s="6">
        <v>0.28999999999999998</v>
      </c>
      <c r="K16" s="6">
        <v>0.24</v>
      </c>
      <c r="L16" s="6">
        <v>0.51</v>
      </c>
      <c r="M16" s="6">
        <v>0.48</v>
      </c>
      <c r="N16" s="6">
        <v>0.36</v>
      </c>
      <c r="O16" s="6">
        <v>0.32</v>
      </c>
      <c r="P16" s="6">
        <v>0.32</v>
      </c>
    </row>
    <row r="17" spans="1:16" x14ac:dyDescent="0.25">
      <c r="A17" s="4">
        <v>1998</v>
      </c>
      <c r="B17" s="11">
        <v>0.44</v>
      </c>
      <c r="C17" s="10">
        <f>H17+M17</f>
        <v>0.91</v>
      </c>
      <c r="D17" s="10">
        <f>I17+N17</f>
        <v>0.75</v>
      </c>
      <c r="E17" s="10">
        <f>J17+O17</f>
        <v>0.63</v>
      </c>
      <c r="F17" s="10">
        <f>K17+P17</f>
        <v>0.57000000000000006</v>
      </c>
      <c r="H17" s="5">
        <v>0.38</v>
      </c>
      <c r="I17" s="6">
        <v>0.38</v>
      </c>
      <c r="J17" s="6">
        <v>0.31</v>
      </c>
      <c r="K17" s="6">
        <v>0.25</v>
      </c>
      <c r="L17" s="6">
        <v>0.56999999999999995</v>
      </c>
      <c r="M17" s="6">
        <v>0.53</v>
      </c>
      <c r="N17" s="6">
        <v>0.37</v>
      </c>
      <c r="O17" s="6">
        <v>0.32</v>
      </c>
      <c r="P17" s="6">
        <v>0.32</v>
      </c>
    </row>
    <row r="18" spans="1:16" x14ac:dyDescent="0.25">
      <c r="A18" s="4">
        <v>1999</v>
      </c>
      <c r="B18" s="11">
        <v>0.44</v>
      </c>
      <c r="C18" s="10">
        <f>H18+M18</f>
        <v>0.94</v>
      </c>
      <c r="D18" s="10">
        <f>I18+N18</f>
        <v>0.81</v>
      </c>
      <c r="E18" s="10">
        <f>J18+O18</f>
        <v>0.65</v>
      </c>
      <c r="F18" s="10">
        <f>K18+P18</f>
        <v>0.58000000000000007</v>
      </c>
      <c r="H18" s="5">
        <v>0.41</v>
      </c>
      <c r="I18" s="6">
        <v>0.41</v>
      </c>
      <c r="J18" s="6">
        <v>0.33</v>
      </c>
      <c r="K18" s="6">
        <v>0.26</v>
      </c>
      <c r="L18" s="6">
        <v>0.59</v>
      </c>
      <c r="M18" s="6">
        <v>0.53</v>
      </c>
      <c r="N18" s="6">
        <v>0.4</v>
      </c>
      <c r="O18" s="6">
        <v>0.32</v>
      </c>
      <c r="P18" s="6">
        <v>0.32</v>
      </c>
    </row>
    <row r="19" spans="1:16" x14ac:dyDescent="0.25">
      <c r="A19" s="4">
        <v>2000</v>
      </c>
      <c r="B19" s="11">
        <v>0.44</v>
      </c>
      <c r="C19" s="10">
        <f>H19+M19</f>
        <v>0.95</v>
      </c>
      <c r="D19" s="10">
        <f>I19+N19</f>
        <v>0.83</v>
      </c>
      <c r="E19" s="10">
        <f>J19+O19</f>
        <v>0.66999999999999993</v>
      </c>
      <c r="F19" s="10">
        <f>K19+P19</f>
        <v>0.59000000000000008</v>
      </c>
      <c r="H19" s="5">
        <v>0.42</v>
      </c>
      <c r="I19" s="6">
        <v>0.42</v>
      </c>
      <c r="J19" s="6">
        <v>0.35</v>
      </c>
      <c r="K19" s="6">
        <v>0.27</v>
      </c>
      <c r="L19" s="6">
        <v>0.59</v>
      </c>
      <c r="M19" s="6">
        <v>0.53</v>
      </c>
      <c r="N19" s="6">
        <v>0.41</v>
      </c>
      <c r="O19" s="6">
        <v>0.32</v>
      </c>
      <c r="P19" s="6">
        <v>0.32</v>
      </c>
    </row>
    <row r="20" spans="1:16" x14ac:dyDescent="0.25">
      <c r="A20" s="4">
        <v>2001</v>
      </c>
      <c r="B20" s="11">
        <v>0.44</v>
      </c>
      <c r="C20" s="10">
        <f>H20+M20</f>
        <v>0.9</v>
      </c>
      <c r="D20" s="10">
        <f>I20+N20</f>
        <v>0.82000000000000006</v>
      </c>
      <c r="E20" s="10">
        <f>J20+O20</f>
        <v>0.64</v>
      </c>
      <c r="F20" s="10">
        <f>K20+P20</f>
        <v>0.56000000000000005</v>
      </c>
      <c r="H20" s="5">
        <v>0.38</v>
      </c>
      <c r="I20" s="6">
        <v>0.38</v>
      </c>
      <c r="J20" s="6">
        <v>0.33</v>
      </c>
      <c r="K20" s="6">
        <v>0.25</v>
      </c>
      <c r="L20" s="6">
        <v>0.59</v>
      </c>
      <c r="M20" s="6">
        <v>0.52</v>
      </c>
      <c r="N20" s="6">
        <v>0.44</v>
      </c>
      <c r="O20" s="6">
        <v>0.31</v>
      </c>
      <c r="P20" s="6">
        <v>0.31</v>
      </c>
    </row>
    <row r="21" spans="1:16" x14ac:dyDescent="0.25">
      <c r="A21" s="4">
        <v>2002</v>
      </c>
      <c r="B21" s="11">
        <v>0.44</v>
      </c>
      <c r="C21" s="10">
        <f>H21+M21</f>
        <v>0.97</v>
      </c>
      <c r="D21" s="10">
        <f>I21+N21</f>
        <v>0.89999999999999991</v>
      </c>
      <c r="E21" s="10">
        <f>J21+O21</f>
        <v>0.67999999999999994</v>
      </c>
      <c r="F21" s="10">
        <f>K21+P21</f>
        <v>0.59000000000000008</v>
      </c>
      <c r="H21" s="5">
        <v>0.42</v>
      </c>
      <c r="I21" s="6">
        <v>0.41</v>
      </c>
      <c r="J21" s="6">
        <v>0.37</v>
      </c>
      <c r="K21" s="6">
        <v>0.28000000000000003</v>
      </c>
      <c r="L21" s="6">
        <v>0.61</v>
      </c>
      <c r="M21" s="6">
        <v>0.55000000000000004</v>
      </c>
      <c r="N21" s="6">
        <v>0.49</v>
      </c>
      <c r="O21" s="6">
        <v>0.31</v>
      </c>
      <c r="P21" s="6">
        <v>0.31</v>
      </c>
    </row>
    <row r="22" spans="1:16" x14ac:dyDescent="0.25">
      <c r="A22" s="4">
        <v>2003</v>
      </c>
      <c r="B22" s="11">
        <v>0.44</v>
      </c>
      <c r="C22" s="10">
        <f>H22+M22</f>
        <v>1</v>
      </c>
      <c r="D22" s="10">
        <f>I22+N22</f>
        <v>0.97</v>
      </c>
      <c r="E22" s="10">
        <f>J22+O22</f>
        <v>0.7</v>
      </c>
      <c r="F22" s="10">
        <f>K22+P22</f>
        <v>0.6</v>
      </c>
      <c r="H22" s="5">
        <v>0.44</v>
      </c>
      <c r="I22" s="6">
        <v>0.44</v>
      </c>
      <c r="J22" s="6">
        <v>0.39</v>
      </c>
      <c r="K22" s="6">
        <v>0.28999999999999998</v>
      </c>
      <c r="L22" s="6">
        <v>0.63</v>
      </c>
      <c r="M22" s="6">
        <v>0.56000000000000005</v>
      </c>
      <c r="N22" s="6">
        <v>0.53</v>
      </c>
      <c r="O22" s="6">
        <v>0.31</v>
      </c>
      <c r="P22" s="6">
        <v>0.31</v>
      </c>
    </row>
    <row r="23" spans="1:16" x14ac:dyDescent="0.25">
      <c r="A23" s="4">
        <v>2004</v>
      </c>
      <c r="B23" s="11">
        <v>0.44</v>
      </c>
      <c r="C23" s="10">
        <f>H23+M23</f>
        <v>1.0699999999999998</v>
      </c>
      <c r="D23" s="10">
        <f>I23+N23</f>
        <v>1.06</v>
      </c>
      <c r="E23" s="10">
        <f>J23+O23</f>
        <v>0.76</v>
      </c>
      <c r="F23" s="10">
        <f>K23+P23</f>
        <v>0.63</v>
      </c>
      <c r="H23" s="5">
        <v>0.49</v>
      </c>
      <c r="I23" s="6">
        <v>0.49</v>
      </c>
      <c r="J23" s="6">
        <v>0.44</v>
      </c>
      <c r="K23" s="6">
        <v>0.32</v>
      </c>
      <c r="L23" s="6">
        <v>0.64</v>
      </c>
      <c r="M23" s="6">
        <v>0.57999999999999996</v>
      </c>
      <c r="N23" s="6">
        <v>0.56999999999999995</v>
      </c>
      <c r="O23" s="6">
        <v>0.32</v>
      </c>
      <c r="P23" s="6">
        <v>0.31</v>
      </c>
    </row>
    <row r="24" spans="1:16" x14ac:dyDescent="0.25">
      <c r="A24" s="4">
        <v>2005</v>
      </c>
      <c r="B24" s="11">
        <v>0.44</v>
      </c>
      <c r="C24" s="10">
        <f>H24+M24</f>
        <v>1.08</v>
      </c>
      <c r="D24" s="10">
        <f>I24+N24</f>
        <v>1.08</v>
      </c>
      <c r="E24" s="10">
        <f>J24+O24</f>
        <v>0.77</v>
      </c>
      <c r="F24" s="10">
        <f>K24+P24</f>
        <v>0.64</v>
      </c>
      <c r="H24" s="5">
        <v>0.5</v>
      </c>
      <c r="I24" s="6">
        <v>0.5</v>
      </c>
      <c r="J24" s="6">
        <v>0.44</v>
      </c>
      <c r="K24" s="6">
        <v>0.33</v>
      </c>
      <c r="L24" s="6">
        <v>0.66</v>
      </c>
      <c r="M24" s="6">
        <v>0.57999999999999996</v>
      </c>
      <c r="N24" s="6">
        <v>0.57999999999999996</v>
      </c>
      <c r="O24" s="6">
        <v>0.33</v>
      </c>
      <c r="P24" s="6">
        <v>0.31</v>
      </c>
    </row>
    <row r="25" spans="1:16" x14ac:dyDescent="0.25">
      <c r="A25" s="4">
        <v>2006</v>
      </c>
      <c r="B25" s="11">
        <v>0.44</v>
      </c>
      <c r="C25" s="10">
        <f>H25+M25</f>
        <v>1.1600000000000001</v>
      </c>
      <c r="D25" s="10">
        <f>I25+N25</f>
        <v>1.1600000000000001</v>
      </c>
      <c r="E25" s="10">
        <f>J25+O25</f>
        <v>0.81</v>
      </c>
      <c r="F25" s="10">
        <f>K25+P25</f>
        <v>0.67999999999999994</v>
      </c>
      <c r="H25" s="5">
        <v>0.54</v>
      </c>
      <c r="I25" s="6">
        <v>0.54</v>
      </c>
      <c r="J25" s="6">
        <v>0.46</v>
      </c>
      <c r="K25" s="6">
        <v>0.35</v>
      </c>
      <c r="L25" s="6">
        <v>0.71</v>
      </c>
      <c r="M25" s="6">
        <v>0.62</v>
      </c>
      <c r="N25" s="6">
        <v>0.62</v>
      </c>
      <c r="O25" s="6">
        <v>0.35</v>
      </c>
      <c r="P25" s="6">
        <v>0.33</v>
      </c>
    </row>
    <row r="26" spans="1:16" x14ac:dyDescent="0.25">
      <c r="A26" s="4">
        <v>2007</v>
      </c>
      <c r="B26" s="11">
        <v>0.44</v>
      </c>
      <c r="C26" s="10">
        <f>H26+M26</f>
        <v>1.1800000000000002</v>
      </c>
      <c r="D26" s="10">
        <f>I26+N26</f>
        <v>1.1800000000000002</v>
      </c>
      <c r="E26" s="10">
        <f>J26+O26</f>
        <v>0.83000000000000007</v>
      </c>
      <c r="F26" s="10">
        <f>K26+P26</f>
        <v>0.72</v>
      </c>
      <c r="H26" s="5">
        <v>0.55000000000000004</v>
      </c>
      <c r="I26" s="6">
        <v>0.55000000000000004</v>
      </c>
      <c r="J26" s="6">
        <v>0.46</v>
      </c>
      <c r="K26" s="6">
        <v>0.37</v>
      </c>
      <c r="L26" s="6">
        <v>0.72</v>
      </c>
      <c r="M26" s="6">
        <v>0.63</v>
      </c>
      <c r="N26" s="6">
        <v>0.63</v>
      </c>
      <c r="O26" s="6">
        <v>0.37</v>
      </c>
      <c r="P26" s="6">
        <v>0.35</v>
      </c>
    </row>
    <row r="27" spans="1:16" x14ac:dyDescent="0.25">
      <c r="A27" s="4">
        <v>2008</v>
      </c>
      <c r="B27" s="11">
        <v>0.44</v>
      </c>
      <c r="C27" s="10">
        <f>H27+M27</f>
        <v>1.1600000000000001</v>
      </c>
      <c r="D27" s="10">
        <f>I27+N27</f>
        <v>1.1600000000000001</v>
      </c>
      <c r="E27" s="10">
        <f>J27+O27</f>
        <v>0.83000000000000007</v>
      </c>
      <c r="F27" s="10">
        <f>K27+P27</f>
        <v>0.74</v>
      </c>
      <c r="H27" s="5">
        <v>0.55000000000000004</v>
      </c>
      <c r="I27" s="6">
        <v>0.55000000000000004</v>
      </c>
      <c r="J27" s="6">
        <v>0.46</v>
      </c>
      <c r="K27" s="6">
        <v>0.38</v>
      </c>
      <c r="L27" s="6">
        <v>0.67</v>
      </c>
      <c r="M27" s="6">
        <v>0.61</v>
      </c>
      <c r="N27" s="6">
        <v>0.61</v>
      </c>
      <c r="O27" s="6">
        <v>0.37</v>
      </c>
      <c r="P27" s="6">
        <v>0.36</v>
      </c>
    </row>
    <row r="28" spans="1:16" x14ac:dyDescent="0.25">
      <c r="A28" s="4">
        <v>2009</v>
      </c>
      <c r="B28" s="11">
        <v>0.44</v>
      </c>
      <c r="C28" s="10">
        <f>H28+M28</f>
        <v>1.06</v>
      </c>
      <c r="D28" s="10">
        <f>I28+N28</f>
        <v>1.06</v>
      </c>
      <c r="E28" s="10">
        <f>J28+O28</f>
        <v>0.77</v>
      </c>
      <c r="F28" s="10">
        <f>K28+P28</f>
        <v>0.7</v>
      </c>
      <c r="H28" s="5">
        <v>0.48</v>
      </c>
      <c r="I28" s="6">
        <v>0.48</v>
      </c>
      <c r="J28" s="6">
        <v>0.4</v>
      </c>
      <c r="K28" s="6">
        <v>0.34</v>
      </c>
      <c r="L28" s="6">
        <v>0.63</v>
      </c>
      <c r="M28" s="6">
        <v>0.57999999999999996</v>
      </c>
      <c r="N28" s="6">
        <v>0.57999999999999996</v>
      </c>
      <c r="O28" s="6">
        <v>0.37</v>
      </c>
      <c r="P28" s="6">
        <v>0.36</v>
      </c>
    </row>
    <row r="29" spans="1:16" x14ac:dyDescent="0.25">
      <c r="A29" s="7">
        <v>2010</v>
      </c>
      <c r="B29" s="11">
        <v>0.44</v>
      </c>
      <c r="C29" s="10">
        <f>H29+M29</f>
        <v>1.07</v>
      </c>
      <c r="D29" s="10">
        <f>I29+N29</f>
        <v>1.07</v>
      </c>
      <c r="E29" s="10">
        <f>J29+O29</f>
        <v>0.79</v>
      </c>
      <c r="F29" s="10">
        <f>K29+P29</f>
        <v>0.72</v>
      </c>
      <c r="H29" s="8">
        <v>0.46</v>
      </c>
      <c r="I29" s="9">
        <v>0.46</v>
      </c>
      <c r="J29" s="9">
        <v>0.39</v>
      </c>
      <c r="K29" s="9">
        <v>0.34</v>
      </c>
      <c r="L29" s="9">
        <v>0.66</v>
      </c>
      <c r="M29" s="9">
        <v>0.61</v>
      </c>
      <c r="N29" s="9">
        <v>0.61</v>
      </c>
      <c r="O29" s="9">
        <v>0.4</v>
      </c>
      <c r="P29" s="9">
        <v>0.38</v>
      </c>
    </row>
    <row r="30" spans="1:16" x14ac:dyDescent="0.25">
      <c r="A30" s="1">
        <v>2011</v>
      </c>
      <c r="B30" s="11">
        <v>0.44</v>
      </c>
      <c r="C30" s="10">
        <f>H30+M30</f>
        <v>1.19</v>
      </c>
      <c r="D30" s="10">
        <f>I30+N30</f>
        <v>1.19</v>
      </c>
      <c r="E30" s="10">
        <f>J30+O30</f>
        <v>0.87</v>
      </c>
      <c r="F30" s="10">
        <f>K30+P30</f>
        <v>0.77</v>
      </c>
      <c r="H30" s="2">
        <v>0.51</v>
      </c>
      <c r="I30" s="3">
        <v>0.51</v>
      </c>
      <c r="J30" s="3">
        <v>0.43</v>
      </c>
      <c r="K30" s="3">
        <v>0.36</v>
      </c>
      <c r="L30" s="3">
        <v>0.74</v>
      </c>
      <c r="M30" s="3">
        <v>0.68</v>
      </c>
      <c r="N30" s="3">
        <v>0.68</v>
      </c>
      <c r="O30" s="3">
        <v>0.44</v>
      </c>
      <c r="P30" s="3">
        <v>0.41</v>
      </c>
    </row>
    <row r="31" spans="1:16" x14ac:dyDescent="0.25">
      <c r="A31" s="4">
        <v>2012</v>
      </c>
      <c r="B31" s="11">
        <v>0.44</v>
      </c>
      <c r="C31" s="10">
        <f>H31+M31</f>
        <v>1.29</v>
      </c>
      <c r="D31" s="10">
        <f>I31+N31</f>
        <v>1.2799999999999998</v>
      </c>
      <c r="E31" s="10">
        <f>J31+O31</f>
        <v>0.90999999999999992</v>
      </c>
      <c r="F31" s="10">
        <f>K31+P31</f>
        <v>0.8</v>
      </c>
      <c r="H31" s="5">
        <v>0.57999999999999996</v>
      </c>
      <c r="I31" s="6">
        <v>0.56999999999999995</v>
      </c>
      <c r="J31" s="6">
        <v>0.47</v>
      </c>
      <c r="K31" s="6">
        <v>0.39</v>
      </c>
      <c r="L31" s="6">
        <v>0.77</v>
      </c>
      <c r="M31" s="6">
        <v>0.71</v>
      </c>
      <c r="N31" s="6">
        <v>0.71</v>
      </c>
      <c r="O31" s="6">
        <v>0.44</v>
      </c>
      <c r="P31" s="6">
        <v>0.41</v>
      </c>
    </row>
    <row r="32" spans="1:16" x14ac:dyDescent="0.25">
      <c r="A32" s="4">
        <v>2013</v>
      </c>
      <c r="B32" s="11">
        <v>0.44</v>
      </c>
      <c r="C32" s="10">
        <f>H32+M32</f>
        <v>1.26</v>
      </c>
      <c r="D32" s="10">
        <f>I32+N32</f>
        <v>1.25</v>
      </c>
      <c r="E32" s="10">
        <f>J32+O32</f>
        <v>0.87</v>
      </c>
      <c r="F32" s="10">
        <f>K32+P32</f>
        <v>0.75</v>
      </c>
      <c r="H32" s="5">
        <v>0.59</v>
      </c>
      <c r="I32" s="6">
        <v>0.57999999999999996</v>
      </c>
      <c r="J32" s="6">
        <v>0.47</v>
      </c>
      <c r="K32" s="6">
        <v>0.38</v>
      </c>
      <c r="L32" s="6">
        <v>0.72</v>
      </c>
      <c r="M32" s="6">
        <v>0.67</v>
      </c>
      <c r="N32" s="6">
        <v>0.67</v>
      </c>
      <c r="O32" s="6">
        <v>0.4</v>
      </c>
      <c r="P32" s="6">
        <v>0.37</v>
      </c>
    </row>
    <row r="33" spans="1:16" x14ac:dyDescent="0.25">
      <c r="A33" s="4">
        <v>2014</v>
      </c>
      <c r="B33" s="11">
        <v>0.44</v>
      </c>
      <c r="C33" s="10">
        <f>H33+M33</f>
        <v>1.1600000000000001</v>
      </c>
      <c r="D33" s="10">
        <f>I33+N33</f>
        <v>1.1499999999999999</v>
      </c>
      <c r="E33" s="10">
        <f>J33+O33</f>
        <v>0.81</v>
      </c>
      <c r="F33" s="10">
        <f>K33+P33</f>
        <v>0.7</v>
      </c>
      <c r="H33" s="5">
        <v>0.52</v>
      </c>
      <c r="I33" s="6">
        <v>0.52</v>
      </c>
      <c r="J33" s="6">
        <v>0.43</v>
      </c>
      <c r="K33" s="6">
        <v>0.35</v>
      </c>
      <c r="L33" s="6">
        <v>0.7</v>
      </c>
      <c r="M33" s="6">
        <v>0.64</v>
      </c>
      <c r="N33" s="6">
        <v>0.63</v>
      </c>
      <c r="O33" s="6">
        <v>0.38</v>
      </c>
      <c r="P33" s="6">
        <v>0.35</v>
      </c>
    </row>
    <row r="34" spans="1:16" x14ac:dyDescent="0.25">
      <c r="A34" s="4">
        <v>2015</v>
      </c>
      <c r="B34" s="11">
        <v>0.44</v>
      </c>
      <c r="C34" s="10">
        <f>H34+M34</f>
        <v>1.1499999999999999</v>
      </c>
      <c r="D34" s="10">
        <f>I34+N34</f>
        <v>1.1499999999999999</v>
      </c>
      <c r="E34" s="10">
        <f>J34+O34</f>
        <v>0.81</v>
      </c>
      <c r="F34" s="10">
        <f>K34+P34</f>
        <v>0.68</v>
      </c>
      <c r="H34" s="5">
        <v>0.53</v>
      </c>
      <c r="I34" s="6">
        <v>0.53</v>
      </c>
      <c r="J34" s="6">
        <v>0.44</v>
      </c>
      <c r="K34" s="6">
        <v>0.34</v>
      </c>
      <c r="L34" s="6">
        <v>0.69</v>
      </c>
      <c r="M34" s="6">
        <v>0.62</v>
      </c>
      <c r="N34" s="6">
        <v>0.62</v>
      </c>
      <c r="O34" s="6">
        <v>0.37</v>
      </c>
      <c r="P34" s="6">
        <v>0.34</v>
      </c>
    </row>
    <row r="35" spans="1:16" x14ac:dyDescent="0.25">
      <c r="A35" s="4">
        <v>2016</v>
      </c>
      <c r="B35" s="11">
        <v>0.44</v>
      </c>
      <c r="C35" s="10">
        <f>H35+M35</f>
        <v>1.1200000000000001</v>
      </c>
      <c r="D35" s="10">
        <f>I35+N35</f>
        <v>1.1200000000000001</v>
      </c>
      <c r="E35" s="10">
        <f>J35+O35</f>
        <v>0.8</v>
      </c>
      <c r="F35" s="10">
        <f>K35+P35</f>
        <v>0.67999999999999994</v>
      </c>
      <c r="H35" s="5">
        <v>0.49</v>
      </c>
      <c r="I35" s="6">
        <v>0.49</v>
      </c>
      <c r="J35" s="6">
        <v>0.42</v>
      </c>
      <c r="K35" s="6">
        <v>0.33</v>
      </c>
      <c r="L35" s="6">
        <v>0.71</v>
      </c>
      <c r="M35" s="6">
        <v>0.63</v>
      </c>
      <c r="N35" s="6">
        <v>0.63</v>
      </c>
      <c r="O35" s="6">
        <v>0.38</v>
      </c>
      <c r="P35" s="6">
        <v>0.35</v>
      </c>
    </row>
    <row r="36" spans="1:16" x14ac:dyDescent="0.25">
      <c r="A36" s="4">
        <v>2017</v>
      </c>
      <c r="B36" s="11">
        <v>0.44</v>
      </c>
      <c r="C36" s="10">
        <f>H36+M36</f>
        <v>1.1000000000000001</v>
      </c>
      <c r="D36" s="10">
        <f>I36+N36</f>
        <v>1.0899999999999999</v>
      </c>
      <c r="E36" s="10">
        <f>J36+O36</f>
        <v>0.81</v>
      </c>
      <c r="F36" s="10">
        <f>K36+P36</f>
        <v>0.66</v>
      </c>
      <c r="H36" s="5">
        <v>0.5</v>
      </c>
      <c r="I36" s="6">
        <v>0.5</v>
      </c>
      <c r="J36" s="6">
        <v>0.44</v>
      </c>
      <c r="K36" s="6">
        <v>0.33</v>
      </c>
      <c r="L36" s="6">
        <v>0.67</v>
      </c>
      <c r="M36" s="6">
        <v>0.6</v>
      </c>
      <c r="N36" s="6">
        <v>0.59</v>
      </c>
      <c r="O36" s="6">
        <v>0.37</v>
      </c>
      <c r="P36" s="6">
        <v>0.33</v>
      </c>
    </row>
    <row r="37" spans="1:16" x14ac:dyDescent="0.25">
      <c r="A37" s="4">
        <v>2018</v>
      </c>
      <c r="B37" s="11">
        <v>0.44</v>
      </c>
      <c r="C37" s="10">
        <f>H37+M37</f>
        <v>1.02</v>
      </c>
      <c r="D37" s="10">
        <f>I37+N37</f>
        <v>1.02</v>
      </c>
      <c r="E37" s="10">
        <f>J37+O37</f>
        <v>0.76</v>
      </c>
      <c r="F37" s="10">
        <f>K37+P37</f>
        <v>0.62</v>
      </c>
      <c r="H37" s="5">
        <v>0.47</v>
      </c>
      <c r="I37" s="6">
        <v>0.47</v>
      </c>
      <c r="J37" s="6">
        <v>0.41</v>
      </c>
      <c r="K37" s="6">
        <v>0.31</v>
      </c>
      <c r="L37" s="6">
        <v>0.62</v>
      </c>
      <c r="M37" s="6">
        <v>0.55000000000000004</v>
      </c>
      <c r="N37" s="6">
        <v>0.55000000000000004</v>
      </c>
      <c r="O37" s="6">
        <v>0.35</v>
      </c>
      <c r="P37" s="6">
        <v>0.31</v>
      </c>
    </row>
    <row r="38" spans="1:16" x14ac:dyDescent="0.25">
      <c r="A38" s="4">
        <v>2019</v>
      </c>
      <c r="B38" s="11">
        <v>0.44</v>
      </c>
      <c r="C38" s="10">
        <f>H38+M38</f>
        <v>0.99</v>
      </c>
      <c r="D38" s="10">
        <f>I38+N38</f>
        <v>0.98</v>
      </c>
      <c r="E38" s="10">
        <f>J38+O38</f>
        <v>0.75</v>
      </c>
      <c r="F38" s="10">
        <f>K38+P38</f>
        <v>0.61</v>
      </c>
      <c r="H38" s="5">
        <v>0.47</v>
      </c>
      <c r="I38" s="6">
        <v>0.47</v>
      </c>
      <c r="J38" s="6">
        <v>0.42</v>
      </c>
      <c r="K38" s="6">
        <v>0.32</v>
      </c>
      <c r="L38" s="6">
        <v>0.59</v>
      </c>
      <c r="M38" s="6">
        <v>0.52</v>
      </c>
      <c r="N38" s="6">
        <v>0.51</v>
      </c>
      <c r="O38" s="6">
        <v>0.33</v>
      </c>
      <c r="P38" s="6">
        <v>0.28999999999999998</v>
      </c>
    </row>
    <row r="39" spans="1:16" x14ac:dyDescent="0.25">
      <c r="A39" s="4">
        <v>2020</v>
      </c>
      <c r="B39" s="11">
        <v>0.44</v>
      </c>
      <c r="C39" s="10">
        <f>H39+M39</f>
        <v>0.99</v>
      </c>
      <c r="D39" s="10">
        <f>I39+N39</f>
        <v>0.99</v>
      </c>
      <c r="E39" s="10">
        <f>J39+O39</f>
        <v>0.75</v>
      </c>
      <c r="F39" s="10">
        <f>K39+P39</f>
        <v>0.64</v>
      </c>
      <c r="H39" s="5">
        <v>0.48</v>
      </c>
      <c r="I39" s="6">
        <v>0.48</v>
      </c>
      <c r="J39" s="6">
        <v>0.43</v>
      </c>
      <c r="K39" s="6">
        <v>0.34</v>
      </c>
      <c r="L39" s="6">
        <v>0.59</v>
      </c>
      <c r="M39" s="6">
        <v>0.51</v>
      </c>
      <c r="N39" s="6">
        <v>0.51</v>
      </c>
      <c r="O39" s="6">
        <v>0.32</v>
      </c>
      <c r="P39" s="6">
        <v>0.3</v>
      </c>
    </row>
    <row r="40" spans="1:16" x14ac:dyDescent="0.25">
      <c r="A40" s="4">
        <v>2021</v>
      </c>
      <c r="B40" s="11">
        <v>0.44</v>
      </c>
      <c r="C40" s="10">
        <f>H40+M40</f>
        <v>0.96</v>
      </c>
      <c r="D40" s="10">
        <f>I40+N40</f>
        <v>0.96</v>
      </c>
      <c r="E40" s="10">
        <f>J40+O40</f>
        <v>0.74</v>
      </c>
      <c r="F40" s="10">
        <f>K40+P40</f>
        <v>0.63</v>
      </c>
      <c r="H40" s="5">
        <v>0.47</v>
      </c>
      <c r="I40" s="6">
        <v>0.47</v>
      </c>
      <c r="J40" s="6">
        <v>0.43</v>
      </c>
      <c r="K40" s="6">
        <v>0.34</v>
      </c>
      <c r="L40" s="6">
        <v>0.57999999999999996</v>
      </c>
      <c r="M40" s="6">
        <v>0.49</v>
      </c>
      <c r="N40" s="6">
        <v>0.49</v>
      </c>
      <c r="O40" s="6">
        <v>0.31</v>
      </c>
      <c r="P40" s="6">
        <v>0.28999999999999998</v>
      </c>
    </row>
    <row r="41" spans="1:16" x14ac:dyDescent="0.25">
      <c r="A41" s="4">
        <v>2022</v>
      </c>
      <c r="B41" s="11">
        <v>0.44</v>
      </c>
      <c r="C41" s="10">
        <f>H41+M41</f>
        <v>0.82000000000000006</v>
      </c>
      <c r="D41" s="10">
        <f>I41+N41</f>
        <v>0.81</v>
      </c>
      <c r="E41" s="10">
        <f>J41+O41</f>
        <v>0.61</v>
      </c>
      <c r="F41" s="10">
        <f>K41+P41</f>
        <v>0.52</v>
      </c>
      <c r="H41" s="5">
        <v>0.33</v>
      </c>
      <c r="I41" s="6">
        <v>0.32</v>
      </c>
      <c r="J41" s="6">
        <v>0.3</v>
      </c>
      <c r="K41" s="6">
        <v>0.23</v>
      </c>
      <c r="L41" s="6">
        <v>0.57999999999999996</v>
      </c>
      <c r="M41" s="6">
        <v>0.49</v>
      </c>
      <c r="N41" s="6">
        <v>0.49</v>
      </c>
      <c r="O41" s="6">
        <v>0.31</v>
      </c>
      <c r="P41" s="6">
        <v>0.28999999999999998</v>
      </c>
    </row>
    <row r="42" spans="1:16" x14ac:dyDescent="0.25">
      <c r="A42" s="4">
        <v>2023</v>
      </c>
      <c r="B42" s="11">
        <v>0.44</v>
      </c>
      <c r="C42" s="10">
        <f>H42+M42</f>
        <v>0.83000000000000007</v>
      </c>
      <c r="D42" s="10">
        <f>I42+N42</f>
        <v>0.82000000000000006</v>
      </c>
      <c r="E42" s="10">
        <f>J42+O42</f>
        <v>0.62</v>
      </c>
      <c r="F42" s="10">
        <f>K42+P42</f>
        <v>0.53</v>
      </c>
      <c r="H42" s="5">
        <v>0.33</v>
      </c>
      <c r="I42" s="6">
        <v>0.32</v>
      </c>
      <c r="J42" s="6">
        <v>0.3</v>
      </c>
      <c r="K42" s="6">
        <v>0.23</v>
      </c>
      <c r="L42" s="6">
        <v>0.57999999999999996</v>
      </c>
      <c r="M42" s="6">
        <v>0.5</v>
      </c>
      <c r="N42" s="6">
        <v>0.5</v>
      </c>
      <c r="O42" s="6">
        <v>0.32</v>
      </c>
      <c r="P42" s="6">
        <v>0.3</v>
      </c>
    </row>
    <row r="43" spans="1:16" x14ac:dyDescent="0.25">
      <c r="A43" s="4">
        <v>2024</v>
      </c>
      <c r="B43" s="11">
        <v>0.44</v>
      </c>
      <c r="C43" s="10">
        <f>H43+M43</f>
        <v>0.88</v>
      </c>
      <c r="D43" s="10">
        <f>I43+N43</f>
        <v>0.87</v>
      </c>
      <c r="E43" s="10">
        <f>J43+O43</f>
        <v>0.66</v>
      </c>
      <c r="F43" s="10">
        <f>K43+P43</f>
        <v>0.57000000000000006</v>
      </c>
      <c r="H43" s="5">
        <v>0.38</v>
      </c>
      <c r="I43" s="6">
        <v>0.37</v>
      </c>
      <c r="J43" s="6">
        <v>0.34</v>
      </c>
      <c r="K43" s="6">
        <v>0.27</v>
      </c>
      <c r="L43" s="6">
        <v>0.57999999999999996</v>
      </c>
      <c r="M43" s="6">
        <v>0.5</v>
      </c>
      <c r="N43" s="6">
        <v>0.5</v>
      </c>
      <c r="O43" s="6">
        <v>0.32</v>
      </c>
      <c r="P43" s="6">
        <v>0.3</v>
      </c>
    </row>
    <row r="44" spans="1:16" x14ac:dyDescent="0.25">
      <c r="A44" s="7">
        <v>2025</v>
      </c>
      <c r="B44" s="11">
        <v>0.44</v>
      </c>
      <c r="C44" s="10">
        <f>H44+M44</f>
        <v>0.84000000000000008</v>
      </c>
      <c r="D44" s="10">
        <f>I44+N44</f>
        <v>0.83000000000000007</v>
      </c>
      <c r="E44" s="10">
        <f>J44+O44</f>
        <v>0.62</v>
      </c>
      <c r="F44" s="10">
        <f>K44+P44</f>
        <v>0.54</v>
      </c>
      <c r="H44" s="8">
        <v>0.34</v>
      </c>
      <c r="I44" s="9">
        <v>0.34</v>
      </c>
      <c r="J44" s="9">
        <v>0.31</v>
      </c>
      <c r="K44" s="9">
        <v>0.24</v>
      </c>
      <c r="L44" s="9">
        <v>0.57999999999999996</v>
      </c>
      <c r="M44" s="9">
        <v>0.5</v>
      </c>
      <c r="N44" s="9">
        <v>0.49</v>
      </c>
      <c r="O44" s="9">
        <v>0.31</v>
      </c>
      <c r="P44" s="9">
        <v>0.3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0200-351E-47F0-A698-3CF2A15A057D}">
  <dimension ref="A1:F44"/>
  <sheetViews>
    <sheetView workbookViewId="0">
      <selection activeCell="B1" sqref="B1:J1"/>
    </sheetView>
  </sheetViews>
  <sheetFormatPr defaultRowHeight="15" x14ac:dyDescent="0.25"/>
  <sheetData>
    <row r="1" spans="1:6" x14ac:dyDescent="0.25"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s="1">
        <v>1983</v>
      </c>
      <c r="B2">
        <v>0</v>
      </c>
      <c r="C2">
        <v>0.4696072</v>
      </c>
      <c r="D2">
        <v>0.92468419999999996</v>
      </c>
      <c r="E2">
        <v>1.1755377</v>
      </c>
      <c r="F2">
        <v>1.1755377</v>
      </c>
    </row>
    <row r="3" spans="1:6" x14ac:dyDescent="0.25">
      <c r="A3" s="4">
        <v>1984</v>
      </c>
      <c r="B3">
        <v>0</v>
      </c>
      <c r="C3">
        <v>0.53058950000000005</v>
      </c>
      <c r="D3">
        <v>1.0447618999999999</v>
      </c>
      <c r="E3">
        <v>1.3281906999999999</v>
      </c>
      <c r="F3">
        <v>1.3281906999999999</v>
      </c>
    </row>
    <row r="4" spans="1:6" x14ac:dyDescent="0.25">
      <c r="A4" s="4">
        <v>1985</v>
      </c>
      <c r="B4">
        <v>0</v>
      </c>
      <c r="C4">
        <v>0.56886619999999999</v>
      </c>
      <c r="D4">
        <v>1.1201308999999999</v>
      </c>
      <c r="E4">
        <v>1.4240063000000001</v>
      </c>
      <c r="F4">
        <v>1.4240063000000001</v>
      </c>
    </row>
    <row r="5" spans="1:6" x14ac:dyDescent="0.25">
      <c r="A5" s="4">
        <v>1986</v>
      </c>
      <c r="B5">
        <v>0</v>
      </c>
      <c r="C5">
        <v>0.3816599</v>
      </c>
      <c r="D5">
        <v>0.75151069999999998</v>
      </c>
      <c r="E5">
        <v>0.95538480000000003</v>
      </c>
      <c r="F5">
        <v>0.95538480000000003</v>
      </c>
    </row>
    <row r="6" spans="1:6" x14ac:dyDescent="0.25">
      <c r="A6" s="4">
        <v>1987</v>
      </c>
      <c r="B6">
        <v>0</v>
      </c>
      <c r="C6">
        <v>0.30187180000000002</v>
      </c>
      <c r="D6">
        <v>0.59440329999999997</v>
      </c>
      <c r="E6">
        <v>0.75565629999999995</v>
      </c>
      <c r="F6">
        <v>0.75565629999999995</v>
      </c>
    </row>
    <row r="7" spans="1:6" x14ac:dyDescent="0.25">
      <c r="A7" s="4">
        <v>1988</v>
      </c>
      <c r="B7">
        <v>0</v>
      </c>
      <c r="C7">
        <v>0.41056199999999998</v>
      </c>
      <c r="D7">
        <v>0.80842060000000004</v>
      </c>
      <c r="E7">
        <v>1.0277334</v>
      </c>
      <c r="F7">
        <v>1.0277334</v>
      </c>
    </row>
    <row r="8" spans="1:6" x14ac:dyDescent="0.25">
      <c r="A8" s="4">
        <v>1989</v>
      </c>
      <c r="B8">
        <v>0</v>
      </c>
      <c r="C8">
        <v>0.44331569999999998</v>
      </c>
      <c r="D8">
        <v>0.87291459999999998</v>
      </c>
      <c r="E8">
        <v>1.1097237</v>
      </c>
      <c r="F8">
        <v>1.1097237</v>
      </c>
    </row>
    <row r="9" spans="1:6" x14ac:dyDescent="0.25">
      <c r="A9" s="4">
        <v>1990</v>
      </c>
      <c r="B9">
        <v>0</v>
      </c>
      <c r="C9">
        <v>0.43358279999999999</v>
      </c>
      <c r="D9">
        <v>0.85375000000000001</v>
      </c>
      <c r="E9">
        <v>1.0853600999999999</v>
      </c>
      <c r="F9">
        <v>1.0853600999999999</v>
      </c>
    </row>
    <row r="10" spans="1:6" x14ac:dyDescent="0.25">
      <c r="A10" s="4">
        <v>1991</v>
      </c>
      <c r="B10">
        <v>0</v>
      </c>
      <c r="C10">
        <v>0.3205153</v>
      </c>
      <c r="D10">
        <v>0.63111340000000005</v>
      </c>
      <c r="E10">
        <v>0.80232539999999997</v>
      </c>
      <c r="F10">
        <v>0.80232539999999997</v>
      </c>
    </row>
    <row r="11" spans="1:6" x14ac:dyDescent="0.25">
      <c r="A11" s="4">
        <v>1992</v>
      </c>
      <c r="B11">
        <v>0</v>
      </c>
      <c r="C11">
        <v>0.46256510000000001</v>
      </c>
      <c r="D11">
        <v>0.91081789999999996</v>
      </c>
      <c r="E11">
        <v>1.1579097</v>
      </c>
      <c r="F11">
        <v>1.1579097</v>
      </c>
    </row>
    <row r="12" spans="1:6" x14ac:dyDescent="0.25">
      <c r="A12" s="4">
        <v>1993</v>
      </c>
      <c r="B12">
        <v>0</v>
      </c>
      <c r="C12">
        <v>0.20348759999999999</v>
      </c>
      <c r="D12">
        <v>0.40067900000000001</v>
      </c>
      <c r="E12">
        <v>0.50937739999999998</v>
      </c>
      <c r="F12">
        <v>0.50937739999999998</v>
      </c>
    </row>
    <row r="13" spans="1:6" x14ac:dyDescent="0.25">
      <c r="A13" s="4">
        <v>1994</v>
      </c>
      <c r="B13">
        <v>0</v>
      </c>
      <c r="C13">
        <v>0.16327920000000001</v>
      </c>
      <c r="D13">
        <v>0.32150640000000003</v>
      </c>
      <c r="E13">
        <v>0.40872639999999999</v>
      </c>
      <c r="F13">
        <v>0.40872639999999999</v>
      </c>
    </row>
    <row r="14" spans="1:6" x14ac:dyDescent="0.25">
      <c r="A14" s="4">
        <v>1995</v>
      </c>
      <c r="B14">
        <v>0</v>
      </c>
      <c r="C14">
        <v>0.30365540000000002</v>
      </c>
      <c r="D14">
        <v>0.59791519999999998</v>
      </c>
      <c r="E14">
        <v>0.76012100000000005</v>
      </c>
      <c r="F14">
        <v>0.76012100000000005</v>
      </c>
    </row>
    <row r="15" spans="1:6" x14ac:dyDescent="0.25">
      <c r="A15" s="4">
        <v>1996</v>
      </c>
      <c r="B15">
        <v>0</v>
      </c>
      <c r="C15">
        <v>0.29159760000000001</v>
      </c>
      <c r="D15">
        <v>0.57417269999999998</v>
      </c>
      <c r="E15">
        <v>0.72993750000000002</v>
      </c>
      <c r="F15">
        <v>0.72993750000000002</v>
      </c>
    </row>
    <row r="16" spans="1:6" x14ac:dyDescent="0.25">
      <c r="A16" s="4">
        <v>1997</v>
      </c>
      <c r="B16">
        <v>0</v>
      </c>
      <c r="C16">
        <v>0.2979253</v>
      </c>
      <c r="D16">
        <v>0.58663240000000005</v>
      </c>
      <c r="E16">
        <v>0.74577720000000003</v>
      </c>
      <c r="F16">
        <v>0.74577720000000003</v>
      </c>
    </row>
    <row r="17" spans="1:6" x14ac:dyDescent="0.25">
      <c r="A17" s="4">
        <v>1998</v>
      </c>
      <c r="B17">
        <v>0</v>
      </c>
      <c r="C17">
        <v>0.36557060000000002</v>
      </c>
      <c r="D17">
        <v>0.71982990000000002</v>
      </c>
      <c r="E17">
        <v>0.91510939999999996</v>
      </c>
      <c r="F17">
        <v>0.91510939999999996</v>
      </c>
    </row>
    <row r="18" spans="1:6" x14ac:dyDescent="0.25">
      <c r="A18" s="4">
        <v>1999</v>
      </c>
      <c r="B18">
        <v>0</v>
      </c>
      <c r="C18">
        <v>0.72130689999999997</v>
      </c>
      <c r="D18">
        <v>1.0469168</v>
      </c>
      <c r="E18">
        <v>0.97523009999999999</v>
      </c>
      <c r="F18">
        <v>0.97523009999999999</v>
      </c>
    </row>
    <row r="19" spans="1:6" x14ac:dyDescent="0.25">
      <c r="A19" s="4">
        <v>2000</v>
      </c>
      <c r="B19">
        <v>0</v>
      </c>
      <c r="C19">
        <v>0.5953328</v>
      </c>
      <c r="D19">
        <v>0.86407590000000001</v>
      </c>
      <c r="E19">
        <v>0.80490910000000004</v>
      </c>
      <c r="F19">
        <v>0.80490910000000004</v>
      </c>
    </row>
    <row r="20" spans="1:6" x14ac:dyDescent="0.25">
      <c r="A20" s="4">
        <v>2001</v>
      </c>
      <c r="B20">
        <v>0</v>
      </c>
      <c r="C20">
        <v>0.92595000000000005</v>
      </c>
      <c r="D20">
        <v>1.3439391000000001</v>
      </c>
      <c r="E20">
        <v>1.2519141</v>
      </c>
      <c r="F20">
        <v>1.2519141</v>
      </c>
    </row>
    <row r="21" spans="1:6" x14ac:dyDescent="0.25">
      <c r="A21" s="4">
        <v>2002</v>
      </c>
      <c r="B21">
        <v>0</v>
      </c>
      <c r="C21">
        <v>0.69019790000000003</v>
      </c>
      <c r="D21">
        <v>1.0017647000000001</v>
      </c>
      <c r="E21">
        <v>0.93316980000000005</v>
      </c>
      <c r="F21">
        <v>0.93316980000000005</v>
      </c>
    </row>
    <row r="22" spans="1:6" x14ac:dyDescent="0.25">
      <c r="A22" s="4">
        <v>2003</v>
      </c>
      <c r="B22">
        <v>0</v>
      </c>
      <c r="C22">
        <v>0.5711794</v>
      </c>
      <c r="D22">
        <v>0.82901919999999996</v>
      </c>
      <c r="E22">
        <v>0.77225290000000002</v>
      </c>
      <c r="F22">
        <v>0.77225290000000002</v>
      </c>
    </row>
    <row r="23" spans="1:6" x14ac:dyDescent="0.25">
      <c r="A23" s="4">
        <v>2004</v>
      </c>
      <c r="B23">
        <v>0</v>
      </c>
      <c r="C23">
        <v>0.59619509999999998</v>
      </c>
      <c r="D23">
        <v>0.86532750000000003</v>
      </c>
      <c r="E23">
        <v>0.80607499999999999</v>
      </c>
      <c r="F23">
        <v>0.80607499999999999</v>
      </c>
    </row>
    <row r="24" spans="1:6" x14ac:dyDescent="0.25">
      <c r="A24" s="4">
        <v>2005</v>
      </c>
      <c r="B24">
        <v>0</v>
      </c>
      <c r="C24">
        <v>0.30655900000000003</v>
      </c>
      <c r="D24">
        <v>0.44494489999999998</v>
      </c>
      <c r="E24">
        <v>0.4144777</v>
      </c>
      <c r="F24">
        <v>0.4144777</v>
      </c>
    </row>
    <row r="25" spans="1:6" x14ac:dyDescent="0.25">
      <c r="A25" s="4">
        <v>2006</v>
      </c>
      <c r="B25">
        <v>0</v>
      </c>
      <c r="C25">
        <v>0.41800979999999999</v>
      </c>
      <c r="D25">
        <v>0.60670630000000003</v>
      </c>
      <c r="E25">
        <v>0.56516259999999996</v>
      </c>
      <c r="F25">
        <v>0.56516259999999996</v>
      </c>
    </row>
    <row r="26" spans="1:6" x14ac:dyDescent="0.25">
      <c r="A26" s="4">
        <v>2007</v>
      </c>
      <c r="B26">
        <v>0</v>
      </c>
      <c r="C26">
        <v>0.14842269999999999</v>
      </c>
      <c r="D26">
        <v>0.21542320000000001</v>
      </c>
      <c r="E26">
        <v>0.2006723</v>
      </c>
      <c r="F26">
        <v>0.2006723</v>
      </c>
    </row>
    <row r="27" spans="1:6" x14ac:dyDescent="0.25">
      <c r="A27" s="4">
        <v>2008</v>
      </c>
      <c r="B27">
        <v>0</v>
      </c>
      <c r="C27">
        <v>0.32034020000000002</v>
      </c>
      <c r="D27">
        <v>0.464947</v>
      </c>
      <c r="E27">
        <v>0.4331102</v>
      </c>
      <c r="F27">
        <v>0.4331102</v>
      </c>
    </row>
    <row r="28" spans="1:6" x14ac:dyDescent="0.25">
      <c r="A28" s="4">
        <v>2009</v>
      </c>
      <c r="B28">
        <v>0</v>
      </c>
      <c r="C28">
        <v>0.39448420000000001</v>
      </c>
      <c r="D28">
        <v>0.57256090000000004</v>
      </c>
      <c r="E28">
        <v>0.53335529999999998</v>
      </c>
      <c r="F28">
        <v>0.53335529999999998</v>
      </c>
    </row>
    <row r="29" spans="1:6" x14ac:dyDescent="0.25">
      <c r="A29" s="7">
        <v>2010</v>
      </c>
      <c r="B29">
        <v>0</v>
      </c>
      <c r="C29">
        <v>0.2710707</v>
      </c>
      <c r="D29">
        <v>0.39343650000000002</v>
      </c>
      <c r="E29">
        <v>0.3664963</v>
      </c>
      <c r="F29">
        <v>0.3664963</v>
      </c>
    </row>
    <row r="30" spans="1:6" x14ac:dyDescent="0.25">
      <c r="A30" s="1">
        <v>2011</v>
      </c>
      <c r="B30">
        <v>0</v>
      </c>
      <c r="C30">
        <v>0.39435769999999998</v>
      </c>
      <c r="D30">
        <v>0.57237740000000004</v>
      </c>
      <c r="E30">
        <v>0.5331844</v>
      </c>
      <c r="F30">
        <v>0.5331844</v>
      </c>
    </row>
    <row r="31" spans="1:6" x14ac:dyDescent="0.25">
      <c r="A31" s="4">
        <v>2012</v>
      </c>
      <c r="B31">
        <v>0</v>
      </c>
      <c r="C31">
        <v>5.6201000000000001E-2</v>
      </c>
      <c r="D31">
        <v>8.1571099999999994E-2</v>
      </c>
      <c r="E31">
        <v>7.59856E-2</v>
      </c>
      <c r="F31">
        <v>7.59856E-2</v>
      </c>
    </row>
    <row r="32" spans="1:6" x14ac:dyDescent="0.25">
      <c r="A32" s="4">
        <v>2013</v>
      </c>
      <c r="B32">
        <v>0</v>
      </c>
      <c r="C32">
        <v>0.40415050000000002</v>
      </c>
      <c r="D32">
        <v>0.58659070000000002</v>
      </c>
      <c r="E32">
        <v>0.54642449999999998</v>
      </c>
      <c r="F32">
        <v>0.54642449999999998</v>
      </c>
    </row>
    <row r="33" spans="1:6" x14ac:dyDescent="0.25">
      <c r="A33" s="4">
        <v>2014</v>
      </c>
      <c r="B33">
        <v>0</v>
      </c>
      <c r="C33">
        <v>0.1940741</v>
      </c>
      <c r="D33">
        <v>0.2816824</v>
      </c>
      <c r="E33">
        <v>0.26239440000000003</v>
      </c>
      <c r="F33">
        <v>0.26239440000000003</v>
      </c>
    </row>
    <row r="34" spans="1:6" x14ac:dyDescent="0.25">
      <c r="A34" s="4">
        <v>2015</v>
      </c>
      <c r="B34">
        <v>0</v>
      </c>
      <c r="C34">
        <v>0.15021319999999999</v>
      </c>
      <c r="D34">
        <v>0.21802199999999999</v>
      </c>
      <c r="E34">
        <v>0.2030931</v>
      </c>
      <c r="F34">
        <v>0.2030931</v>
      </c>
    </row>
    <row r="35" spans="1:6" x14ac:dyDescent="0.25">
      <c r="A35" s="4">
        <v>2016</v>
      </c>
      <c r="B35">
        <v>0</v>
      </c>
      <c r="C35">
        <v>1.5735800000000001E-2</v>
      </c>
      <c r="D35">
        <v>2.28392E-2</v>
      </c>
      <c r="E35">
        <v>2.12753E-2</v>
      </c>
      <c r="F35">
        <v>2.12753E-2</v>
      </c>
    </row>
    <row r="36" spans="1:6" x14ac:dyDescent="0.25">
      <c r="A36" s="4">
        <v>2017</v>
      </c>
      <c r="B36">
        <v>0</v>
      </c>
      <c r="C36">
        <v>0.30859330000000001</v>
      </c>
      <c r="D36">
        <v>0.4478974</v>
      </c>
      <c r="E36">
        <v>0.41722799999999999</v>
      </c>
      <c r="F36">
        <v>0.41722799999999999</v>
      </c>
    </row>
    <row r="37" spans="1:6" x14ac:dyDescent="0.25">
      <c r="A37" s="4">
        <v>2018</v>
      </c>
      <c r="B37">
        <v>0</v>
      </c>
      <c r="C37">
        <v>0.27212449999999999</v>
      </c>
      <c r="D37">
        <v>0.39496599999999998</v>
      </c>
      <c r="E37">
        <v>0.3679211</v>
      </c>
      <c r="F37">
        <v>0.3679211</v>
      </c>
    </row>
    <row r="38" spans="1:6" x14ac:dyDescent="0.25">
      <c r="A38" s="4">
        <v>2019</v>
      </c>
      <c r="B38">
        <v>0</v>
      </c>
      <c r="C38">
        <v>0.2007208</v>
      </c>
      <c r="D38">
        <v>0.29132950000000002</v>
      </c>
      <c r="E38">
        <v>0.27138099999999998</v>
      </c>
      <c r="F38">
        <v>0.27138099999999998</v>
      </c>
    </row>
    <row r="39" spans="1:6" x14ac:dyDescent="0.25">
      <c r="A39" s="4">
        <v>2020</v>
      </c>
      <c r="B39">
        <v>0</v>
      </c>
      <c r="C39">
        <v>0.2739375</v>
      </c>
      <c r="D39">
        <v>0.39759739999999999</v>
      </c>
      <c r="E39">
        <v>0.37037229999999999</v>
      </c>
      <c r="F39">
        <v>0.37037229999999999</v>
      </c>
    </row>
    <row r="40" spans="1:6" x14ac:dyDescent="0.25">
      <c r="A40" s="4">
        <v>2021</v>
      </c>
      <c r="B40">
        <v>0</v>
      </c>
      <c r="C40">
        <v>3.5193700000000001E-2</v>
      </c>
      <c r="D40">
        <v>5.10807E-2</v>
      </c>
      <c r="E40">
        <v>4.7583E-2</v>
      </c>
      <c r="F40">
        <v>4.7583E-2</v>
      </c>
    </row>
    <row r="41" spans="1:6" x14ac:dyDescent="0.25">
      <c r="A41" s="4">
        <v>2022</v>
      </c>
      <c r="B41">
        <v>0</v>
      </c>
      <c r="C41">
        <v>1.1676799999999999E-2</v>
      </c>
      <c r="D41">
        <v>4.3825000000000001E-3</v>
      </c>
      <c r="E41">
        <v>2.0999999999999999E-3</v>
      </c>
      <c r="F41">
        <v>2.0999999999999999E-3</v>
      </c>
    </row>
    <row r="42" spans="1:6" x14ac:dyDescent="0.25">
      <c r="A42" s="4">
        <v>2023</v>
      </c>
      <c r="B42">
        <v>0</v>
      </c>
      <c r="C42">
        <v>0.2217172</v>
      </c>
      <c r="D42">
        <v>8.3214399999999994E-2</v>
      </c>
      <c r="E42">
        <v>3.9875099999999997E-2</v>
      </c>
      <c r="F42">
        <v>3.9875099999999997E-2</v>
      </c>
    </row>
    <row r="43" spans="1:6" x14ac:dyDescent="0.25">
      <c r="A43" s="4">
        <v>2024</v>
      </c>
      <c r="B43">
        <v>0</v>
      </c>
      <c r="C43">
        <v>0.14996780000000001</v>
      </c>
      <c r="D43">
        <v>5.6285599999999998E-2</v>
      </c>
      <c r="E43">
        <v>2.6971200000000001E-2</v>
      </c>
      <c r="F43">
        <v>2.6971200000000001E-2</v>
      </c>
    </row>
    <row r="44" spans="1:6" x14ac:dyDescent="0.25">
      <c r="A44" s="7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4378-3DCB-4902-A674-D14E31671010}">
  <dimension ref="A1:H43"/>
  <sheetViews>
    <sheetView workbookViewId="0">
      <selection activeCell="H3" sqref="H3:H44"/>
    </sheetView>
  </sheetViews>
  <sheetFormatPr defaultRowHeight="15" x14ac:dyDescent="0.25"/>
  <sheetData>
    <row r="1" spans="1:8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H1" t="s">
        <v>21</v>
      </c>
    </row>
    <row r="2" spans="1:8" x14ac:dyDescent="0.25">
      <c r="A2" s="13">
        <v>1983</v>
      </c>
      <c r="B2">
        <v>229768808</v>
      </c>
      <c r="C2">
        <v>13014940</v>
      </c>
      <c r="D2">
        <v>42819433</v>
      </c>
      <c r="E2">
        <v>2433539.4</v>
      </c>
      <c r="F2">
        <v>324743.5</v>
      </c>
    </row>
    <row r="3" spans="1:8" x14ac:dyDescent="0.25">
      <c r="A3" s="14">
        <v>1984</v>
      </c>
      <c r="B3">
        <v>70534910</v>
      </c>
      <c r="C3">
        <v>148203504</v>
      </c>
      <c r="D3">
        <v>3661657</v>
      </c>
      <c r="E3">
        <v>8321956.0999999996</v>
      </c>
      <c r="F3">
        <v>479387.6</v>
      </c>
    </row>
    <row r="4" spans="1:8" x14ac:dyDescent="0.25">
      <c r="A4" s="14">
        <v>1985</v>
      </c>
      <c r="B4">
        <v>437091847</v>
      </c>
      <c r="C4">
        <v>45495822</v>
      </c>
      <c r="D4">
        <v>39229223</v>
      </c>
      <c r="E4">
        <v>631121.69999999995</v>
      </c>
      <c r="F4">
        <v>1311274.5</v>
      </c>
    </row>
    <row r="5" spans="1:8" x14ac:dyDescent="0.25">
      <c r="A5" s="14">
        <v>1986</v>
      </c>
      <c r="B5">
        <v>60549264</v>
      </c>
      <c r="C5">
        <v>275903900</v>
      </c>
      <c r="D5">
        <v>11538552</v>
      </c>
      <c r="E5">
        <v>6320850.7999999998</v>
      </c>
      <c r="F5">
        <v>263564.59999999998</v>
      </c>
    </row>
    <row r="6" spans="1:8" x14ac:dyDescent="0.25">
      <c r="A6" s="14">
        <v>1987</v>
      </c>
      <c r="B6">
        <v>44711644</v>
      </c>
      <c r="C6">
        <v>38338230</v>
      </c>
      <c r="D6">
        <v>84207810</v>
      </c>
      <c r="E6">
        <v>2653507.5</v>
      </c>
      <c r="F6">
        <v>1380693.5</v>
      </c>
    </row>
    <row r="7" spans="1:8" x14ac:dyDescent="0.25">
      <c r="A7" s="14">
        <v>1988</v>
      </c>
      <c r="B7">
        <v>175069778</v>
      </c>
      <c r="C7">
        <v>27869260</v>
      </c>
      <c r="D7">
        <v>12277908</v>
      </c>
      <c r="E7">
        <v>22100757.600000001</v>
      </c>
      <c r="F7">
        <v>1014618.1</v>
      </c>
    </row>
    <row r="8" spans="1:8" x14ac:dyDescent="0.25">
      <c r="A8" s="14">
        <v>1989</v>
      </c>
      <c r="B8">
        <v>95119554</v>
      </c>
      <c r="C8">
        <v>108092891</v>
      </c>
      <c r="D8">
        <v>7857562</v>
      </c>
      <c r="E8">
        <v>2581557</v>
      </c>
      <c r="F8">
        <v>4369804.0999999996</v>
      </c>
    </row>
    <row r="9" spans="1:8" x14ac:dyDescent="0.25">
      <c r="A9" s="14">
        <v>1990</v>
      </c>
      <c r="B9">
        <v>137691787</v>
      </c>
      <c r="C9">
        <v>58625645</v>
      </c>
      <c r="D9">
        <v>28945183</v>
      </c>
      <c r="E9">
        <v>1530346.9</v>
      </c>
      <c r="F9">
        <v>1210121</v>
      </c>
    </row>
    <row r="10" spans="1:8" x14ac:dyDescent="0.25">
      <c r="A10" s="14">
        <v>1991</v>
      </c>
      <c r="B10">
        <v>139785899</v>
      </c>
      <c r="C10">
        <v>84296732</v>
      </c>
      <c r="D10">
        <v>15833573</v>
      </c>
      <c r="E10">
        <v>5835724.0999999996</v>
      </c>
      <c r="F10">
        <v>487646.2</v>
      </c>
    </row>
    <row r="11" spans="1:8" x14ac:dyDescent="0.25">
      <c r="A11" s="14">
        <v>1992</v>
      </c>
      <c r="B11">
        <v>40584289</v>
      </c>
      <c r="C11">
        <v>85235354</v>
      </c>
      <c r="D11">
        <v>25624472</v>
      </c>
      <c r="E11">
        <v>4047418.6</v>
      </c>
      <c r="F11">
        <v>1495754.1</v>
      </c>
    </row>
    <row r="12" spans="1:8" x14ac:dyDescent="0.25">
      <c r="A12" s="14">
        <v>1993</v>
      </c>
      <c r="B12">
        <v>171183058</v>
      </c>
      <c r="C12">
        <v>25155302</v>
      </c>
      <c r="D12">
        <v>22840798</v>
      </c>
      <c r="E12">
        <v>5068191.0999999996</v>
      </c>
      <c r="F12">
        <v>943358.5</v>
      </c>
    </row>
    <row r="13" spans="1:8" x14ac:dyDescent="0.25">
      <c r="A13" s="14">
        <v>1994</v>
      </c>
      <c r="B13">
        <v>241225972</v>
      </c>
      <c r="C13">
        <v>106537230</v>
      </c>
      <c r="D13">
        <v>8820921</v>
      </c>
      <c r="E13">
        <v>7704366</v>
      </c>
      <c r="F13">
        <v>1988009.8</v>
      </c>
    </row>
    <row r="14" spans="1:8" x14ac:dyDescent="0.25">
      <c r="A14" s="14">
        <v>1995</v>
      </c>
      <c r="B14">
        <v>64950646</v>
      </c>
      <c r="C14">
        <v>148400466</v>
      </c>
      <c r="D14">
        <v>38953432</v>
      </c>
      <c r="E14">
        <v>3218963.8</v>
      </c>
      <c r="F14">
        <v>3550179.1</v>
      </c>
    </row>
    <row r="15" spans="1:8" x14ac:dyDescent="0.25">
      <c r="A15" s="14">
        <v>1996</v>
      </c>
      <c r="B15">
        <v>425167556</v>
      </c>
      <c r="C15">
        <v>40005916</v>
      </c>
      <c r="D15">
        <v>47408397</v>
      </c>
      <c r="E15">
        <v>10625587.300000001</v>
      </c>
      <c r="F15">
        <v>1750346.1</v>
      </c>
    </row>
    <row r="16" spans="1:8" x14ac:dyDescent="0.25">
      <c r="A16" s="14">
        <v>1997</v>
      </c>
      <c r="B16">
        <v>65914271</v>
      </c>
      <c r="C16">
        <v>255550321</v>
      </c>
      <c r="D16">
        <v>13149450</v>
      </c>
      <c r="E16">
        <v>13341574.300000001</v>
      </c>
      <c r="F16">
        <v>3288665</v>
      </c>
    </row>
    <row r="17" spans="1:6" x14ac:dyDescent="0.25">
      <c r="A17" s="14">
        <v>1998</v>
      </c>
      <c r="B17">
        <v>115937202</v>
      </c>
      <c r="C17">
        <v>39396053</v>
      </c>
      <c r="D17">
        <v>82540077</v>
      </c>
      <c r="E17">
        <v>3598714.9</v>
      </c>
      <c r="F17">
        <v>4342452.7</v>
      </c>
    </row>
    <row r="18" spans="1:6" x14ac:dyDescent="0.25">
      <c r="A18" s="14">
        <v>1999</v>
      </c>
      <c r="B18">
        <v>173631992</v>
      </c>
      <c r="C18">
        <v>65611218</v>
      </c>
      <c r="D18">
        <v>11047353</v>
      </c>
      <c r="E18">
        <v>18928743.600000001</v>
      </c>
      <c r="F18">
        <v>1745634.1</v>
      </c>
    </row>
    <row r="19" spans="1:6" x14ac:dyDescent="0.25">
      <c r="A19" s="14">
        <v>2000</v>
      </c>
      <c r="B19">
        <v>236283853</v>
      </c>
      <c r="C19">
        <v>96679727</v>
      </c>
      <c r="D19">
        <v>12465159</v>
      </c>
      <c r="E19">
        <v>1735872.9</v>
      </c>
      <c r="F19">
        <v>4079963.5</v>
      </c>
    </row>
    <row r="20" spans="1:6" x14ac:dyDescent="0.25">
      <c r="A20" s="14">
        <v>2001</v>
      </c>
      <c r="B20">
        <v>375881781</v>
      </c>
      <c r="C20">
        <v>131465507</v>
      </c>
      <c r="D20">
        <v>20700568</v>
      </c>
      <c r="E20">
        <v>2292214.2999999998</v>
      </c>
      <c r="F20">
        <v>1418694.9</v>
      </c>
    </row>
    <row r="21" spans="1:6" x14ac:dyDescent="0.25">
      <c r="A21" s="14">
        <v>2002</v>
      </c>
      <c r="B21">
        <v>28617201</v>
      </c>
      <c r="C21">
        <v>209020921</v>
      </c>
      <c r="D21">
        <v>21210221</v>
      </c>
      <c r="E21">
        <v>2381839.7000000002</v>
      </c>
      <c r="F21">
        <v>578164.19999999995</v>
      </c>
    </row>
    <row r="22" spans="1:6" x14ac:dyDescent="0.25">
      <c r="A22" s="14">
        <v>2003</v>
      </c>
      <c r="B22">
        <v>153557408</v>
      </c>
      <c r="C22">
        <v>15514209</v>
      </c>
      <c r="D22">
        <v>39968447</v>
      </c>
      <c r="E22">
        <v>3142450.7</v>
      </c>
      <c r="F22">
        <v>599964.1</v>
      </c>
    </row>
    <row r="23" spans="1:6" x14ac:dyDescent="0.25">
      <c r="A23" s="14">
        <v>2004</v>
      </c>
      <c r="B23">
        <v>84927664</v>
      </c>
      <c r="C23">
        <v>81843713</v>
      </c>
      <c r="D23">
        <v>3205971</v>
      </c>
      <c r="E23">
        <v>6596383.5999999996</v>
      </c>
      <c r="F23">
        <v>870113</v>
      </c>
    </row>
    <row r="24" spans="1:6" x14ac:dyDescent="0.25">
      <c r="A24" s="14">
        <v>2005</v>
      </c>
      <c r="B24">
        <v>207171998</v>
      </c>
      <c r="C24">
        <v>44629417</v>
      </c>
      <c r="D24">
        <v>15466794</v>
      </c>
      <c r="E24">
        <v>467507.9</v>
      </c>
      <c r="F24">
        <v>1597150.6</v>
      </c>
    </row>
    <row r="25" spans="1:6" x14ac:dyDescent="0.25">
      <c r="A25" s="14">
        <v>2006</v>
      </c>
      <c r="B25">
        <v>123410505</v>
      </c>
      <c r="C25">
        <v>106553836</v>
      </c>
      <c r="D25">
        <v>11106351</v>
      </c>
      <c r="E25">
        <v>3377373.5</v>
      </c>
      <c r="F25">
        <v>700339.3</v>
      </c>
    </row>
    <row r="26" spans="1:6" x14ac:dyDescent="0.25">
      <c r="A26" s="14">
        <v>2007</v>
      </c>
      <c r="B26">
        <v>254509766</v>
      </c>
      <c r="C26">
        <v>60738286</v>
      </c>
      <c r="D26">
        <v>21969948</v>
      </c>
      <c r="E26">
        <v>1906659.3</v>
      </c>
      <c r="F26">
        <v>1050785.2</v>
      </c>
    </row>
    <row r="27" spans="1:6" x14ac:dyDescent="0.25">
      <c r="A27" s="14">
        <v>2008</v>
      </c>
      <c r="B27">
        <v>87388854</v>
      </c>
      <c r="C27">
        <v>123773078</v>
      </c>
      <c r="D27">
        <v>16034481</v>
      </c>
      <c r="E27">
        <v>5442398.2000000002</v>
      </c>
      <c r="F27">
        <v>1093089.8999999999</v>
      </c>
    </row>
    <row r="28" spans="1:6" x14ac:dyDescent="0.25">
      <c r="A28" s="14">
        <v>2009</v>
      </c>
      <c r="B28">
        <v>590793215</v>
      </c>
      <c r="C28">
        <v>44591462</v>
      </c>
      <c r="D28">
        <v>28155062</v>
      </c>
      <c r="E28">
        <v>3165715.4</v>
      </c>
      <c r="F28">
        <v>1881661.1</v>
      </c>
    </row>
    <row r="29" spans="1:6" x14ac:dyDescent="0.25">
      <c r="A29" s="14">
        <v>2010</v>
      </c>
      <c r="B29">
        <v>53829211</v>
      </c>
      <c r="C29">
        <v>314992365</v>
      </c>
      <c r="D29">
        <v>10437797</v>
      </c>
      <c r="E29">
        <v>5529453.7000000002</v>
      </c>
      <c r="F29">
        <v>1402557.7</v>
      </c>
    </row>
    <row r="30" spans="1:6" x14ac:dyDescent="0.25">
      <c r="A30" s="15">
        <v>2011</v>
      </c>
      <c r="B30">
        <v>58214896</v>
      </c>
      <c r="C30">
        <v>27896743</v>
      </c>
      <c r="D30">
        <v>81998968</v>
      </c>
      <c r="E30">
        <v>2410087.7999999998</v>
      </c>
      <c r="F30">
        <v>2206616.1</v>
      </c>
    </row>
    <row r="31" spans="1:6" x14ac:dyDescent="0.25">
      <c r="A31" s="13">
        <v>2012</v>
      </c>
      <c r="B31">
        <v>128347589</v>
      </c>
      <c r="C31">
        <v>27794012</v>
      </c>
      <c r="D31">
        <v>5719164</v>
      </c>
      <c r="E31">
        <v>14111693.800000001</v>
      </c>
      <c r="F31">
        <v>1196305.3999999999</v>
      </c>
    </row>
    <row r="32" spans="1:6" x14ac:dyDescent="0.25">
      <c r="A32" s="14">
        <v>2013</v>
      </c>
      <c r="B32">
        <v>70124738</v>
      </c>
      <c r="C32">
        <v>59637434</v>
      </c>
      <c r="D32">
        <v>7272263</v>
      </c>
      <c r="E32">
        <v>1464253.6</v>
      </c>
      <c r="F32">
        <v>5725211.7999999998</v>
      </c>
    </row>
    <row r="33" spans="1:6" x14ac:dyDescent="0.25">
      <c r="A33" s="14">
        <v>2014</v>
      </c>
      <c r="B33">
        <v>279780934</v>
      </c>
      <c r="C33">
        <v>34060396</v>
      </c>
      <c r="D33">
        <v>11344741</v>
      </c>
      <c r="E33">
        <v>1156381.2</v>
      </c>
      <c r="F33">
        <v>1907642.3</v>
      </c>
    </row>
    <row r="34" spans="1:6" x14ac:dyDescent="0.25">
      <c r="A34" s="14">
        <v>2015</v>
      </c>
      <c r="B34">
        <v>38738024</v>
      </c>
      <c r="C34">
        <v>139410746</v>
      </c>
      <c r="D34">
        <v>8818074</v>
      </c>
      <c r="E34">
        <v>2697933.1</v>
      </c>
      <c r="F34">
        <v>1131560.3</v>
      </c>
    </row>
    <row r="35" spans="1:6" x14ac:dyDescent="0.25">
      <c r="A35" s="14">
        <v>2016</v>
      </c>
      <c r="B35">
        <v>322708876</v>
      </c>
      <c r="C35">
        <v>19438863</v>
      </c>
      <c r="D35">
        <v>38072692</v>
      </c>
      <c r="E35">
        <v>2256110.9</v>
      </c>
      <c r="F35">
        <v>1442864.1</v>
      </c>
    </row>
    <row r="36" spans="1:6" x14ac:dyDescent="0.25">
      <c r="A36" s="14">
        <v>2017</v>
      </c>
      <c r="B36">
        <v>31464988</v>
      </c>
      <c r="C36">
        <v>158171086</v>
      </c>
      <c r="D36">
        <v>6242657</v>
      </c>
      <c r="E36">
        <v>12180547.6</v>
      </c>
      <c r="F36">
        <v>1707613.6</v>
      </c>
    </row>
    <row r="37" spans="1:6" x14ac:dyDescent="0.25">
      <c r="A37" s="14">
        <v>2018</v>
      </c>
      <c r="B37">
        <v>71526158</v>
      </c>
      <c r="C37">
        <v>16123074</v>
      </c>
      <c r="D37">
        <v>38749834</v>
      </c>
      <c r="E37">
        <v>1335820.8</v>
      </c>
      <c r="F37">
        <v>4158733.1</v>
      </c>
    </row>
    <row r="38" spans="1:6" x14ac:dyDescent="0.25">
      <c r="A38" s="14">
        <v>2019</v>
      </c>
      <c r="B38">
        <v>140537854</v>
      </c>
      <c r="C38">
        <v>38317405</v>
      </c>
      <c r="D38">
        <v>4413104</v>
      </c>
      <c r="E38">
        <v>9419829.5</v>
      </c>
      <c r="F38">
        <v>1979423.7</v>
      </c>
    </row>
    <row r="39" spans="1:6" x14ac:dyDescent="0.25">
      <c r="A39" s="14">
        <v>2020</v>
      </c>
      <c r="B39">
        <v>53740552</v>
      </c>
      <c r="C39">
        <v>78276613</v>
      </c>
      <c r="D39">
        <v>11648980</v>
      </c>
      <c r="E39">
        <v>1230928.8</v>
      </c>
      <c r="F39">
        <v>4209748.7</v>
      </c>
    </row>
    <row r="40" spans="1:6" x14ac:dyDescent="0.25">
      <c r="A40" s="14">
        <v>2021</v>
      </c>
      <c r="B40">
        <v>84105599</v>
      </c>
      <c r="C40">
        <v>29888632</v>
      </c>
      <c r="D40">
        <v>22116300</v>
      </c>
      <c r="E40">
        <v>2926433.1</v>
      </c>
      <c r="F40">
        <v>1943527</v>
      </c>
    </row>
    <row r="41" spans="1:6" x14ac:dyDescent="0.25">
      <c r="A41" s="14">
        <v>2022</v>
      </c>
      <c r="B41">
        <v>70334166</v>
      </c>
      <c r="C41">
        <v>47201585</v>
      </c>
      <c r="D41">
        <v>10955518</v>
      </c>
      <c r="E41">
        <v>8047202.7999999998</v>
      </c>
      <c r="F41">
        <v>2309158.7999999998</v>
      </c>
    </row>
    <row r="42" spans="1:6" x14ac:dyDescent="0.25">
      <c r="A42" s="14">
        <v>2023</v>
      </c>
      <c r="B42">
        <v>33762193</v>
      </c>
      <c r="C42">
        <v>39472808</v>
      </c>
      <c r="D42">
        <v>20537846</v>
      </c>
      <c r="E42">
        <v>4838083</v>
      </c>
      <c r="F42">
        <v>5714628.4000000004</v>
      </c>
    </row>
    <row r="43" spans="1:6" x14ac:dyDescent="0.25">
      <c r="A43" s="15">
        <v>2024</v>
      </c>
      <c r="B43">
        <v>55596690</v>
      </c>
      <c r="C43">
        <v>18890918</v>
      </c>
      <c r="D43">
        <v>13845789</v>
      </c>
      <c r="E43">
        <v>8330853.7000000002</v>
      </c>
      <c r="F43">
        <v>5752440.0999999996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A61D-BBBD-4F4D-B57F-291EFF260255}">
  <dimension ref="A1:T44"/>
  <sheetViews>
    <sheetView workbookViewId="0">
      <selection activeCell="B1" sqref="B1:J1"/>
    </sheetView>
  </sheetViews>
  <sheetFormatPr defaultRowHeight="15" x14ac:dyDescent="0.25"/>
  <sheetData>
    <row r="1" spans="1:20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</row>
    <row r="2" spans="1:20" x14ac:dyDescent="0.25">
      <c r="A2" s="1">
        <v>1983</v>
      </c>
      <c r="B2" s="2">
        <v>5.51</v>
      </c>
      <c r="C2" s="3">
        <v>9.9600000000000009</v>
      </c>
      <c r="D2" s="3">
        <v>13.74</v>
      </c>
      <c r="E2" s="3">
        <v>16.899999999999999</v>
      </c>
      <c r="F2" s="3">
        <v>2.42</v>
      </c>
      <c r="G2" s="3">
        <v>7.5</v>
      </c>
      <c r="H2" s="3">
        <v>10.75</v>
      </c>
      <c r="I2" s="16">
        <v>14.12</v>
      </c>
      <c r="J2" s="3">
        <v>17.71</v>
      </c>
      <c r="L2">
        <f>B2/1000</f>
        <v>5.5100000000000001E-3</v>
      </c>
      <c r="M2">
        <f t="shared" ref="M2:T2" si="0">C2/1000</f>
        <v>9.9600000000000001E-3</v>
      </c>
      <c r="N2">
        <f t="shared" si="0"/>
        <v>1.374E-2</v>
      </c>
      <c r="O2">
        <f t="shared" si="0"/>
        <v>1.6899999999999998E-2</v>
      </c>
      <c r="P2">
        <f t="shared" si="0"/>
        <v>2.4199999999999998E-3</v>
      </c>
      <c r="Q2">
        <f t="shared" si="0"/>
        <v>7.4999999999999997E-3</v>
      </c>
      <c r="R2">
        <f t="shared" si="0"/>
        <v>1.0749999999999999E-2</v>
      </c>
      <c r="S2">
        <f t="shared" si="0"/>
        <v>1.4119999999999999E-2</v>
      </c>
      <c r="T2">
        <f t="shared" si="0"/>
        <v>1.771E-2</v>
      </c>
    </row>
    <row r="3" spans="1:20" x14ac:dyDescent="0.25">
      <c r="A3" s="4">
        <v>1984</v>
      </c>
      <c r="B3" s="5">
        <v>5.51</v>
      </c>
      <c r="C3" s="6">
        <v>9.9600000000000009</v>
      </c>
      <c r="D3" s="6">
        <v>13.74</v>
      </c>
      <c r="E3" s="6">
        <v>16.95</v>
      </c>
      <c r="F3" s="6">
        <v>3.05</v>
      </c>
      <c r="G3" s="6">
        <v>7.5</v>
      </c>
      <c r="H3" s="6">
        <v>10.75</v>
      </c>
      <c r="I3" s="17">
        <v>14.12</v>
      </c>
      <c r="J3" s="6">
        <v>17.71</v>
      </c>
      <c r="L3">
        <f t="shared" ref="L3:L44" si="1">B3/1000</f>
        <v>5.5100000000000001E-3</v>
      </c>
      <c r="M3">
        <f t="shared" ref="M3:M44" si="2">C3/1000</f>
        <v>9.9600000000000001E-3</v>
      </c>
      <c r="N3">
        <f t="shared" ref="N3:N44" si="3">D3/1000</f>
        <v>1.374E-2</v>
      </c>
      <c r="O3">
        <f t="shared" ref="O3:O44" si="4">E3/1000</f>
        <v>1.695E-2</v>
      </c>
      <c r="P3">
        <f t="shared" ref="P3:P44" si="5">F3/1000</f>
        <v>3.0499999999999998E-3</v>
      </c>
      <c r="Q3">
        <f t="shared" ref="Q3:Q44" si="6">G3/1000</f>
        <v>7.4999999999999997E-3</v>
      </c>
      <c r="R3">
        <f t="shared" ref="R3:R44" si="7">H3/1000</f>
        <v>1.0749999999999999E-2</v>
      </c>
      <c r="S3">
        <f t="shared" ref="S3:S44" si="8">I3/1000</f>
        <v>1.4119999999999999E-2</v>
      </c>
      <c r="T3">
        <f t="shared" ref="T3:T44" si="9">J3/1000</f>
        <v>1.771E-2</v>
      </c>
    </row>
    <row r="4" spans="1:20" x14ac:dyDescent="0.25">
      <c r="A4" s="4">
        <v>1985</v>
      </c>
      <c r="B4" s="5">
        <v>5.51</v>
      </c>
      <c r="C4" s="6">
        <v>9.9600000000000009</v>
      </c>
      <c r="D4" s="6">
        <v>13.74</v>
      </c>
      <c r="E4" s="6">
        <v>16.510000000000002</v>
      </c>
      <c r="F4" s="6">
        <v>2.42</v>
      </c>
      <c r="G4" s="6">
        <v>7.5</v>
      </c>
      <c r="H4" s="6">
        <v>10.75</v>
      </c>
      <c r="I4" s="17">
        <v>14.12</v>
      </c>
      <c r="J4" s="6">
        <v>18.66</v>
      </c>
      <c r="L4">
        <f t="shared" si="1"/>
        <v>5.5100000000000001E-3</v>
      </c>
      <c r="M4">
        <f t="shared" si="2"/>
        <v>9.9600000000000001E-3</v>
      </c>
      <c r="N4">
        <f t="shared" si="3"/>
        <v>1.374E-2</v>
      </c>
      <c r="O4">
        <f t="shared" si="4"/>
        <v>1.651E-2</v>
      </c>
      <c r="P4">
        <f t="shared" si="5"/>
        <v>2.4199999999999998E-3</v>
      </c>
      <c r="Q4">
        <f t="shared" si="6"/>
        <v>7.4999999999999997E-3</v>
      </c>
      <c r="R4">
        <f t="shared" si="7"/>
        <v>1.0749999999999999E-2</v>
      </c>
      <c r="S4">
        <f t="shared" si="8"/>
        <v>1.4119999999999999E-2</v>
      </c>
      <c r="T4">
        <f t="shared" si="9"/>
        <v>1.866E-2</v>
      </c>
    </row>
    <row r="5" spans="1:20" x14ac:dyDescent="0.25">
      <c r="A5" s="4">
        <v>1986</v>
      </c>
      <c r="B5" s="5">
        <v>5.51</v>
      </c>
      <c r="C5" s="6">
        <v>9.9600000000000009</v>
      </c>
      <c r="D5" s="6">
        <v>13.74</v>
      </c>
      <c r="E5" s="6">
        <v>16.3</v>
      </c>
      <c r="F5" s="6">
        <v>2.42</v>
      </c>
      <c r="G5" s="6">
        <v>7.5</v>
      </c>
      <c r="H5" s="6">
        <v>10.75</v>
      </c>
      <c r="I5" s="17">
        <v>14.12</v>
      </c>
      <c r="J5" s="6">
        <v>18.760000000000002</v>
      </c>
      <c r="L5">
        <f t="shared" si="1"/>
        <v>5.5100000000000001E-3</v>
      </c>
      <c r="M5">
        <f t="shared" si="2"/>
        <v>9.9600000000000001E-3</v>
      </c>
      <c r="N5">
        <f t="shared" si="3"/>
        <v>1.374E-2</v>
      </c>
      <c r="O5">
        <f t="shared" si="4"/>
        <v>1.6300000000000002E-2</v>
      </c>
      <c r="P5">
        <f t="shared" si="5"/>
        <v>2.4199999999999998E-3</v>
      </c>
      <c r="Q5">
        <f t="shared" si="6"/>
        <v>7.4999999999999997E-3</v>
      </c>
      <c r="R5">
        <f t="shared" si="7"/>
        <v>1.0749999999999999E-2</v>
      </c>
      <c r="S5">
        <f t="shared" si="8"/>
        <v>1.4119999999999999E-2</v>
      </c>
      <c r="T5">
        <f t="shared" si="9"/>
        <v>1.8760000000000002E-2</v>
      </c>
    </row>
    <row r="6" spans="1:20" x14ac:dyDescent="0.25">
      <c r="A6" s="4">
        <v>1987</v>
      </c>
      <c r="B6" s="5">
        <v>5.8</v>
      </c>
      <c r="C6" s="6">
        <v>11</v>
      </c>
      <c r="D6" s="6">
        <v>15.6</v>
      </c>
      <c r="E6" s="6">
        <v>18.04</v>
      </c>
      <c r="F6" s="6">
        <v>3.05</v>
      </c>
      <c r="G6" s="6">
        <v>8.9</v>
      </c>
      <c r="H6" s="6">
        <v>10.8</v>
      </c>
      <c r="I6" s="17">
        <v>21.4</v>
      </c>
      <c r="J6" s="6">
        <v>19.850000000000001</v>
      </c>
      <c r="L6">
        <f t="shared" si="1"/>
        <v>5.7999999999999996E-3</v>
      </c>
      <c r="M6">
        <f t="shared" si="2"/>
        <v>1.0999999999999999E-2</v>
      </c>
      <c r="N6">
        <f t="shared" si="3"/>
        <v>1.5599999999999999E-2</v>
      </c>
      <c r="O6">
        <f t="shared" si="4"/>
        <v>1.804E-2</v>
      </c>
      <c r="P6">
        <f t="shared" si="5"/>
        <v>3.0499999999999998E-3</v>
      </c>
      <c r="Q6">
        <f t="shared" si="6"/>
        <v>8.8999999999999999E-3</v>
      </c>
      <c r="R6">
        <f t="shared" si="7"/>
        <v>1.0800000000000001E-2</v>
      </c>
      <c r="S6">
        <f t="shared" si="8"/>
        <v>2.1399999999999999E-2</v>
      </c>
      <c r="T6">
        <f t="shared" si="9"/>
        <v>1.9850000000000003E-2</v>
      </c>
    </row>
    <row r="7" spans="1:20" x14ac:dyDescent="0.25">
      <c r="A7" s="4">
        <v>1988</v>
      </c>
      <c r="B7" s="5">
        <v>4</v>
      </c>
      <c r="C7" s="6">
        <v>12.5</v>
      </c>
      <c r="D7" s="6">
        <v>15.5</v>
      </c>
      <c r="E7" s="6">
        <v>18.73</v>
      </c>
      <c r="F7" s="6">
        <v>3.05</v>
      </c>
      <c r="G7" s="6">
        <v>6.46</v>
      </c>
      <c r="H7" s="6">
        <v>14</v>
      </c>
      <c r="I7" s="17">
        <v>17</v>
      </c>
      <c r="J7" s="6">
        <v>19.11</v>
      </c>
      <c r="L7">
        <f t="shared" si="1"/>
        <v>4.0000000000000001E-3</v>
      </c>
      <c r="M7">
        <f t="shared" si="2"/>
        <v>1.2500000000000001E-2</v>
      </c>
      <c r="N7">
        <f t="shared" si="3"/>
        <v>1.55E-2</v>
      </c>
      <c r="O7">
        <f t="shared" si="4"/>
        <v>1.873E-2</v>
      </c>
      <c r="P7">
        <f t="shared" si="5"/>
        <v>3.0499999999999998E-3</v>
      </c>
      <c r="Q7">
        <f t="shared" si="6"/>
        <v>6.4599999999999996E-3</v>
      </c>
      <c r="R7">
        <f t="shared" si="7"/>
        <v>1.4E-2</v>
      </c>
      <c r="S7">
        <f t="shared" si="8"/>
        <v>1.7000000000000001E-2</v>
      </c>
      <c r="T7">
        <f t="shared" si="9"/>
        <v>1.9109999999999999E-2</v>
      </c>
    </row>
    <row r="8" spans="1:20" x14ac:dyDescent="0.25">
      <c r="A8" s="4">
        <v>1989</v>
      </c>
      <c r="B8" s="5">
        <v>4</v>
      </c>
      <c r="C8" s="6">
        <v>12.5</v>
      </c>
      <c r="D8" s="6">
        <v>15.5</v>
      </c>
      <c r="E8" s="6">
        <v>18.010000000000002</v>
      </c>
      <c r="F8" s="6">
        <v>3.05</v>
      </c>
      <c r="G8" s="6">
        <v>10.5</v>
      </c>
      <c r="H8" s="6">
        <v>14</v>
      </c>
      <c r="I8" s="17">
        <v>17</v>
      </c>
      <c r="J8" s="6">
        <v>19.010000000000002</v>
      </c>
      <c r="L8">
        <f t="shared" si="1"/>
        <v>4.0000000000000001E-3</v>
      </c>
      <c r="M8">
        <f t="shared" si="2"/>
        <v>1.2500000000000001E-2</v>
      </c>
      <c r="N8">
        <f t="shared" si="3"/>
        <v>1.55E-2</v>
      </c>
      <c r="O8">
        <f t="shared" si="4"/>
        <v>1.8010000000000002E-2</v>
      </c>
      <c r="P8">
        <f t="shared" si="5"/>
        <v>3.0499999999999998E-3</v>
      </c>
      <c r="Q8">
        <f t="shared" si="6"/>
        <v>1.0500000000000001E-2</v>
      </c>
      <c r="R8">
        <f t="shared" si="7"/>
        <v>1.4E-2</v>
      </c>
      <c r="S8">
        <f t="shared" si="8"/>
        <v>1.7000000000000001E-2</v>
      </c>
      <c r="T8">
        <f t="shared" si="9"/>
        <v>1.9010000000000003E-2</v>
      </c>
    </row>
    <row r="9" spans="1:20" x14ac:dyDescent="0.25">
      <c r="A9" s="4">
        <v>1990</v>
      </c>
      <c r="B9" s="5">
        <v>4</v>
      </c>
      <c r="C9" s="6">
        <v>12.5</v>
      </c>
      <c r="D9" s="6">
        <v>15.5</v>
      </c>
      <c r="E9" s="6">
        <v>19.28</v>
      </c>
      <c r="F9" s="6">
        <v>3.05</v>
      </c>
      <c r="G9" s="6">
        <v>10.5</v>
      </c>
      <c r="H9" s="6">
        <v>14</v>
      </c>
      <c r="I9" s="17">
        <v>17</v>
      </c>
      <c r="J9" s="6">
        <v>20.05</v>
      </c>
      <c r="L9">
        <f t="shared" si="1"/>
        <v>4.0000000000000001E-3</v>
      </c>
      <c r="M9">
        <f t="shared" si="2"/>
        <v>1.2500000000000001E-2</v>
      </c>
      <c r="N9">
        <f t="shared" si="3"/>
        <v>1.55E-2</v>
      </c>
      <c r="O9">
        <f t="shared" si="4"/>
        <v>1.9280000000000002E-2</v>
      </c>
      <c r="P9">
        <f t="shared" si="5"/>
        <v>3.0499999999999998E-3</v>
      </c>
      <c r="Q9">
        <f t="shared" si="6"/>
        <v>1.0500000000000001E-2</v>
      </c>
      <c r="R9">
        <f t="shared" si="7"/>
        <v>1.4E-2</v>
      </c>
      <c r="S9">
        <f t="shared" si="8"/>
        <v>1.7000000000000001E-2</v>
      </c>
      <c r="T9">
        <f t="shared" si="9"/>
        <v>2.0050000000000002E-2</v>
      </c>
    </row>
    <row r="10" spans="1:20" x14ac:dyDescent="0.25">
      <c r="A10" s="4">
        <v>1991</v>
      </c>
      <c r="B10" s="5">
        <v>8.1999999999999993</v>
      </c>
      <c r="C10" s="6">
        <v>16.399999999999999</v>
      </c>
      <c r="D10" s="6">
        <v>16.899999999999999</v>
      </c>
      <c r="E10" s="6">
        <v>17.2</v>
      </c>
      <c r="F10" s="6">
        <v>2.6</v>
      </c>
      <c r="G10" s="6">
        <v>7.5</v>
      </c>
      <c r="H10" s="6">
        <v>13.6</v>
      </c>
      <c r="I10" s="17">
        <v>12</v>
      </c>
      <c r="J10" s="6">
        <v>18.7</v>
      </c>
      <c r="L10">
        <f t="shared" si="1"/>
        <v>8.199999999999999E-3</v>
      </c>
      <c r="M10">
        <f t="shared" si="2"/>
        <v>1.6399999999999998E-2</v>
      </c>
      <c r="N10">
        <f t="shared" si="3"/>
        <v>1.6899999999999998E-2</v>
      </c>
      <c r="O10">
        <f t="shared" si="4"/>
        <v>1.72E-2</v>
      </c>
      <c r="P10">
        <f t="shared" si="5"/>
        <v>2.5999999999999999E-3</v>
      </c>
      <c r="Q10">
        <f t="shared" si="6"/>
        <v>7.4999999999999997E-3</v>
      </c>
      <c r="R10">
        <f t="shared" si="7"/>
        <v>1.3599999999999999E-2</v>
      </c>
      <c r="S10">
        <f t="shared" si="8"/>
        <v>1.2E-2</v>
      </c>
      <c r="T10">
        <f t="shared" si="9"/>
        <v>1.8699999999999998E-2</v>
      </c>
    </row>
    <row r="11" spans="1:20" x14ac:dyDescent="0.25">
      <c r="A11" s="4">
        <v>1992</v>
      </c>
      <c r="B11" s="5">
        <v>7.43</v>
      </c>
      <c r="C11" s="6">
        <v>13.83</v>
      </c>
      <c r="D11" s="6">
        <v>17.510000000000002</v>
      </c>
      <c r="E11" s="6">
        <v>22.6</v>
      </c>
      <c r="F11" s="6">
        <v>3.4</v>
      </c>
      <c r="G11" s="6">
        <v>9.43</v>
      </c>
      <c r="H11" s="6">
        <v>16.61</v>
      </c>
      <c r="I11" s="17">
        <v>20.04</v>
      </c>
      <c r="J11" s="6">
        <v>22.58</v>
      </c>
      <c r="L11">
        <f t="shared" si="1"/>
        <v>7.43E-3</v>
      </c>
      <c r="M11">
        <f t="shared" si="2"/>
        <v>1.383E-2</v>
      </c>
      <c r="N11">
        <f t="shared" si="3"/>
        <v>1.7510000000000001E-2</v>
      </c>
      <c r="O11">
        <f t="shared" si="4"/>
        <v>2.2600000000000002E-2</v>
      </c>
      <c r="P11">
        <f t="shared" si="5"/>
        <v>3.3999999999999998E-3</v>
      </c>
      <c r="Q11">
        <f t="shared" si="6"/>
        <v>9.4299999999999991E-3</v>
      </c>
      <c r="R11">
        <f t="shared" si="7"/>
        <v>1.661E-2</v>
      </c>
      <c r="S11">
        <f t="shared" si="8"/>
        <v>2.0039999999999999E-2</v>
      </c>
      <c r="T11">
        <f t="shared" si="9"/>
        <v>2.2579999999999999E-2</v>
      </c>
    </row>
    <row r="12" spans="1:20" x14ac:dyDescent="0.25">
      <c r="A12" s="4">
        <v>1993</v>
      </c>
      <c r="B12" s="5">
        <v>7.42</v>
      </c>
      <c r="C12" s="6">
        <v>10.75</v>
      </c>
      <c r="D12" s="6">
        <v>15</v>
      </c>
      <c r="E12" s="6">
        <v>20.54</v>
      </c>
      <c r="F12" s="6">
        <v>4.07</v>
      </c>
      <c r="G12" s="6">
        <v>6.68</v>
      </c>
      <c r="H12" s="6">
        <v>11.76</v>
      </c>
      <c r="I12" s="17">
        <v>15.28</v>
      </c>
      <c r="J12" s="6">
        <v>20.82</v>
      </c>
      <c r="L12">
        <f t="shared" si="1"/>
        <v>7.4199999999999995E-3</v>
      </c>
      <c r="M12">
        <f t="shared" si="2"/>
        <v>1.0749999999999999E-2</v>
      </c>
      <c r="N12">
        <f t="shared" si="3"/>
        <v>1.4999999999999999E-2</v>
      </c>
      <c r="O12">
        <f t="shared" si="4"/>
        <v>2.0539999999999999E-2</v>
      </c>
      <c r="P12">
        <f t="shared" si="5"/>
        <v>4.0700000000000007E-3</v>
      </c>
      <c r="Q12">
        <f t="shared" si="6"/>
        <v>6.6799999999999993E-3</v>
      </c>
      <c r="R12">
        <f t="shared" si="7"/>
        <v>1.176E-2</v>
      </c>
      <c r="S12">
        <f t="shared" si="8"/>
        <v>1.528E-2</v>
      </c>
      <c r="T12">
        <f t="shared" si="9"/>
        <v>2.0820000000000002E-2</v>
      </c>
    </row>
    <row r="13" spans="1:20" x14ac:dyDescent="0.25">
      <c r="A13" s="4">
        <v>1994</v>
      </c>
      <c r="B13" s="5">
        <v>5.1100000000000003</v>
      </c>
      <c r="C13" s="6">
        <v>8.33</v>
      </c>
      <c r="D13" s="6">
        <v>13.5</v>
      </c>
      <c r="E13" s="6">
        <v>14.54</v>
      </c>
      <c r="F13" s="6">
        <v>3.05</v>
      </c>
      <c r="G13" s="6">
        <v>6.46</v>
      </c>
      <c r="H13" s="6">
        <v>11.04</v>
      </c>
      <c r="I13" s="17">
        <v>15.42</v>
      </c>
      <c r="J13" s="6">
        <v>18.7</v>
      </c>
      <c r="L13">
        <f t="shared" si="1"/>
        <v>5.11E-3</v>
      </c>
      <c r="M13">
        <f t="shared" si="2"/>
        <v>8.3300000000000006E-3</v>
      </c>
      <c r="N13">
        <f t="shared" si="3"/>
        <v>1.35E-2</v>
      </c>
      <c r="O13">
        <f t="shared" si="4"/>
        <v>1.4539999999999999E-2</v>
      </c>
      <c r="P13">
        <f t="shared" si="5"/>
        <v>3.0499999999999998E-3</v>
      </c>
      <c r="Q13">
        <f t="shared" si="6"/>
        <v>6.4599999999999996E-3</v>
      </c>
      <c r="R13">
        <f t="shared" si="7"/>
        <v>1.1039999999999999E-2</v>
      </c>
      <c r="S13">
        <f t="shared" si="8"/>
        <v>1.542E-2</v>
      </c>
      <c r="T13">
        <f t="shared" si="9"/>
        <v>1.8699999999999998E-2</v>
      </c>
    </row>
    <row r="14" spans="1:20" x14ac:dyDescent="0.25">
      <c r="A14" s="4">
        <v>1995</v>
      </c>
      <c r="B14" s="5">
        <v>7.09</v>
      </c>
      <c r="C14" s="6">
        <v>12.23</v>
      </c>
      <c r="D14" s="6">
        <v>14.57</v>
      </c>
      <c r="E14" s="6">
        <v>22.47</v>
      </c>
      <c r="F14" s="6">
        <v>3.03</v>
      </c>
      <c r="G14" s="6">
        <v>6.33</v>
      </c>
      <c r="H14" s="6">
        <v>10.01</v>
      </c>
      <c r="I14" s="17">
        <v>15.49</v>
      </c>
      <c r="J14" s="6">
        <v>26.68</v>
      </c>
      <c r="L14">
        <f t="shared" si="1"/>
        <v>7.0899999999999999E-3</v>
      </c>
      <c r="M14">
        <f t="shared" si="2"/>
        <v>1.2230000000000001E-2</v>
      </c>
      <c r="N14">
        <f t="shared" si="3"/>
        <v>1.457E-2</v>
      </c>
      <c r="O14">
        <f t="shared" si="4"/>
        <v>2.247E-2</v>
      </c>
      <c r="P14">
        <f t="shared" si="5"/>
        <v>3.0299999999999997E-3</v>
      </c>
      <c r="Q14">
        <f t="shared" si="6"/>
        <v>6.3299999999999997E-3</v>
      </c>
      <c r="R14">
        <f t="shared" si="7"/>
        <v>1.001E-2</v>
      </c>
      <c r="S14">
        <f t="shared" si="8"/>
        <v>1.549E-2</v>
      </c>
      <c r="T14">
        <f t="shared" si="9"/>
        <v>2.6679999999999999E-2</v>
      </c>
    </row>
    <row r="15" spans="1:20" x14ac:dyDescent="0.25">
      <c r="A15" s="4">
        <v>1996</v>
      </c>
      <c r="B15" s="5">
        <v>5.0199999999999996</v>
      </c>
      <c r="C15" s="6">
        <v>7.59</v>
      </c>
      <c r="D15" s="6">
        <v>10.83</v>
      </c>
      <c r="E15" s="6">
        <v>17.36</v>
      </c>
      <c r="F15" s="6">
        <v>1.69</v>
      </c>
      <c r="G15" s="6">
        <v>5.34</v>
      </c>
      <c r="H15" s="6">
        <v>10.86</v>
      </c>
      <c r="I15" s="17">
        <v>13.71</v>
      </c>
      <c r="J15" s="6">
        <v>21.71</v>
      </c>
      <c r="L15">
        <f t="shared" si="1"/>
        <v>5.0199999999999993E-3</v>
      </c>
      <c r="M15">
        <f t="shared" si="2"/>
        <v>7.5899999999999995E-3</v>
      </c>
      <c r="N15">
        <f t="shared" si="3"/>
        <v>1.0829999999999999E-2</v>
      </c>
      <c r="O15">
        <f t="shared" si="4"/>
        <v>1.736E-2</v>
      </c>
      <c r="P15">
        <f t="shared" si="5"/>
        <v>1.6899999999999999E-3</v>
      </c>
      <c r="Q15">
        <f t="shared" si="6"/>
        <v>5.3400000000000001E-3</v>
      </c>
      <c r="R15">
        <f t="shared" si="7"/>
        <v>1.086E-2</v>
      </c>
      <c r="S15">
        <f t="shared" si="8"/>
        <v>1.3710000000000002E-2</v>
      </c>
      <c r="T15">
        <f t="shared" si="9"/>
        <v>2.171E-2</v>
      </c>
    </row>
    <row r="16" spans="1:20" x14ac:dyDescent="0.25">
      <c r="A16" s="4">
        <v>1997</v>
      </c>
      <c r="B16" s="5">
        <v>6.84</v>
      </c>
      <c r="C16" s="6">
        <v>7.1</v>
      </c>
      <c r="D16" s="6">
        <v>8.9600000000000009</v>
      </c>
      <c r="E16" s="6">
        <v>13.44</v>
      </c>
      <c r="F16" s="6">
        <v>2.94</v>
      </c>
      <c r="G16" s="6">
        <v>7.88</v>
      </c>
      <c r="H16" s="6">
        <v>13.21</v>
      </c>
      <c r="I16" s="17">
        <v>15.62</v>
      </c>
      <c r="J16" s="6">
        <v>17.170000000000002</v>
      </c>
      <c r="L16">
        <f t="shared" si="1"/>
        <v>6.8399999999999997E-3</v>
      </c>
      <c r="M16">
        <f t="shared" si="2"/>
        <v>7.0999999999999995E-3</v>
      </c>
      <c r="N16">
        <f t="shared" si="3"/>
        <v>8.9600000000000009E-3</v>
      </c>
      <c r="O16">
        <f t="shared" si="4"/>
        <v>1.3439999999999999E-2</v>
      </c>
      <c r="P16">
        <f t="shared" si="5"/>
        <v>2.9399999999999999E-3</v>
      </c>
      <c r="Q16">
        <f t="shared" si="6"/>
        <v>7.8799999999999999E-3</v>
      </c>
      <c r="R16">
        <f t="shared" si="7"/>
        <v>1.3210000000000001E-2</v>
      </c>
      <c r="S16">
        <f t="shared" si="8"/>
        <v>1.5619999999999998E-2</v>
      </c>
      <c r="T16">
        <f t="shared" si="9"/>
        <v>1.7170000000000001E-2</v>
      </c>
    </row>
    <row r="17" spans="1:20" x14ac:dyDescent="0.25">
      <c r="A17" s="4">
        <v>1998</v>
      </c>
      <c r="B17" s="5">
        <v>5.84</v>
      </c>
      <c r="C17" s="6">
        <v>8.0299999999999994</v>
      </c>
      <c r="D17" s="6">
        <v>10.17</v>
      </c>
      <c r="E17" s="6">
        <v>14.23</v>
      </c>
      <c r="F17" s="6">
        <v>3.27</v>
      </c>
      <c r="G17" s="6">
        <v>4.7</v>
      </c>
      <c r="H17" s="6">
        <v>9.4</v>
      </c>
      <c r="I17" s="17">
        <v>11.24</v>
      </c>
      <c r="J17" s="6">
        <v>17.010000000000002</v>
      </c>
      <c r="L17">
        <f t="shared" si="1"/>
        <v>5.8399999999999997E-3</v>
      </c>
      <c r="M17">
        <f t="shared" si="2"/>
        <v>8.0299999999999989E-3</v>
      </c>
      <c r="N17">
        <f t="shared" si="3"/>
        <v>1.017E-2</v>
      </c>
      <c r="O17">
        <f t="shared" si="4"/>
        <v>1.423E-2</v>
      </c>
      <c r="P17">
        <f t="shared" si="5"/>
        <v>3.2699999999999999E-3</v>
      </c>
      <c r="Q17">
        <f t="shared" si="6"/>
        <v>4.7000000000000002E-3</v>
      </c>
      <c r="R17">
        <f t="shared" si="7"/>
        <v>9.4000000000000004E-3</v>
      </c>
      <c r="S17">
        <f t="shared" si="8"/>
        <v>1.124E-2</v>
      </c>
      <c r="T17">
        <f t="shared" si="9"/>
        <v>1.7010000000000001E-2</v>
      </c>
    </row>
    <row r="18" spans="1:20" x14ac:dyDescent="0.25">
      <c r="A18" s="4">
        <v>1999</v>
      </c>
      <c r="B18" s="5">
        <v>5.14</v>
      </c>
      <c r="C18" s="6">
        <v>8.18</v>
      </c>
      <c r="D18" s="6">
        <v>11.35</v>
      </c>
      <c r="E18" s="6">
        <v>15.27</v>
      </c>
      <c r="F18" s="6">
        <v>4.2300000000000004</v>
      </c>
      <c r="G18" s="6">
        <v>5.53</v>
      </c>
      <c r="H18" s="6">
        <v>10.51</v>
      </c>
      <c r="I18" s="17">
        <v>13.39</v>
      </c>
      <c r="J18" s="6">
        <v>16.18</v>
      </c>
      <c r="L18">
        <f t="shared" si="1"/>
        <v>5.1399999999999996E-3</v>
      </c>
      <c r="M18">
        <f t="shared" si="2"/>
        <v>8.1799999999999998E-3</v>
      </c>
      <c r="N18">
        <f t="shared" si="3"/>
        <v>1.1349999999999999E-2</v>
      </c>
      <c r="O18">
        <f t="shared" si="4"/>
        <v>1.5269999999999999E-2</v>
      </c>
      <c r="P18">
        <f t="shared" si="5"/>
        <v>4.2300000000000003E-3</v>
      </c>
      <c r="Q18">
        <f t="shared" si="6"/>
        <v>5.5300000000000002E-3</v>
      </c>
      <c r="R18">
        <f t="shared" si="7"/>
        <v>1.051E-2</v>
      </c>
      <c r="S18">
        <f t="shared" si="8"/>
        <v>1.3390000000000001E-2</v>
      </c>
      <c r="T18">
        <f t="shared" si="9"/>
        <v>1.618E-2</v>
      </c>
    </row>
    <row r="19" spans="1:20" x14ac:dyDescent="0.25">
      <c r="A19" s="4">
        <v>2000</v>
      </c>
      <c r="B19" s="5">
        <v>6.58</v>
      </c>
      <c r="C19" s="6">
        <v>9.98</v>
      </c>
      <c r="D19" s="6">
        <v>14.22</v>
      </c>
      <c r="E19" s="6">
        <v>16.45</v>
      </c>
      <c r="F19" s="6">
        <v>2.94</v>
      </c>
      <c r="G19" s="6">
        <v>4.43</v>
      </c>
      <c r="H19" s="6">
        <v>9.7200000000000006</v>
      </c>
      <c r="I19" s="17">
        <v>16.25</v>
      </c>
      <c r="J19" s="6">
        <v>17.5</v>
      </c>
      <c r="L19">
        <f t="shared" si="1"/>
        <v>6.5799999999999999E-3</v>
      </c>
      <c r="M19">
        <f t="shared" si="2"/>
        <v>9.980000000000001E-3</v>
      </c>
      <c r="N19">
        <f t="shared" si="3"/>
        <v>1.422E-2</v>
      </c>
      <c r="O19">
        <f t="shared" si="4"/>
        <v>1.6449999999999999E-2</v>
      </c>
      <c r="P19">
        <f t="shared" si="5"/>
        <v>2.9399999999999999E-3</v>
      </c>
      <c r="Q19">
        <f t="shared" si="6"/>
        <v>4.4299999999999999E-3</v>
      </c>
      <c r="R19">
        <f t="shared" si="7"/>
        <v>9.7200000000000012E-3</v>
      </c>
      <c r="S19">
        <f t="shared" si="8"/>
        <v>1.6250000000000001E-2</v>
      </c>
      <c r="T19">
        <f t="shared" si="9"/>
        <v>1.7500000000000002E-2</v>
      </c>
    </row>
    <row r="20" spans="1:20" x14ac:dyDescent="0.25">
      <c r="A20" s="4">
        <v>2001</v>
      </c>
      <c r="B20" s="5">
        <v>4.0999999999999996</v>
      </c>
      <c r="C20" s="6">
        <v>8.4600000000000009</v>
      </c>
      <c r="D20" s="6">
        <v>12.6</v>
      </c>
      <c r="E20" s="6">
        <v>21.17</v>
      </c>
      <c r="F20" s="6">
        <v>2.37</v>
      </c>
      <c r="G20" s="6">
        <v>4.63</v>
      </c>
      <c r="H20" s="6">
        <v>8.32</v>
      </c>
      <c r="I20" s="17">
        <v>15.76</v>
      </c>
      <c r="J20" s="6">
        <v>27.67</v>
      </c>
      <c r="L20">
        <f t="shared" si="1"/>
        <v>4.0999999999999995E-3</v>
      </c>
      <c r="M20">
        <f t="shared" si="2"/>
        <v>8.4600000000000005E-3</v>
      </c>
      <c r="N20">
        <f t="shared" si="3"/>
        <v>1.26E-2</v>
      </c>
      <c r="O20">
        <f t="shared" si="4"/>
        <v>2.1170000000000001E-2</v>
      </c>
      <c r="P20">
        <f t="shared" si="5"/>
        <v>2.3700000000000001E-3</v>
      </c>
      <c r="Q20">
        <f t="shared" si="6"/>
        <v>4.6299999999999996E-3</v>
      </c>
      <c r="R20">
        <f t="shared" si="7"/>
        <v>8.320000000000001E-3</v>
      </c>
      <c r="S20">
        <f t="shared" si="8"/>
        <v>1.576E-2</v>
      </c>
      <c r="T20">
        <f t="shared" si="9"/>
        <v>2.767E-2</v>
      </c>
    </row>
    <row r="21" spans="1:20" x14ac:dyDescent="0.25">
      <c r="A21" s="4">
        <v>2002</v>
      </c>
      <c r="B21" s="5">
        <v>6.01</v>
      </c>
      <c r="C21" s="6">
        <v>7.86</v>
      </c>
      <c r="D21" s="6">
        <v>10.62</v>
      </c>
      <c r="E21" s="6">
        <v>16.89</v>
      </c>
      <c r="F21" s="6">
        <v>3.05</v>
      </c>
      <c r="G21" s="6">
        <v>6.46</v>
      </c>
      <c r="H21" s="6">
        <v>11.04</v>
      </c>
      <c r="I21" s="17">
        <v>15.42</v>
      </c>
      <c r="J21" s="6">
        <v>18.7</v>
      </c>
      <c r="L21">
        <f t="shared" si="1"/>
        <v>6.0099999999999997E-3</v>
      </c>
      <c r="M21">
        <f t="shared" si="2"/>
        <v>7.8600000000000007E-3</v>
      </c>
      <c r="N21">
        <f t="shared" si="3"/>
        <v>1.0619999999999999E-2</v>
      </c>
      <c r="O21">
        <f t="shared" si="4"/>
        <v>1.6890000000000002E-2</v>
      </c>
      <c r="P21">
        <f t="shared" si="5"/>
        <v>3.0499999999999998E-3</v>
      </c>
      <c r="Q21">
        <f t="shared" si="6"/>
        <v>6.4599999999999996E-3</v>
      </c>
      <c r="R21">
        <f t="shared" si="7"/>
        <v>1.1039999999999999E-2</v>
      </c>
      <c r="S21">
        <f t="shared" si="8"/>
        <v>1.542E-2</v>
      </c>
      <c r="T21">
        <f t="shared" si="9"/>
        <v>1.8699999999999998E-2</v>
      </c>
    </row>
    <row r="22" spans="1:20" x14ac:dyDescent="0.25">
      <c r="A22" s="4">
        <v>2003</v>
      </c>
      <c r="B22" s="5">
        <v>3.44</v>
      </c>
      <c r="C22" s="6">
        <v>6.95</v>
      </c>
      <c r="D22" s="6">
        <v>12.29</v>
      </c>
      <c r="E22" s="6">
        <v>12.65</v>
      </c>
      <c r="F22" s="6">
        <v>1.39</v>
      </c>
      <c r="G22" s="6">
        <v>1.48</v>
      </c>
      <c r="H22" s="6">
        <v>4.3</v>
      </c>
      <c r="I22" s="17">
        <v>11.68</v>
      </c>
      <c r="J22" s="6">
        <v>5.33</v>
      </c>
      <c r="L22">
        <f t="shared" si="1"/>
        <v>3.4399999999999999E-3</v>
      </c>
      <c r="M22">
        <f t="shared" si="2"/>
        <v>6.9500000000000004E-3</v>
      </c>
      <c r="N22">
        <f t="shared" si="3"/>
        <v>1.2289999999999999E-2</v>
      </c>
      <c r="O22">
        <f t="shared" si="4"/>
        <v>1.265E-2</v>
      </c>
      <c r="P22">
        <f t="shared" si="5"/>
        <v>1.39E-3</v>
      </c>
      <c r="Q22">
        <f t="shared" si="6"/>
        <v>1.48E-3</v>
      </c>
      <c r="R22">
        <f t="shared" si="7"/>
        <v>4.3E-3</v>
      </c>
      <c r="S22">
        <f t="shared" si="8"/>
        <v>1.1679999999999999E-2</v>
      </c>
      <c r="T22">
        <f t="shared" si="9"/>
        <v>5.3299999999999997E-3</v>
      </c>
    </row>
    <row r="23" spans="1:20" x14ac:dyDescent="0.25">
      <c r="A23" s="4">
        <v>2004</v>
      </c>
      <c r="B23" s="5">
        <v>4.87</v>
      </c>
      <c r="C23" s="6">
        <v>7.89</v>
      </c>
      <c r="D23" s="6">
        <v>9.69</v>
      </c>
      <c r="E23" s="6">
        <v>11.91</v>
      </c>
      <c r="F23" s="6">
        <v>2.69</v>
      </c>
      <c r="G23" s="6">
        <v>4.7</v>
      </c>
      <c r="H23" s="6">
        <v>8.33</v>
      </c>
      <c r="I23" s="17">
        <v>9.24</v>
      </c>
      <c r="J23" s="6">
        <v>12.76</v>
      </c>
      <c r="L23">
        <f t="shared" si="1"/>
        <v>4.8700000000000002E-3</v>
      </c>
      <c r="M23">
        <f t="shared" si="2"/>
        <v>7.8899999999999994E-3</v>
      </c>
      <c r="N23">
        <f t="shared" si="3"/>
        <v>9.689999999999999E-3</v>
      </c>
      <c r="O23">
        <f t="shared" si="4"/>
        <v>1.191E-2</v>
      </c>
      <c r="P23">
        <f t="shared" si="5"/>
        <v>2.6900000000000001E-3</v>
      </c>
      <c r="Q23">
        <f t="shared" si="6"/>
        <v>4.7000000000000002E-3</v>
      </c>
      <c r="R23">
        <f t="shared" si="7"/>
        <v>8.3300000000000006E-3</v>
      </c>
      <c r="S23">
        <f t="shared" si="8"/>
        <v>9.2399999999999999E-3</v>
      </c>
      <c r="T23">
        <f t="shared" si="9"/>
        <v>1.2760000000000001E-2</v>
      </c>
    </row>
    <row r="24" spans="1:20" x14ac:dyDescent="0.25">
      <c r="A24" s="4">
        <v>2005</v>
      </c>
      <c r="B24" s="5">
        <v>6.48</v>
      </c>
      <c r="C24" s="6">
        <v>9.2200000000000006</v>
      </c>
      <c r="D24" s="6">
        <v>11.22</v>
      </c>
      <c r="E24" s="6">
        <v>13.31</v>
      </c>
      <c r="F24" s="6">
        <v>3.05</v>
      </c>
      <c r="G24" s="6">
        <v>6.46</v>
      </c>
      <c r="H24" s="6">
        <v>11.04</v>
      </c>
      <c r="I24" s="17">
        <v>15.42</v>
      </c>
      <c r="J24" s="6">
        <v>18.7</v>
      </c>
      <c r="L24">
        <f t="shared" si="1"/>
        <v>6.4800000000000005E-3</v>
      </c>
      <c r="M24">
        <f t="shared" si="2"/>
        <v>9.2200000000000008E-3</v>
      </c>
      <c r="N24">
        <f t="shared" si="3"/>
        <v>1.1220000000000001E-2</v>
      </c>
      <c r="O24">
        <f t="shared" si="4"/>
        <v>1.3310000000000001E-2</v>
      </c>
      <c r="P24">
        <f t="shared" si="5"/>
        <v>3.0499999999999998E-3</v>
      </c>
      <c r="Q24">
        <f t="shared" si="6"/>
        <v>6.4599999999999996E-3</v>
      </c>
      <c r="R24">
        <f t="shared" si="7"/>
        <v>1.1039999999999999E-2</v>
      </c>
      <c r="S24">
        <f t="shared" si="8"/>
        <v>1.542E-2</v>
      </c>
      <c r="T24">
        <f t="shared" si="9"/>
        <v>1.8699999999999998E-2</v>
      </c>
    </row>
    <row r="25" spans="1:20" x14ac:dyDescent="0.25">
      <c r="A25" s="4">
        <v>2006</v>
      </c>
      <c r="B25" s="5">
        <v>5.88</v>
      </c>
      <c r="C25" s="6">
        <v>10.68</v>
      </c>
      <c r="D25" s="6">
        <v>12.82</v>
      </c>
      <c r="E25" s="6">
        <v>14.61</v>
      </c>
      <c r="F25" s="6">
        <v>3.05</v>
      </c>
      <c r="G25" s="6">
        <v>6.46</v>
      </c>
      <c r="H25" s="6">
        <v>11.04</v>
      </c>
      <c r="I25" s="17">
        <v>15.42</v>
      </c>
      <c r="J25" s="6">
        <v>18.7</v>
      </c>
      <c r="L25">
        <f t="shared" si="1"/>
        <v>5.8799999999999998E-3</v>
      </c>
      <c r="M25">
        <f t="shared" si="2"/>
        <v>1.068E-2</v>
      </c>
      <c r="N25">
        <f t="shared" si="3"/>
        <v>1.282E-2</v>
      </c>
      <c r="O25">
        <f t="shared" si="4"/>
        <v>1.461E-2</v>
      </c>
      <c r="P25">
        <f t="shared" si="5"/>
        <v>3.0499999999999998E-3</v>
      </c>
      <c r="Q25">
        <f t="shared" si="6"/>
        <v>6.4599999999999996E-3</v>
      </c>
      <c r="R25">
        <f t="shared" si="7"/>
        <v>1.1039999999999999E-2</v>
      </c>
      <c r="S25">
        <f t="shared" si="8"/>
        <v>1.542E-2</v>
      </c>
      <c r="T25">
        <f t="shared" si="9"/>
        <v>1.8699999999999998E-2</v>
      </c>
    </row>
    <row r="26" spans="1:20" x14ac:dyDescent="0.25">
      <c r="A26" s="4">
        <v>2007</v>
      </c>
      <c r="B26" s="5">
        <v>5.5</v>
      </c>
      <c r="C26" s="6">
        <v>10.59</v>
      </c>
      <c r="D26" s="6">
        <v>15.89</v>
      </c>
      <c r="E26" s="6">
        <v>16.25</v>
      </c>
      <c r="F26" s="6">
        <v>3.05</v>
      </c>
      <c r="G26" s="6">
        <v>6.46</v>
      </c>
      <c r="H26" s="6">
        <v>11.04</v>
      </c>
      <c r="I26" s="17">
        <v>15.42</v>
      </c>
      <c r="J26" s="6">
        <v>18.7</v>
      </c>
      <c r="L26">
        <f t="shared" si="1"/>
        <v>5.4999999999999997E-3</v>
      </c>
      <c r="M26">
        <f t="shared" si="2"/>
        <v>1.059E-2</v>
      </c>
      <c r="N26">
        <f t="shared" si="3"/>
        <v>1.5890000000000001E-2</v>
      </c>
      <c r="O26">
        <f t="shared" si="4"/>
        <v>1.6250000000000001E-2</v>
      </c>
      <c r="P26">
        <f t="shared" si="5"/>
        <v>3.0499999999999998E-3</v>
      </c>
      <c r="Q26">
        <f t="shared" si="6"/>
        <v>6.4599999999999996E-3</v>
      </c>
      <c r="R26">
        <f t="shared" si="7"/>
        <v>1.1039999999999999E-2</v>
      </c>
      <c r="S26">
        <f t="shared" si="8"/>
        <v>1.542E-2</v>
      </c>
      <c r="T26">
        <f t="shared" si="9"/>
        <v>1.8699999999999998E-2</v>
      </c>
    </row>
    <row r="27" spans="1:20" x14ac:dyDescent="0.25">
      <c r="A27" s="4">
        <v>2008</v>
      </c>
      <c r="B27" s="5">
        <v>6.12</v>
      </c>
      <c r="C27" s="6">
        <v>11.41</v>
      </c>
      <c r="D27" s="6">
        <v>13.67</v>
      </c>
      <c r="E27" s="6">
        <v>16.100000000000001</v>
      </c>
      <c r="F27" s="6">
        <v>3.05</v>
      </c>
      <c r="G27" s="6">
        <v>6.46</v>
      </c>
      <c r="H27" s="6">
        <v>11.04</v>
      </c>
      <c r="I27" s="17">
        <v>15.42</v>
      </c>
      <c r="J27" s="6">
        <v>18.7</v>
      </c>
      <c r="L27">
        <f t="shared" si="1"/>
        <v>6.1200000000000004E-3</v>
      </c>
      <c r="M27">
        <f t="shared" si="2"/>
        <v>1.141E-2</v>
      </c>
      <c r="N27">
        <f t="shared" si="3"/>
        <v>1.367E-2</v>
      </c>
      <c r="O27">
        <f t="shared" si="4"/>
        <v>1.61E-2</v>
      </c>
      <c r="P27">
        <f t="shared" si="5"/>
        <v>3.0499999999999998E-3</v>
      </c>
      <c r="Q27">
        <f t="shared" si="6"/>
        <v>6.4599999999999996E-3</v>
      </c>
      <c r="R27">
        <f t="shared" si="7"/>
        <v>1.1039999999999999E-2</v>
      </c>
      <c r="S27">
        <f t="shared" si="8"/>
        <v>1.542E-2</v>
      </c>
      <c r="T27">
        <f t="shared" si="9"/>
        <v>1.8699999999999998E-2</v>
      </c>
    </row>
    <row r="28" spans="1:20" x14ac:dyDescent="0.25">
      <c r="A28" s="4">
        <v>2009</v>
      </c>
      <c r="B28" s="5">
        <v>5.85</v>
      </c>
      <c r="C28" s="6">
        <v>11.79</v>
      </c>
      <c r="D28" s="6">
        <v>17.100000000000001</v>
      </c>
      <c r="E28" s="6">
        <v>18.54</v>
      </c>
      <c r="F28" s="6">
        <v>3.05</v>
      </c>
      <c r="G28" s="6">
        <v>6.46</v>
      </c>
      <c r="H28" s="6">
        <v>11.04</v>
      </c>
      <c r="I28" s="17">
        <v>15.42</v>
      </c>
      <c r="J28" s="6">
        <v>18.7</v>
      </c>
      <c r="L28">
        <f t="shared" si="1"/>
        <v>5.8499999999999993E-3</v>
      </c>
      <c r="M28">
        <f t="shared" si="2"/>
        <v>1.1789999999999998E-2</v>
      </c>
      <c r="N28">
        <f t="shared" si="3"/>
        <v>1.7100000000000001E-2</v>
      </c>
      <c r="O28">
        <f t="shared" si="4"/>
        <v>1.8539999999999997E-2</v>
      </c>
      <c r="P28">
        <f t="shared" si="5"/>
        <v>3.0499999999999998E-3</v>
      </c>
      <c r="Q28">
        <f t="shared" si="6"/>
        <v>6.4599999999999996E-3</v>
      </c>
      <c r="R28">
        <f t="shared" si="7"/>
        <v>1.1039999999999999E-2</v>
      </c>
      <c r="S28">
        <f t="shared" si="8"/>
        <v>1.542E-2</v>
      </c>
      <c r="T28">
        <f t="shared" si="9"/>
        <v>1.8699999999999998E-2</v>
      </c>
    </row>
    <row r="29" spans="1:20" x14ac:dyDescent="0.25">
      <c r="A29" s="7">
        <v>2010</v>
      </c>
      <c r="B29" s="8">
        <v>5.87</v>
      </c>
      <c r="C29" s="9">
        <v>12.79</v>
      </c>
      <c r="D29" s="9">
        <v>14.99</v>
      </c>
      <c r="E29" s="9">
        <v>19.72</v>
      </c>
      <c r="F29" s="9">
        <v>3.05</v>
      </c>
      <c r="G29" s="9">
        <v>6.46</v>
      </c>
      <c r="H29" s="9">
        <v>11.04</v>
      </c>
      <c r="I29" s="18">
        <v>15.42</v>
      </c>
      <c r="J29" s="9">
        <v>18.7</v>
      </c>
      <c r="L29">
        <f t="shared" si="1"/>
        <v>5.8700000000000002E-3</v>
      </c>
      <c r="M29">
        <f t="shared" si="2"/>
        <v>1.2789999999999999E-2</v>
      </c>
      <c r="N29">
        <f t="shared" si="3"/>
        <v>1.499E-2</v>
      </c>
      <c r="O29">
        <f t="shared" si="4"/>
        <v>1.9719999999999998E-2</v>
      </c>
      <c r="P29">
        <f t="shared" si="5"/>
        <v>3.0499999999999998E-3</v>
      </c>
      <c r="Q29">
        <f t="shared" si="6"/>
        <v>6.4599999999999996E-3</v>
      </c>
      <c r="R29">
        <f t="shared" si="7"/>
        <v>1.1039999999999999E-2</v>
      </c>
      <c r="S29">
        <f t="shared" si="8"/>
        <v>1.542E-2</v>
      </c>
      <c r="T29">
        <f t="shared" si="9"/>
        <v>1.8699999999999998E-2</v>
      </c>
    </row>
    <row r="30" spans="1:20" x14ac:dyDescent="0.25">
      <c r="A30" s="1">
        <v>2011</v>
      </c>
      <c r="B30" s="2">
        <v>5.53</v>
      </c>
      <c r="C30" s="3">
        <v>8.8000000000000007</v>
      </c>
      <c r="D30" s="3">
        <v>13.37</v>
      </c>
      <c r="E30" s="3">
        <v>17.260000000000002</v>
      </c>
      <c r="F30" s="3">
        <v>3.05</v>
      </c>
      <c r="G30" s="3">
        <v>6.46</v>
      </c>
      <c r="H30" s="3">
        <v>11.04</v>
      </c>
      <c r="I30" s="3">
        <v>15.42</v>
      </c>
      <c r="J30" s="3">
        <v>18.7</v>
      </c>
      <c r="L30">
        <f t="shared" si="1"/>
        <v>5.5300000000000002E-3</v>
      </c>
      <c r="M30">
        <f t="shared" si="2"/>
        <v>8.8000000000000005E-3</v>
      </c>
      <c r="N30">
        <f t="shared" si="3"/>
        <v>1.337E-2</v>
      </c>
      <c r="O30">
        <f t="shared" si="4"/>
        <v>1.7260000000000001E-2</v>
      </c>
      <c r="P30">
        <f t="shared" si="5"/>
        <v>3.0499999999999998E-3</v>
      </c>
      <c r="Q30">
        <f t="shared" si="6"/>
        <v>6.4599999999999996E-3</v>
      </c>
      <c r="R30">
        <f t="shared" si="7"/>
        <v>1.1039999999999999E-2</v>
      </c>
      <c r="S30">
        <f t="shared" si="8"/>
        <v>1.542E-2</v>
      </c>
      <c r="T30">
        <f t="shared" si="9"/>
        <v>1.8699999999999998E-2</v>
      </c>
    </row>
    <row r="31" spans="1:20" x14ac:dyDescent="0.25">
      <c r="A31" s="4">
        <v>2012</v>
      </c>
      <c r="B31" s="5">
        <v>6.67</v>
      </c>
      <c r="C31" s="6">
        <v>9.84</v>
      </c>
      <c r="D31" s="6">
        <v>12.08</v>
      </c>
      <c r="E31" s="6">
        <v>15.84</v>
      </c>
      <c r="F31" s="6">
        <v>3.05</v>
      </c>
      <c r="G31" s="6">
        <v>6.46</v>
      </c>
      <c r="H31" s="6">
        <v>11.04</v>
      </c>
      <c r="I31" s="6">
        <v>15.42</v>
      </c>
      <c r="J31" s="6">
        <v>18.7</v>
      </c>
      <c r="L31">
        <f t="shared" si="1"/>
        <v>6.6699999999999997E-3</v>
      </c>
      <c r="M31">
        <f t="shared" si="2"/>
        <v>9.8399999999999998E-3</v>
      </c>
      <c r="N31">
        <f t="shared" si="3"/>
        <v>1.208E-2</v>
      </c>
      <c r="O31">
        <f t="shared" si="4"/>
        <v>1.584E-2</v>
      </c>
      <c r="P31">
        <f t="shared" si="5"/>
        <v>3.0499999999999998E-3</v>
      </c>
      <c r="Q31">
        <f t="shared" si="6"/>
        <v>6.4599999999999996E-3</v>
      </c>
      <c r="R31">
        <f t="shared" si="7"/>
        <v>1.1039999999999999E-2</v>
      </c>
      <c r="S31">
        <f t="shared" si="8"/>
        <v>1.542E-2</v>
      </c>
      <c r="T31">
        <f t="shared" si="9"/>
        <v>1.8699999999999998E-2</v>
      </c>
    </row>
    <row r="32" spans="1:20" x14ac:dyDescent="0.25">
      <c r="A32" s="4">
        <v>2013</v>
      </c>
      <c r="B32" s="5">
        <v>4.37</v>
      </c>
      <c r="C32" s="6">
        <v>6.63</v>
      </c>
      <c r="D32" s="6">
        <v>11.19</v>
      </c>
      <c r="E32" s="6">
        <v>12.28</v>
      </c>
      <c r="F32" s="6">
        <v>3.05</v>
      </c>
      <c r="G32" s="6">
        <v>6.46</v>
      </c>
      <c r="H32" s="6">
        <v>11.04</v>
      </c>
      <c r="I32" s="6">
        <v>15.42</v>
      </c>
      <c r="J32" s="6">
        <v>18.7</v>
      </c>
      <c r="L32">
        <f t="shared" si="1"/>
        <v>4.3699999999999998E-3</v>
      </c>
      <c r="M32">
        <f t="shared" si="2"/>
        <v>6.6299999999999996E-3</v>
      </c>
      <c r="N32">
        <f t="shared" si="3"/>
        <v>1.119E-2</v>
      </c>
      <c r="O32">
        <f t="shared" si="4"/>
        <v>1.2279999999999999E-2</v>
      </c>
      <c r="P32">
        <f t="shared" si="5"/>
        <v>3.0499999999999998E-3</v>
      </c>
      <c r="Q32">
        <f t="shared" si="6"/>
        <v>6.4599999999999996E-3</v>
      </c>
      <c r="R32">
        <f t="shared" si="7"/>
        <v>1.1039999999999999E-2</v>
      </c>
      <c r="S32">
        <f t="shared" si="8"/>
        <v>1.542E-2</v>
      </c>
      <c r="T32">
        <f t="shared" si="9"/>
        <v>1.8699999999999998E-2</v>
      </c>
    </row>
    <row r="33" spans="1:20" x14ac:dyDescent="0.25">
      <c r="A33" s="4">
        <v>2014</v>
      </c>
      <c r="B33" s="5">
        <v>4.4800000000000004</v>
      </c>
      <c r="C33" s="6">
        <v>8.39</v>
      </c>
      <c r="D33" s="6">
        <v>12.8</v>
      </c>
      <c r="E33" s="6">
        <v>18.54</v>
      </c>
      <c r="F33" s="6">
        <v>3.05</v>
      </c>
      <c r="G33" s="6">
        <v>6.46</v>
      </c>
      <c r="H33" s="6">
        <v>11.04</v>
      </c>
      <c r="I33" s="6">
        <v>15.42</v>
      </c>
      <c r="J33" s="6">
        <v>18.7</v>
      </c>
      <c r="L33">
        <f t="shared" si="1"/>
        <v>4.4800000000000005E-3</v>
      </c>
      <c r="M33">
        <f t="shared" si="2"/>
        <v>8.3899999999999999E-3</v>
      </c>
      <c r="N33">
        <f t="shared" si="3"/>
        <v>1.2800000000000001E-2</v>
      </c>
      <c r="O33">
        <f t="shared" si="4"/>
        <v>1.8539999999999997E-2</v>
      </c>
      <c r="P33">
        <f t="shared" si="5"/>
        <v>3.0499999999999998E-3</v>
      </c>
      <c r="Q33">
        <f t="shared" si="6"/>
        <v>6.4599999999999996E-3</v>
      </c>
      <c r="R33">
        <f t="shared" si="7"/>
        <v>1.1039999999999999E-2</v>
      </c>
      <c r="S33">
        <f t="shared" si="8"/>
        <v>1.542E-2</v>
      </c>
      <c r="T33">
        <f t="shared" si="9"/>
        <v>1.8699999999999998E-2</v>
      </c>
    </row>
    <row r="34" spans="1:20" x14ac:dyDescent="0.25">
      <c r="A34" s="4">
        <v>2015</v>
      </c>
      <c r="B34" s="5">
        <v>5.19</v>
      </c>
      <c r="C34" s="6">
        <v>8.4600000000000009</v>
      </c>
      <c r="D34" s="6">
        <v>10.29</v>
      </c>
      <c r="E34" s="6">
        <v>14.24</v>
      </c>
      <c r="F34" s="6">
        <v>3.05</v>
      </c>
      <c r="G34" s="6">
        <v>6.46</v>
      </c>
      <c r="H34" s="6">
        <v>11.04</v>
      </c>
      <c r="I34" s="6">
        <v>15.42</v>
      </c>
      <c r="J34" s="6">
        <v>18.7</v>
      </c>
      <c r="L34">
        <f t="shared" si="1"/>
        <v>5.1900000000000002E-3</v>
      </c>
      <c r="M34">
        <f t="shared" si="2"/>
        <v>8.4600000000000005E-3</v>
      </c>
      <c r="N34">
        <f t="shared" si="3"/>
        <v>1.0289999999999999E-2</v>
      </c>
      <c r="O34">
        <f t="shared" si="4"/>
        <v>1.4240000000000001E-2</v>
      </c>
      <c r="P34">
        <f t="shared" si="5"/>
        <v>3.0499999999999998E-3</v>
      </c>
      <c r="Q34">
        <f t="shared" si="6"/>
        <v>6.4599999999999996E-3</v>
      </c>
      <c r="R34">
        <f t="shared" si="7"/>
        <v>1.1039999999999999E-2</v>
      </c>
      <c r="S34">
        <f t="shared" si="8"/>
        <v>1.542E-2</v>
      </c>
      <c r="T34">
        <f t="shared" si="9"/>
        <v>1.8699999999999998E-2</v>
      </c>
    </row>
    <row r="35" spans="1:20" x14ac:dyDescent="0.25">
      <c r="A35" s="4">
        <v>2016</v>
      </c>
      <c r="B35" s="5">
        <v>4.3499999999999996</v>
      </c>
      <c r="C35" s="6">
        <v>10.67</v>
      </c>
      <c r="D35" s="6">
        <v>13.17</v>
      </c>
      <c r="E35" s="6">
        <v>14.37</v>
      </c>
      <c r="F35" s="6">
        <v>3.05</v>
      </c>
      <c r="G35" s="6">
        <v>6.46</v>
      </c>
      <c r="H35" s="6">
        <v>11.04</v>
      </c>
      <c r="I35" s="6">
        <v>15.42</v>
      </c>
      <c r="J35" s="6">
        <v>18.7</v>
      </c>
      <c r="L35">
        <f t="shared" si="1"/>
        <v>4.3499999999999997E-3</v>
      </c>
      <c r="M35">
        <f t="shared" si="2"/>
        <v>1.0670000000000001E-2</v>
      </c>
      <c r="N35">
        <f t="shared" si="3"/>
        <v>1.3169999999999999E-2</v>
      </c>
      <c r="O35">
        <f t="shared" si="4"/>
        <v>1.4369999999999999E-2</v>
      </c>
      <c r="P35">
        <f t="shared" si="5"/>
        <v>3.0499999999999998E-3</v>
      </c>
      <c r="Q35">
        <f t="shared" si="6"/>
        <v>6.4599999999999996E-3</v>
      </c>
      <c r="R35">
        <f t="shared" si="7"/>
        <v>1.1039999999999999E-2</v>
      </c>
      <c r="S35">
        <f t="shared" si="8"/>
        <v>1.542E-2</v>
      </c>
      <c r="T35">
        <f t="shared" si="9"/>
        <v>1.8699999999999998E-2</v>
      </c>
    </row>
    <row r="36" spans="1:20" x14ac:dyDescent="0.25">
      <c r="A36" s="4">
        <v>2017</v>
      </c>
      <c r="B36" s="5">
        <v>4.84</v>
      </c>
      <c r="C36" s="6">
        <v>7.11</v>
      </c>
      <c r="D36" s="6">
        <v>9.64</v>
      </c>
      <c r="E36" s="6">
        <v>11.02</v>
      </c>
      <c r="F36" s="6">
        <v>3.05</v>
      </c>
      <c r="G36" s="6">
        <v>5.41</v>
      </c>
      <c r="H36" s="6">
        <v>8.69</v>
      </c>
      <c r="I36" s="6">
        <v>10.84</v>
      </c>
      <c r="J36" s="6">
        <v>11.44</v>
      </c>
      <c r="L36">
        <f t="shared" si="1"/>
        <v>4.8399999999999997E-3</v>
      </c>
      <c r="M36">
        <f t="shared" si="2"/>
        <v>7.11E-3</v>
      </c>
      <c r="N36">
        <f t="shared" si="3"/>
        <v>9.640000000000001E-3</v>
      </c>
      <c r="O36">
        <f t="shared" si="4"/>
        <v>1.102E-2</v>
      </c>
      <c r="P36">
        <f t="shared" si="5"/>
        <v>3.0499999999999998E-3</v>
      </c>
      <c r="Q36">
        <f t="shared" si="6"/>
        <v>5.4099999999999999E-3</v>
      </c>
      <c r="R36">
        <f t="shared" si="7"/>
        <v>8.6899999999999998E-3</v>
      </c>
      <c r="S36">
        <f t="shared" si="8"/>
        <v>1.0840000000000001E-2</v>
      </c>
      <c r="T36">
        <f t="shared" si="9"/>
        <v>1.1439999999999999E-2</v>
      </c>
    </row>
    <row r="37" spans="1:20" x14ac:dyDescent="0.25">
      <c r="A37" s="4">
        <v>2018</v>
      </c>
      <c r="B37" s="5">
        <v>3.78</v>
      </c>
      <c r="C37" s="6">
        <v>6.63</v>
      </c>
      <c r="D37" s="6">
        <v>9.73</v>
      </c>
      <c r="E37" s="6">
        <v>11.87</v>
      </c>
      <c r="F37" s="6">
        <v>3.05</v>
      </c>
      <c r="G37" s="6">
        <v>6.46</v>
      </c>
      <c r="H37" s="6">
        <v>11.04</v>
      </c>
      <c r="I37" s="6">
        <v>15.42</v>
      </c>
      <c r="J37" s="6">
        <v>18.7</v>
      </c>
      <c r="L37">
        <f t="shared" si="1"/>
        <v>3.7799999999999999E-3</v>
      </c>
      <c r="M37">
        <f t="shared" si="2"/>
        <v>6.6299999999999996E-3</v>
      </c>
      <c r="N37">
        <f t="shared" si="3"/>
        <v>9.7300000000000008E-3</v>
      </c>
      <c r="O37">
        <f t="shared" si="4"/>
        <v>1.1869999999999999E-2</v>
      </c>
      <c r="P37">
        <f t="shared" si="5"/>
        <v>3.0499999999999998E-3</v>
      </c>
      <c r="Q37">
        <f t="shared" si="6"/>
        <v>6.4599999999999996E-3</v>
      </c>
      <c r="R37">
        <f t="shared" si="7"/>
        <v>1.1039999999999999E-2</v>
      </c>
      <c r="S37">
        <f t="shared" si="8"/>
        <v>1.542E-2</v>
      </c>
      <c r="T37">
        <f t="shared" si="9"/>
        <v>1.8699999999999998E-2</v>
      </c>
    </row>
    <row r="38" spans="1:20" x14ac:dyDescent="0.25">
      <c r="A38" s="4">
        <v>2019</v>
      </c>
      <c r="B38" s="5">
        <v>3.99</v>
      </c>
      <c r="C38" s="6">
        <v>7.97</v>
      </c>
      <c r="D38" s="6">
        <v>9</v>
      </c>
      <c r="E38" s="6">
        <v>11.04</v>
      </c>
      <c r="F38" s="6">
        <v>2.23</v>
      </c>
      <c r="G38" s="6">
        <v>3.5</v>
      </c>
      <c r="H38" s="6">
        <v>11.45</v>
      </c>
      <c r="I38" s="6">
        <v>18.05</v>
      </c>
      <c r="J38" s="6">
        <v>18.649999999999999</v>
      </c>
      <c r="L38">
        <f t="shared" si="1"/>
        <v>3.9900000000000005E-3</v>
      </c>
      <c r="M38">
        <f t="shared" si="2"/>
        <v>7.9699999999999997E-3</v>
      </c>
      <c r="N38">
        <f t="shared" si="3"/>
        <v>8.9999999999999993E-3</v>
      </c>
      <c r="O38">
        <f t="shared" si="4"/>
        <v>1.1039999999999999E-2</v>
      </c>
      <c r="P38">
        <f t="shared" si="5"/>
        <v>2.2299999999999998E-3</v>
      </c>
      <c r="Q38">
        <f t="shared" si="6"/>
        <v>3.5000000000000001E-3</v>
      </c>
      <c r="R38">
        <f t="shared" si="7"/>
        <v>1.145E-2</v>
      </c>
      <c r="S38">
        <f t="shared" si="8"/>
        <v>1.805E-2</v>
      </c>
      <c r="T38">
        <f t="shared" si="9"/>
        <v>1.865E-2</v>
      </c>
    </row>
    <row r="39" spans="1:20" x14ac:dyDescent="0.25">
      <c r="A39" s="4">
        <v>2020</v>
      </c>
      <c r="B39" s="5">
        <v>6.64</v>
      </c>
      <c r="C39" s="6">
        <v>9.65</v>
      </c>
      <c r="D39" s="6">
        <v>13.08</v>
      </c>
      <c r="E39" s="6">
        <v>14.59</v>
      </c>
      <c r="F39" s="6">
        <v>3.05</v>
      </c>
      <c r="G39" s="6">
        <v>6.46</v>
      </c>
      <c r="H39" s="6">
        <v>11.04</v>
      </c>
      <c r="I39" s="6">
        <v>15.42</v>
      </c>
      <c r="J39" s="6">
        <v>18.7</v>
      </c>
      <c r="L39">
        <f t="shared" si="1"/>
        <v>6.6400000000000001E-3</v>
      </c>
      <c r="M39">
        <f t="shared" si="2"/>
        <v>9.6500000000000006E-3</v>
      </c>
      <c r="N39">
        <f t="shared" si="3"/>
        <v>1.308E-2</v>
      </c>
      <c r="O39">
        <f t="shared" si="4"/>
        <v>1.4590000000000001E-2</v>
      </c>
      <c r="P39">
        <f t="shared" si="5"/>
        <v>3.0499999999999998E-3</v>
      </c>
      <c r="Q39">
        <f t="shared" si="6"/>
        <v>6.4599999999999996E-3</v>
      </c>
      <c r="R39">
        <f t="shared" si="7"/>
        <v>1.1039999999999999E-2</v>
      </c>
      <c r="S39">
        <f t="shared" si="8"/>
        <v>1.542E-2</v>
      </c>
      <c r="T39">
        <f t="shared" si="9"/>
        <v>1.8699999999999998E-2</v>
      </c>
    </row>
    <row r="40" spans="1:20" x14ac:dyDescent="0.25">
      <c r="A40" s="4">
        <v>2021</v>
      </c>
      <c r="B40" s="5">
        <v>5.31</v>
      </c>
      <c r="C40" s="6">
        <v>9.56</v>
      </c>
      <c r="D40" s="6">
        <v>11.5</v>
      </c>
      <c r="E40" s="6">
        <v>13.08</v>
      </c>
      <c r="F40" s="6">
        <v>3.05</v>
      </c>
      <c r="G40" s="6">
        <v>6.46</v>
      </c>
      <c r="H40" s="6">
        <v>11.04</v>
      </c>
      <c r="I40" s="6">
        <v>15.42</v>
      </c>
      <c r="J40" s="6">
        <v>18.7</v>
      </c>
      <c r="L40">
        <f t="shared" si="1"/>
        <v>5.3099999999999996E-3</v>
      </c>
      <c r="M40">
        <f t="shared" si="2"/>
        <v>9.5600000000000008E-3</v>
      </c>
      <c r="N40">
        <f t="shared" si="3"/>
        <v>1.15E-2</v>
      </c>
      <c r="O40">
        <f t="shared" si="4"/>
        <v>1.308E-2</v>
      </c>
      <c r="P40">
        <f t="shared" si="5"/>
        <v>3.0499999999999998E-3</v>
      </c>
      <c r="Q40">
        <f t="shared" si="6"/>
        <v>6.4599999999999996E-3</v>
      </c>
      <c r="R40">
        <f t="shared" si="7"/>
        <v>1.1039999999999999E-2</v>
      </c>
      <c r="S40">
        <f t="shared" si="8"/>
        <v>1.542E-2</v>
      </c>
      <c r="T40">
        <f t="shared" si="9"/>
        <v>1.8699999999999998E-2</v>
      </c>
    </row>
    <row r="41" spans="1:20" x14ac:dyDescent="0.25">
      <c r="A41" s="4">
        <v>2022</v>
      </c>
      <c r="B41" s="5">
        <v>4.91</v>
      </c>
      <c r="C41" s="6">
        <v>8.18</v>
      </c>
      <c r="D41" s="6">
        <v>10.59</v>
      </c>
      <c r="E41" s="6">
        <v>12.32</v>
      </c>
      <c r="F41" s="6">
        <v>2.89</v>
      </c>
      <c r="G41" s="6">
        <v>5.66</v>
      </c>
      <c r="H41" s="6">
        <v>10.65</v>
      </c>
      <c r="I41" s="6">
        <v>15.03</v>
      </c>
      <c r="J41" s="6">
        <v>17.239999999999998</v>
      </c>
      <c r="L41">
        <f t="shared" si="1"/>
        <v>4.9100000000000003E-3</v>
      </c>
      <c r="M41">
        <f t="shared" si="2"/>
        <v>8.1799999999999998E-3</v>
      </c>
      <c r="N41">
        <f t="shared" si="3"/>
        <v>1.059E-2</v>
      </c>
      <c r="O41">
        <f t="shared" si="4"/>
        <v>1.2320000000000001E-2</v>
      </c>
      <c r="P41">
        <f t="shared" si="5"/>
        <v>2.8900000000000002E-3</v>
      </c>
      <c r="Q41">
        <f t="shared" si="6"/>
        <v>5.6600000000000001E-3</v>
      </c>
      <c r="R41">
        <f t="shared" si="7"/>
        <v>1.065E-2</v>
      </c>
      <c r="S41">
        <f t="shared" si="8"/>
        <v>1.503E-2</v>
      </c>
      <c r="T41">
        <f t="shared" si="9"/>
        <v>1.7239999999999998E-2</v>
      </c>
    </row>
    <row r="42" spans="1:20" x14ac:dyDescent="0.25">
      <c r="A42" s="4">
        <v>2023</v>
      </c>
      <c r="B42" s="5">
        <v>4.7300000000000004</v>
      </c>
      <c r="C42" s="6">
        <v>8.85</v>
      </c>
      <c r="D42" s="6">
        <v>11.21</v>
      </c>
      <c r="E42" s="6">
        <v>13.49</v>
      </c>
      <c r="F42" s="6">
        <v>2.38</v>
      </c>
      <c r="G42" s="6">
        <v>5.09</v>
      </c>
      <c r="H42" s="6">
        <v>8.67</v>
      </c>
      <c r="I42" s="6">
        <v>12.25</v>
      </c>
      <c r="J42" s="6">
        <v>14.72</v>
      </c>
      <c r="L42">
        <f t="shared" si="1"/>
        <v>4.7300000000000007E-3</v>
      </c>
      <c r="M42">
        <f t="shared" si="2"/>
        <v>8.8500000000000002E-3</v>
      </c>
      <c r="N42">
        <f t="shared" si="3"/>
        <v>1.1210000000000001E-2</v>
      </c>
      <c r="O42">
        <f t="shared" si="4"/>
        <v>1.349E-2</v>
      </c>
      <c r="P42">
        <f t="shared" si="5"/>
        <v>2.3799999999999997E-3</v>
      </c>
      <c r="Q42">
        <f t="shared" si="6"/>
        <v>5.0899999999999999E-3</v>
      </c>
      <c r="R42">
        <f t="shared" si="7"/>
        <v>8.6700000000000006E-3</v>
      </c>
      <c r="S42">
        <f t="shared" si="8"/>
        <v>1.225E-2</v>
      </c>
      <c r="T42">
        <f t="shared" si="9"/>
        <v>1.472E-2</v>
      </c>
    </row>
    <row r="43" spans="1:20" x14ac:dyDescent="0.25">
      <c r="A43" s="4">
        <v>2024</v>
      </c>
      <c r="B43" s="5">
        <v>4.67</v>
      </c>
      <c r="C43" s="6">
        <v>8.74</v>
      </c>
      <c r="D43" s="6">
        <v>14.14</v>
      </c>
      <c r="E43" s="6">
        <v>18.3</v>
      </c>
      <c r="F43" s="6">
        <v>2.73</v>
      </c>
      <c r="G43" s="6">
        <v>3.14</v>
      </c>
      <c r="H43" s="6">
        <v>4.1500000000000004</v>
      </c>
      <c r="I43" s="6">
        <v>15.53</v>
      </c>
      <c r="J43" s="6">
        <v>14.88</v>
      </c>
      <c r="L43">
        <f t="shared" si="1"/>
        <v>4.6699999999999997E-3</v>
      </c>
      <c r="M43">
        <f t="shared" si="2"/>
        <v>8.7399999999999995E-3</v>
      </c>
      <c r="N43">
        <f t="shared" si="3"/>
        <v>1.414E-2</v>
      </c>
      <c r="O43">
        <f t="shared" si="4"/>
        <v>1.83E-2</v>
      </c>
      <c r="P43">
        <f t="shared" si="5"/>
        <v>2.7299999999999998E-3</v>
      </c>
      <c r="Q43">
        <f t="shared" si="6"/>
        <v>3.14E-3</v>
      </c>
      <c r="R43">
        <f t="shared" si="7"/>
        <v>4.15E-3</v>
      </c>
      <c r="S43">
        <f t="shared" si="8"/>
        <v>1.5529999999999999E-2</v>
      </c>
      <c r="T43">
        <f t="shared" si="9"/>
        <v>1.4880000000000001E-2</v>
      </c>
    </row>
    <row r="44" spans="1:20" x14ac:dyDescent="0.25">
      <c r="A44" s="7">
        <v>2025</v>
      </c>
      <c r="B44" s="8">
        <v>5.25</v>
      </c>
      <c r="C44" s="9">
        <v>8.99</v>
      </c>
      <c r="D44" s="9">
        <v>12.1</v>
      </c>
      <c r="E44" s="9">
        <v>14.36</v>
      </c>
      <c r="F44" s="9">
        <v>2.82</v>
      </c>
      <c r="G44" s="9">
        <v>5.36</v>
      </c>
      <c r="H44" s="9">
        <v>9.11</v>
      </c>
      <c r="I44" s="9">
        <v>14.73</v>
      </c>
      <c r="J44" s="9">
        <v>16.850000000000001</v>
      </c>
      <c r="L44">
        <f t="shared" si="1"/>
        <v>5.2500000000000003E-3</v>
      </c>
      <c r="M44">
        <f t="shared" si="2"/>
        <v>8.9899999999999997E-3</v>
      </c>
      <c r="N44">
        <f t="shared" si="3"/>
        <v>1.21E-2</v>
      </c>
      <c r="O44">
        <f t="shared" si="4"/>
        <v>1.436E-2</v>
      </c>
      <c r="P44">
        <f t="shared" si="5"/>
        <v>2.82E-3</v>
      </c>
      <c r="Q44">
        <f t="shared" si="6"/>
        <v>5.3600000000000002E-3</v>
      </c>
      <c r="R44">
        <f t="shared" si="7"/>
        <v>9.11E-3</v>
      </c>
      <c r="S44">
        <f t="shared" si="8"/>
        <v>1.473E-2</v>
      </c>
      <c r="T44">
        <f t="shared" si="9"/>
        <v>1.685E-2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47EB-85A2-4F18-993E-D76282C41F6D}">
  <dimension ref="A1:J59"/>
  <sheetViews>
    <sheetView workbookViewId="0">
      <selection activeCell="B1" sqref="B1:J1"/>
    </sheetView>
  </sheetViews>
  <sheetFormatPr defaultRowHeight="15" x14ac:dyDescent="0.25"/>
  <sheetData>
    <row r="1" spans="1:10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1983</v>
      </c>
      <c r="B2" s="2">
        <v>0.04</v>
      </c>
      <c r="C2" s="3">
        <v>0.63</v>
      </c>
      <c r="D2" s="3">
        <v>0.92</v>
      </c>
      <c r="E2" s="3">
        <v>0.96</v>
      </c>
      <c r="F2" s="1">
        <v>0</v>
      </c>
      <c r="G2" s="3">
        <v>0.04</v>
      </c>
      <c r="H2" s="3">
        <v>0.63</v>
      </c>
      <c r="I2" s="3">
        <v>0.92</v>
      </c>
      <c r="J2" s="3">
        <v>0.96</v>
      </c>
    </row>
    <row r="3" spans="1:10" x14ac:dyDescent="0.25">
      <c r="A3" s="4">
        <v>1984</v>
      </c>
      <c r="B3" s="5">
        <v>0.04</v>
      </c>
      <c r="C3" s="6">
        <v>0.63</v>
      </c>
      <c r="D3" s="6">
        <v>0.92</v>
      </c>
      <c r="E3" s="6">
        <v>0.96</v>
      </c>
      <c r="F3" s="4">
        <v>0</v>
      </c>
      <c r="G3" s="6">
        <v>0.04</v>
      </c>
      <c r="H3" s="6">
        <v>0.63</v>
      </c>
      <c r="I3" s="6">
        <v>0.92</v>
      </c>
      <c r="J3" s="6">
        <v>0.96</v>
      </c>
    </row>
    <row r="4" spans="1:10" x14ac:dyDescent="0.25">
      <c r="A4" s="4">
        <v>1985</v>
      </c>
      <c r="B4" s="5">
        <v>0.04</v>
      </c>
      <c r="C4" s="6">
        <v>0.63</v>
      </c>
      <c r="D4" s="6">
        <v>0.92</v>
      </c>
      <c r="E4" s="6">
        <v>0.96</v>
      </c>
      <c r="F4" s="4">
        <v>0</v>
      </c>
      <c r="G4" s="6">
        <v>0.04</v>
      </c>
      <c r="H4" s="6">
        <v>0.63</v>
      </c>
      <c r="I4" s="6">
        <v>0.92</v>
      </c>
      <c r="J4" s="6">
        <v>0.96</v>
      </c>
    </row>
    <row r="5" spans="1:10" x14ac:dyDescent="0.25">
      <c r="A5" s="4">
        <v>1986</v>
      </c>
      <c r="B5" s="5">
        <v>0.04</v>
      </c>
      <c r="C5" s="6">
        <v>0.63</v>
      </c>
      <c r="D5" s="6">
        <v>0.92</v>
      </c>
      <c r="E5" s="6">
        <v>0.96</v>
      </c>
      <c r="F5" s="4">
        <v>0</v>
      </c>
      <c r="G5" s="6">
        <v>0.04</v>
      </c>
      <c r="H5" s="6">
        <v>0.63</v>
      </c>
      <c r="I5" s="6">
        <v>0.92</v>
      </c>
      <c r="J5" s="6">
        <v>0.96</v>
      </c>
    </row>
    <row r="6" spans="1:10" x14ac:dyDescent="0.25">
      <c r="A6" s="4">
        <v>1987</v>
      </c>
      <c r="B6" s="5">
        <v>0.04</v>
      </c>
      <c r="C6" s="6">
        <v>0.63</v>
      </c>
      <c r="D6" s="6">
        <v>0.92</v>
      </c>
      <c r="E6" s="6">
        <v>0.96</v>
      </c>
      <c r="F6" s="4">
        <v>0</v>
      </c>
      <c r="G6" s="6">
        <v>0.04</v>
      </c>
      <c r="H6" s="6">
        <v>0.63</v>
      </c>
      <c r="I6" s="6">
        <v>0.92</v>
      </c>
      <c r="J6" s="6">
        <v>0.96</v>
      </c>
    </row>
    <row r="7" spans="1:10" x14ac:dyDescent="0.25">
      <c r="A7" s="4">
        <v>1988</v>
      </c>
      <c r="B7" s="5">
        <v>0.04</v>
      </c>
      <c r="C7" s="6">
        <v>0.63</v>
      </c>
      <c r="D7" s="6">
        <v>0.92</v>
      </c>
      <c r="E7" s="6">
        <v>0.96</v>
      </c>
      <c r="F7" s="4">
        <v>0</v>
      </c>
      <c r="G7" s="6">
        <v>0.04</v>
      </c>
      <c r="H7" s="6">
        <v>0.63</v>
      </c>
      <c r="I7" s="6">
        <v>0.92</v>
      </c>
      <c r="J7" s="6">
        <v>0.96</v>
      </c>
    </row>
    <row r="8" spans="1:10" x14ac:dyDescent="0.25">
      <c r="A8" s="4">
        <v>1989</v>
      </c>
      <c r="B8" s="5">
        <v>0.04</v>
      </c>
      <c r="C8" s="6">
        <v>0.63</v>
      </c>
      <c r="D8" s="6">
        <v>0.92</v>
      </c>
      <c r="E8" s="6">
        <v>0.96</v>
      </c>
      <c r="F8" s="4">
        <v>0</v>
      </c>
      <c r="G8" s="6">
        <v>0.04</v>
      </c>
      <c r="H8" s="6">
        <v>0.63</v>
      </c>
      <c r="I8" s="6">
        <v>0.92</v>
      </c>
      <c r="J8" s="6">
        <v>0.96</v>
      </c>
    </row>
    <row r="9" spans="1:10" x14ac:dyDescent="0.25">
      <c r="A9" s="4">
        <v>1990</v>
      </c>
      <c r="B9" s="5">
        <v>0.04</v>
      </c>
      <c r="C9" s="6">
        <v>0.63</v>
      </c>
      <c r="D9" s="6">
        <v>0.92</v>
      </c>
      <c r="E9" s="6">
        <v>0.96</v>
      </c>
      <c r="F9" s="4">
        <v>0</v>
      </c>
      <c r="G9" s="6">
        <v>0.04</v>
      </c>
      <c r="H9" s="6">
        <v>0.63</v>
      </c>
      <c r="I9" s="6">
        <v>0.92</v>
      </c>
      <c r="J9" s="6">
        <v>0.96</v>
      </c>
    </row>
    <row r="10" spans="1:10" x14ac:dyDescent="0.25">
      <c r="A10" s="4">
        <v>1991</v>
      </c>
      <c r="B10" s="5">
        <v>0.04</v>
      </c>
      <c r="C10" s="6">
        <v>0.63</v>
      </c>
      <c r="D10" s="6">
        <v>0.92</v>
      </c>
      <c r="E10" s="6">
        <v>0.96</v>
      </c>
      <c r="F10" s="4">
        <v>0</v>
      </c>
      <c r="G10" s="6">
        <v>0.04</v>
      </c>
      <c r="H10" s="6">
        <v>0.63</v>
      </c>
      <c r="I10" s="6">
        <v>0.92</v>
      </c>
      <c r="J10" s="6">
        <v>0.96</v>
      </c>
    </row>
    <row r="11" spans="1:10" x14ac:dyDescent="0.25">
      <c r="A11" s="4">
        <v>1992</v>
      </c>
      <c r="B11" s="5">
        <v>0.04</v>
      </c>
      <c r="C11" s="6">
        <v>0.63</v>
      </c>
      <c r="D11" s="6">
        <v>0.92</v>
      </c>
      <c r="E11" s="6">
        <v>0.96</v>
      </c>
      <c r="F11" s="4">
        <v>0</v>
      </c>
      <c r="G11" s="6">
        <v>0.04</v>
      </c>
      <c r="H11" s="6">
        <v>0.63</v>
      </c>
      <c r="I11" s="6">
        <v>0.92</v>
      </c>
      <c r="J11" s="6">
        <v>0.96</v>
      </c>
    </row>
    <row r="12" spans="1:10" x14ac:dyDescent="0.25">
      <c r="A12" s="4">
        <v>1993</v>
      </c>
      <c r="B12" s="5">
        <v>0.04</v>
      </c>
      <c r="C12" s="6">
        <v>0.63</v>
      </c>
      <c r="D12" s="6">
        <v>0.92</v>
      </c>
      <c r="E12" s="6">
        <v>0.96</v>
      </c>
      <c r="F12" s="4">
        <v>0</v>
      </c>
      <c r="G12" s="6">
        <v>0.04</v>
      </c>
      <c r="H12" s="6">
        <v>0.63</v>
      </c>
      <c r="I12" s="6">
        <v>0.92</v>
      </c>
      <c r="J12" s="6">
        <v>0.96</v>
      </c>
    </row>
    <row r="13" spans="1:10" x14ac:dyDescent="0.25">
      <c r="A13" s="4">
        <v>1994</v>
      </c>
      <c r="B13" s="5">
        <v>0.04</v>
      </c>
      <c r="C13" s="6">
        <v>0.63</v>
      </c>
      <c r="D13" s="6">
        <v>0.92</v>
      </c>
      <c r="E13" s="6">
        <v>0.96</v>
      </c>
      <c r="F13" s="4">
        <v>0</v>
      </c>
      <c r="G13" s="6">
        <v>0.04</v>
      </c>
      <c r="H13" s="6">
        <v>0.63</v>
      </c>
      <c r="I13" s="6">
        <v>0.92</v>
      </c>
      <c r="J13" s="6">
        <v>0.96</v>
      </c>
    </row>
    <row r="14" spans="1:10" x14ac:dyDescent="0.25">
      <c r="A14" s="4">
        <v>1995</v>
      </c>
      <c r="B14" s="5">
        <v>0.04</v>
      </c>
      <c r="C14" s="6">
        <v>0.63</v>
      </c>
      <c r="D14" s="6">
        <v>0.92</v>
      </c>
      <c r="E14" s="6">
        <v>0.96</v>
      </c>
      <c r="F14" s="4">
        <v>0</v>
      </c>
      <c r="G14" s="6">
        <v>0.04</v>
      </c>
      <c r="H14" s="6">
        <v>0.63</v>
      </c>
      <c r="I14" s="6">
        <v>0.92</v>
      </c>
      <c r="J14" s="6">
        <v>0.96</v>
      </c>
    </row>
    <row r="15" spans="1:10" x14ac:dyDescent="0.25">
      <c r="A15" s="4">
        <v>1996</v>
      </c>
      <c r="B15" s="5">
        <v>0.04</v>
      </c>
      <c r="C15" s="6">
        <v>0.63</v>
      </c>
      <c r="D15" s="6">
        <v>0.92</v>
      </c>
      <c r="E15" s="6">
        <v>0.96</v>
      </c>
      <c r="F15" s="4">
        <v>0</v>
      </c>
      <c r="G15" s="6">
        <v>0.04</v>
      </c>
      <c r="H15" s="6">
        <v>0.63</v>
      </c>
      <c r="I15" s="6">
        <v>0.92</v>
      </c>
      <c r="J15" s="6">
        <v>0.96</v>
      </c>
    </row>
    <row r="16" spans="1:10" x14ac:dyDescent="0.25">
      <c r="A16" s="4">
        <v>1997</v>
      </c>
      <c r="B16" s="5">
        <v>0.04</v>
      </c>
      <c r="C16" s="6">
        <v>0.63</v>
      </c>
      <c r="D16" s="6">
        <v>0.92</v>
      </c>
      <c r="E16" s="6">
        <v>0.96</v>
      </c>
      <c r="F16" s="4">
        <v>0</v>
      </c>
      <c r="G16" s="6">
        <v>0.04</v>
      </c>
      <c r="H16" s="6">
        <v>0.63</v>
      </c>
      <c r="I16" s="6">
        <v>0.92</v>
      </c>
      <c r="J16" s="6">
        <v>0.96</v>
      </c>
    </row>
    <row r="17" spans="1:10" x14ac:dyDescent="0.25">
      <c r="A17" s="4">
        <v>1998</v>
      </c>
      <c r="B17" s="5">
        <v>0.04</v>
      </c>
      <c r="C17" s="6">
        <v>0.63</v>
      </c>
      <c r="D17" s="6">
        <v>0.92</v>
      </c>
      <c r="E17" s="6">
        <v>0.96</v>
      </c>
      <c r="F17" s="4">
        <v>0</v>
      </c>
      <c r="G17" s="6">
        <v>0.04</v>
      </c>
      <c r="H17" s="6">
        <v>0.63</v>
      </c>
      <c r="I17" s="6">
        <v>0.92</v>
      </c>
      <c r="J17" s="6">
        <v>0.96</v>
      </c>
    </row>
    <row r="18" spans="1:10" x14ac:dyDescent="0.25">
      <c r="A18" s="4">
        <v>1999</v>
      </c>
      <c r="B18" s="5">
        <v>0.04</v>
      </c>
      <c r="C18" s="6">
        <v>0.63</v>
      </c>
      <c r="D18" s="6">
        <v>0.92</v>
      </c>
      <c r="E18" s="6">
        <v>0.96</v>
      </c>
      <c r="F18" s="4">
        <v>0</v>
      </c>
      <c r="G18" s="6">
        <v>0.04</v>
      </c>
      <c r="H18" s="6">
        <v>0.63</v>
      </c>
      <c r="I18" s="6">
        <v>0.92</v>
      </c>
      <c r="J18" s="6">
        <v>0.96</v>
      </c>
    </row>
    <row r="19" spans="1:10" x14ac:dyDescent="0.25">
      <c r="A19" s="4">
        <v>2000</v>
      </c>
      <c r="B19" s="5">
        <v>0.04</v>
      </c>
      <c r="C19" s="6">
        <v>0.63</v>
      </c>
      <c r="D19" s="6">
        <v>0.92</v>
      </c>
      <c r="E19" s="6">
        <v>0.96</v>
      </c>
      <c r="F19" s="4">
        <v>0</v>
      </c>
      <c r="G19" s="6">
        <v>0.04</v>
      </c>
      <c r="H19" s="6">
        <v>0.63</v>
      </c>
      <c r="I19" s="6">
        <v>0.92</v>
      </c>
      <c r="J19" s="6">
        <v>0.96</v>
      </c>
    </row>
    <row r="20" spans="1:10" x14ac:dyDescent="0.25">
      <c r="A20" s="4">
        <v>2001</v>
      </c>
      <c r="B20" s="5">
        <v>0.04</v>
      </c>
      <c r="C20" s="6">
        <v>0.63</v>
      </c>
      <c r="D20" s="6">
        <v>0.92</v>
      </c>
      <c r="E20" s="6">
        <v>0.96</v>
      </c>
      <c r="F20" s="4">
        <v>0</v>
      </c>
      <c r="G20" s="6">
        <v>0.04</v>
      </c>
      <c r="H20" s="6">
        <v>0.63</v>
      </c>
      <c r="I20" s="6">
        <v>0.92</v>
      </c>
      <c r="J20" s="6">
        <v>0.96</v>
      </c>
    </row>
    <row r="21" spans="1:10" x14ac:dyDescent="0.25">
      <c r="A21" s="4">
        <v>2002</v>
      </c>
      <c r="B21" s="5">
        <v>0.04</v>
      </c>
      <c r="C21" s="6">
        <v>0.63</v>
      </c>
      <c r="D21" s="6">
        <v>0.92</v>
      </c>
      <c r="E21" s="6">
        <v>0.96</v>
      </c>
      <c r="F21" s="4">
        <v>0</v>
      </c>
      <c r="G21" s="6">
        <v>0.04</v>
      </c>
      <c r="H21" s="6">
        <v>0.63</v>
      </c>
      <c r="I21" s="6">
        <v>0.92</v>
      </c>
      <c r="J21" s="6">
        <v>0.96</v>
      </c>
    </row>
    <row r="22" spans="1:10" x14ac:dyDescent="0.25">
      <c r="A22" s="4">
        <v>2003</v>
      </c>
      <c r="B22" s="5">
        <v>0.04</v>
      </c>
      <c r="C22" s="6">
        <v>0.63</v>
      </c>
      <c r="D22" s="6">
        <v>0.92</v>
      </c>
      <c r="E22" s="6">
        <v>0.96</v>
      </c>
      <c r="F22" s="4">
        <v>0</v>
      </c>
      <c r="G22" s="6">
        <v>0.04</v>
      </c>
      <c r="H22" s="6">
        <v>0.63</v>
      </c>
      <c r="I22" s="6">
        <v>0.92</v>
      </c>
      <c r="J22" s="6">
        <v>0.96</v>
      </c>
    </row>
    <row r="23" spans="1:10" x14ac:dyDescent="0.25">
      <c r="A23" s="4">
        <v>2004</v>
      </c>
      <c r="B23" s="5">
        <v>0.04</v>
      </c>
      <c r="C23" s="6">
        <v>0.63</v>
      </c>
      <c r="D23" s="6">
        <v>0.92</v>
      </c>
      <c r="E23" s="6">
        <v>0.96</v>
      </c>
      <c r="F23" s="4">
        <v>0</v>
      </c>
      <c r="G23" s="6">
        <v>0.04</v>
      </c>
      <c r="H23" s="6">
        <v>0.63</v>
      </c>
      <c r="I23" s="6">
        <v>0.92</v>
      </c>
      <c r="J23" s="6">
        <v>0.96</v>
      </c>
    </row>
    <row r="24" spans="1:10" x14ac:dyDescent="0.25">
      <c r="A24" s="4">
        <v>2005</v>
      </c>
      <c r="B24" s="5">
        <v>0.04</v>
      </c>
      <c r="C24" s="6">
        <v>0.63</v>
      </c>
      <c r="D24" s="6">
        <v>0.92</v>
      </c>
      <c r="E24" s="6">
        <v>0.96</v>
      </c>
      <c r="F24" s="4">
        <v>0</v>
      </c>
      <c r="G24" s="6">
        <v>0.04</v>
      </c>
      <c r="H24" s="6">
        <v>0.63</v>
      </c>
      <c r="I24" s="6">
        <v>0.92</v>
      </c>
      <c r="J24" s="6">
        <v>0.96</v>
      </c>
    </row>
    <row r="25" spans="1:10" x14ac:dyDescent="0.25">
      <c r="A25" s="4">
        <v>2006</v>
      </c>
      <c r="B25" s="5">
        <v>0.04</v>
      </c>
      <c r="C25" s="6">
        <v>0.63</v>
      </c>
      <c r="D25" s="6">
        <v>0.92</v>
      </c>
      <c r="E25" s="6">
        <v>0.96</v>
      </c>
      <c r="F25" s="4">
        <v>0</v>
      </c>
      <c r="G25" s="6">
        <v>0.04</v>
      </c>
      <c r="H25" s="6">
        <v>0.63</v>
      </c>
      <c r="I25" s="6">
        <v>0.92</v>
      </c>
      <c r="J25" s="6">
        <v>0.96</v>
      </c>
    </row>
    <row r="26" spans="1:10" x14ac:dyDescent="0.25">
      <c r="A26" s="4">
        <v>2007</v>
      </c>
      <c r="B26" s="5">
        <v>0.04</v>
      </c>
      <c r="C26" s="6">
        <v>0.63</v>
      </c>
      <c r="D26" s="6">
        <v>0.92</v>
      </c>
      <c r="E26" s="6">
        <v>0.96</v>
      </c>
      <c r="F26" s="4">
        <v>0</v>
      </c>
      <c r="G26" s="6">
        <v>0.04</v>
      </c>
      <c r="H26" s="6">
        <v>0.63</v>
      </c>
      <c r="I26" s="6">
        <v>0.92</v>
      </c>
      <c r="J26" s="6">
        <v>0.96</v>
      </c>
    </row>
    <row r="27" spans="1:10" x14ac:dyDescent="0.25">
      <c r="A27" s="4">
        <v>2008</v>
      </c>
      <c r="B27" s="5">
        <v>0.04</v>
      </c>
      <c r="C27" s="6">
        <v>0.63</v>
      </c>
      <c r="D27" s="6">
        <v>0.92</v>
      </c>
      <c r="E27" s="6">
        <v>0.96</v>
      </c>
      <c r="F27" s="4">
        <v>0</v>
      </c>
      <c r="G27" s="6">
        <v>0.04</v>
      </c>
      <c r="H27" s="6">
        <v>0.63</v>
      </c>
      <c r="I27" s="6">
        <v>0.92</v>
      </c>
      <c r="J27" s="6">
        <v>0.96</v>
      </c>
    </row>
    <row r="28" spans="1:10" x14ac:dyDescent="0.25">
      <c r="A28" s="4">
        <v>2009</v>
      </c>
      <c r="B28" s="5">
        <v>0.04</v>
      </c>
      <c r="C28" s="6">
        <v>0.63</v>
      </c>
      <c r="D28" s="6">
        <v>0.92</v>
      </c>
      <c r="E28" s="6">
        <v>0.96</v>
      </c>
      <c r="F28" s="4">
        <v>0</v>
      </c>
      <c r="G28" s="6">
        <v>0.04</v>
      </c>
      <c r="H28" s="6">
        <v>0.63</v>
      </c>
      <c r="I28" s="6">
        <v>0.92</v>
      </c>
      <c r="J28" s="6">
        <v>0.96</v>
      </c>
    </row>
    <row r="29" spans="1:10" x14ac:dyDescent="0.25">
      <c r="A29" s="7">
        <v>2010</v>
      </c>
      <c r="B29" s="8">
        <v>0.03</v>
      </c>
      <c r="C29" s="9">
        <v>0.56999999999999995</v>
      </c>
      <c r="D29" s="9">
        <v>0.9</v>
      </c>
      <c r="E29" s="9">
        <v>0.96</v>
      </c>
      <c r="F29" s="7">
        <v>0</v>
      </c>
      <c r="G29" s="9">
        <v>0.03</v>
      </c>
      <c r="H29" s="9">
        <v>0.56999999999999995</v>
      </c>
      <c r="I29" s="9">
        <v>0.9</v>
      </c>
      <c r="J29" s="9">
        <v>0.96</v>
      </c>
    </row>
    <row r="30" spans="1:10" x14ac:dyDescent="0.25">
      <c r="A30" s="1">
        <v>2011</v>
      </c>
      <c r="B30" s="2">
        <v>0.04</v>
      </c>
      <c r="C30" s="3">
        <v>0.57999999999999996</v>
      </c>
      <c r="D30" s="3">
        <v>0.89</v>
      </c>
      <c r="E30" s="3">
        <v>0.98</v>
      </c>
      <c r="F30" s="1">
        <v>0</v>
      </c>
      <c r="G30" s="3">
        <v>0.04</v>
      </c>
      <c r="H30" s="3">
        <v>0.57999999999999996</v>
      </c>
      <c r="I30" s="3">
        <v>0.89</v>
      </c>
      <c r="J30" s="3">
        <v>0.98</v>
      </c>
    </row>
    <row r="31" spans="1:10" x14ac:dyDescent="0.25">
      <c r="A31" s="4">
        <v>2012</v>
      </c>
      <c r="B31" s="5">
        <v>0.03</v>
      </c>
      <c r="C31" s="6">
        <v>0.57999999999999996</v>
      </c>
      <c r="D31" s="6">
        <v>0.88</v>
      </c>
      <c r="E31" s="6">
        <v>0.97</v>
      </c>
      <c r="F31" s="4">
        <v>0</v>
      </c>
      <c r="G31" s="6">
        <v>0.03</v>
      </c>
      <c r="H31" s="6">
        <v>0.57999999999999996</v>
      </c>
      <c r="I31" s="6">
        <v>0.88</v>
      </c>
      <c r="J31" s="6">
        <v>0.97</v>
      </c>
    </row>
    <row r="32" spans="1:10" x14ac:dyDescent="0.25">
      <c r="A32" s="4">
        <v>2013</v>
      </c>
      <c r="B32" s="5">
        <v>0.03</v>
      </c>
      <c r="C32" s="6">
        <v>0.54</v>
      </c>
      <c r="D32" s="6">
        <v>0.88</v>
      </c>
      <c r="E32" s="6">
        <v>0.97</v>
      </c>
      <c r="F32" s="4">
        <v>0</v>
      </c>
      <c r="G32" s="6">
        <v>0.03</v>
      </c>
      <c r="H32" s="6">
        <v>0.54</v>
      </c>
      <c r="I32" s="6">
        <v>0.88</v>
      </c>
      <c r="J32" s="6">
        <v>0.97</v>
      </c>
    </row>
    <row r="33" spans="1:10" x14ac:dyDescent="0.25">
      <c r="A33" s="4">
        <v>2014</v>
      </c>
      <c r="B33" s="5">
        <v>0.03</v>
      </c>
      <c r="C33" s="6">
        <v>0.52</v>
      </c>
      <c r="D33" s="6">
        <v>0.87</v>
      </c>
      <c r="E33" s="6">
        <v>0.96</v>
      </c>
      <c r="F33" s="4">
        <v>0</v>
      </c>
      <c r="G33" s="6">
        <v>0.03</v>
      </c>
      <c r="H33" s="6">
        <v>0.52</v>
      </c>
      <c r="I33" s="6">
        <v>0.87</v>
      </c>
      <c r="J33" s="6">
        <v>0.96</v>
      </c>
    </row>
    <row r="34" spans="1:10" x14ac:dyDescent="0.25">
      <c r="A34" s="4">
        <v>2015</v>
      </c>
      <c r="B34" s="5">
        <v>0.04</v>
      </c>
      <c r="C34" s="6">
        <v>0.61</v>
      </c>
      <c r="D34" s="6">
        <v>0.91</v>
      </c>
      <c r="E34" s="6">
        <v>0.97</v>
      </c>
      <c r="F34" s="4">
        <v>0</v>
      </c>
      <c r="G34" s="6">
        <v>0.04</v>
      </c>
      <c r="H34" s="6">
        <v>0.61</v>
      </c>
      <c r="I34" s="6">
        <v>0.91</v>
      </c>
      <c r="J34" s="6">
        <v>0.97</v>
      </c>
    </row>
    <row r="35" spans="1:10" x14ac:dyDescent="0.25">
      <c r="A35" s="4">
        <v>2016</v>
      </c>
      <c r="B35" s="5">
        <v>0.04</v>
      </c>
      <c r="C35" s="6">
        <v>0.61</v>
      </c>
      <c r="D35" s="6">
        <v>0.91</v>
      </c>
      <c r="E35" s="6">
        <v>0.97</v>
      </c>
      <c r="F35" s="4">
        <v>0</v>
      </c>
      <c r="G35" s="6">
        <v>0.04</v>
      </c>
      <c r="H35" s="6">
        <v>0.61</v>
      </c>
      <c r="I35" s="6">
        <v>0.91</v>
      </c>
      <c r="J35" s="6">
        <v>0.97</v>
      </c>
    </row>
    <row r="36" spans="1:10" x14ac:dyDescent="0.25">
      <c r="A36" s="4">
        <v>2017</v>
      </c>
      <c r="B36" s="5">
        <v>0.03</v>
      </c>
      <c r="C36" s="6">
        <v>0.55000000000000004</v>
      </c>
      <c r="D36" s="6">
        <v>0.91</v>
      </c>
      <c r="E36" s="6">
        <v>0.98</v>
      </c>
      <c r="F36" s="4">
        <v>0</v>
      </c>
      <c r="G36" s="6">
        <v>0.03</v>
      </c>
      <c r="H36" s="6">
        <v>0.55000000000000004</v>
      </c>
      <c r="I36" s="6">
        <v>0.91</v>
      </c>
      <c r="J36" s="6">
        <v>0.98</v>
      </c>
    </row>
    <row r="37" spans="1:10" x14ac:dyDescent="0.25">
      <c r="A37" s="4">
        <v>2018</v>
      </c>
      <c r="B37" s="5">
        <v>0.04</v>
      </c>
      <c r="C37" s="6">
        <v>0.54</v>
      </c>
      <c r="D37" s="6">
        <v>0.91</v>
      </c>
      <c r="E37" s="6">
        <v>0.98</v>
      </c>
      <c r="F37" s="4">
        <v>0</v>
      </c>
      <c r="G37" s="6">
        <v>0.04</v>
      </c>
      <c r="H37" s="6">
        <v>0.54</v>
      </c>
      <c r="I37" s="6">
        <v>0.91</v>
      </c>
      <c r="J37" s="6">
        <v>0.98</v>
      </c>
    </row>
    <row r="38" spans="1:10" x14ac:dyDescent="0.25">
      <c r="A38" s="4">
        <v>2019</v>
      </c>
      <c r="B38" s="5">
        <v>0.04</v>
      </c>
      <c r="C38" s="6">
        <v>0.49</v>
      </c>
      <c r="D38" s="6">
        <v>0.87</v>
      </c>
      <c r="E38" s="6">
        <v>0.94</v>
      </c>
      <c r="F38" s="4">
        <v>0</v>
      </c>
      <c r="G38" s="6">
        <v>0.04</v>
      </c>
      <c r="H38" s="6">
        <v>0.49</v>
      </c>
      <c r="I38" s="6">
        <v>0.87</v>
      </c>
      <c r="J38" s="6">
        <v>0.94</v>
      </c>
    </row>
    <row r="39" spans="1:10" x14ac:dyDescent="0.25">
      <c r="A39" s="4">
        <v>2020</v>
      </c>
      <c r="B39" s="5">
        <v>0.03</v>
      </c>
      <c r="C39" s="6">
        <v>0.52</v>
      </c>
      <c r="D39" s="6">
        <v>0.87</v>
      </c>
      <c r="E39" s="6">
        <v>0.95</v>
      </c>
      <c r="F39" s="4">
        <v>0</v>
      </c>
      <c r="G39" s="6">
        <v>0.03</v>
      </c>
      <c r="H39" s="6">
        <v>0.52</v>
      </c>
      <c r="I39" s="6">
        <v>0.87</v>
      </c>
      <c r="J39" s="6">
        <v>0.95</v>
      </c>
    </row>
    <row r="40" spans="1:10" x14ac:dyDescent="0.25">
      <c r="A40" s="4">
        <v>2021</v>
      </c>
      <c r="B40" s="5">
        <v>0.03</v>
      </c>
      <c r="C40" s="6">
        <v>0.45</v>
      </c>
      <c r="D40" s="6">
        <v>0.84</v>
      </c>
      <c r="E40" s="6">
        <v>0.93</v>
      </c>
      <c r="F40" s="4">
        <v>0</v>
      </c>
      <c r="G40" s="6">
        <v>0.03</v>
      </c>
      <c r="H40" s="6">
        <v>0.45</v>
      </c>
      <c r="I40" s="6">
        <v>0.84</v>
      </c>
      <c r="J40" s="6">
        <v>0.93</v>
      </c>
    </row>
    <row r="41" spans="1:10" x14ac:dyDescent="0.25">
      <c r="A41" s="4">
        <v>2022</v>
      </c>
      <c r="B41" s="5">
        <v>0.03</v>
      </c>
      <c r="C41" s="6">
        <v>0.48</v>
      </c>
      <c r="D41" s="6">
        <v>0.84</v>
      </c>
      <c r="E41" s="6">
        <v>0.93</v>
      </c>
      <c r="F41" s="4">
        <v>0</v>
      </c>
      <c r="G41" s="6">
        <v>0.03</v>
      </c>
      <c r="H41" s="6">
        <v>0.48</v>
      </c>
      <c r="I41" s="6">
        <v>0.84</v>
      </c>
      <c r="J41" s="6">
        <v>0.93</v>
      </c>
    </row>
    <row r="42" spans="1:10" x14ac:dyDescent="0.25">
      <c r="A42" s="4">
        <v>2023</v>
      </c>
      <c r="B42" s="5">
        <v>0.03</v>
      </c>
      <c r="C42" s="6">
        <v>0.47</v>
      </c>
      <c r="D42" s="6">
        <v>0.78</v>
      </c>
      <c r="E42" s="6">
        <v>0.91</v>
      </c>
      <c r="F42" s="4">
        <v>0</v>
      </c>
      <c r="G42" s="6">
        <v>0.03</v>
      </c>
      <c r="H42" s="6">
        <v>0.47</v>
      </c>
      <c r="I42" s="6">
        <v>0.78</v>
      </c>
      <c r="J42" s="6">
        <v>0.91</v>
      </c>
    </row>
    <row r="43" spans="1:10" x14ac:dyDescent="0.25">
      <c r="A43" s="4">
        <v>2024</v>
      </c>
      <c r="B43" s="5">
        <v>0.02</v>
      </c>
      <c r="C43" s="6">
        <v>0.39</v>
      </c>
      <c r="D43" s="6">
        <v>0.77</v>
      </c>
      <c r="E43" s="6">
        <v>0.91</v>
      </c>
      <c r="F43" s="4">
        <v>0</v>
      </c>
      <c r="G43" s="6">
        <v>0.02</v>
      </c>
      <c r="H43" s="6">
        <v>0.39</v>
      </c>
      <c r="I43" s="6">
        <v>0.77</v>
      </c>
      <c r="J43" s="6">
        <v>0.91</v>
      </c>
    </row>
    <row r="44" spans="1:10" x14ac:dyDescent="0.25">
      <c r="A44" s="7">
        <v>2025</v>
      </c>
      <c r="B44" s="8">
        <v>0.03</v>
      </c>
      <c r="C44" s="9">
        <v>0.47</v>
      </c>
      <c r="D44" s="9">
        <v>0.83</v>
      </c>
      <c r="E44" s="9">
        <v>0.93</v>
      </c>
      <c r="F44" s="7">
        <v>0</v>
      </c>
      <c r="G44" s="9">
        <v>0.03</v>
      </c>
      <c r="H44" s="9">
        <v>0.47</v>
      </c>
      <c r="I44" s="9">
        <v>0.83</v>
      </c>
      <c r="J44" s="9">
        <v>0.93</v>
      </c>
    </row>
    <row r="45" spans="1:10" x14ac:dyDescent="0.25">
      <c r="A45" s="1"/>
      <c r="B45" s="2"/>
      <c r="C45" s="3"/>
      <c r="D45" s="3"/>
      <c r="E45" s="3"/>
      <c r="F45" s="1"/>
      <c r="G45" s="3"/>
      <c r="H45" s="3"/>
      <c r="I45" s="3"/>
      <c r="J45" s="3"/>
    </row>
    <row r="46" spans="1:10" x14ac:dyDescent="0.25">
      <c r="A46" s="4"/>
      <c r="B46" s="5"/>
      <c r="C46" s="6"/>
      <c r="D46" s="6"/>
      <c r="E46" s="6"/>
      <c r="F46" s="4"/>
      <c r="G46" s="6"/>
      <c r="H46" s="6"/>
      <c r="I46" s="6"/>
      <c r="J46" s="6"/>
    </row>
    <row r="47" spans="1:10" x14ac:dyDescent="0.25">
      <c r="A47" s="4"/>
      <c r="B47" s="5"/>
      <c r="C47" s="6"/>
      <c r="D47" s="6"/>
      <c r="E47" s="6"/>
      <c r="F47" s="4"/>
      <c r="G47" s="6"/>
      <c r="H47" s="6"/>
      <c r="I47" s="6"/>
      <c r="J47" s="6"/>
    </row>
    <row r="48" spans="1:10" x14ac:dyDescent="0.25">
      <c r="A48" s="4"/>
      <c r="B48" s="5"/>
      <c r="C48" s="6"/>
      <c r="D48" s="6"/>
      <c r="E48" s="6"/>
      <c r="F48" s="4"/>
      <c r="G48" s="6"/>
      <c r="H48" s="6"/>
      <c r="I48" s="6"/>
      <c r="J48" s="6"/>
    </row>
    <row r="49" spans="1:10" x14ac:dyDescent="0.25">
      <c r="A49" s="4"/>
      <c r="B49" s="5"/>
      <c r="C49" s="6"/>
      <c r="D49" s="6"/>
      <c r="E49" s="6"/>
      <c r="F49" s="4"/>
      <c r="G49" s="6"/>
      <c r="H49" s="6"/>
      <c r="I49" s="6"/>
      <c r="J49" s="6"/>
    </row>
    <row r="50" spans="1:10" x14ac:dyDescent="0.25">
      <c r="A50" s="4"/>
      <c r="B50" s="5"/>
      <c r="C50" s="6"/>
      <c r="D50" s="6"/>
      <c r="E50" s="6"/>
      <c r="F50" s="4"/>
      <c r="G50" s="6"/>
      <c r="H50" s="6"/>
      <c r="I50" s="6"/>
      <c r="J50" s="6"/>
    </row>
    <row r="51" spans="1:10" x14ac:dyDescent="0.25">
      <c r="A51" s="4"/>
      <c r="B51" s="5"/>
      <c r="C51" s="6"/>
      <c r="D51" s="6"/>
      <c r="E51" s="6"/>
      <c r="F51" s="4"/>
      <c r="G51" s="6"/>
      <c r="H51" s="6"/>
      <c r="I51" s="6"/>
      <c r="J51" s="6"/>
    </row>
    <row r="52" spans="1:10" x14ac:dyDescent="0.25">
      <c r="A52" s="4"/>
      <c r="B52" s="5"/>
      <c r="C52" s="6"/>
      <c r="D52" s="6"/>
      <c r="E52" s="6"/>
      <c r="F52" s="4"/>
      <c r="G52" s="6"/>
      <c r="H52" s="6"/>
      <c r="I52" s="6"/>
      <c r="J52" s="6"/>
    </row>
    <row r="53" spans="1:10" x14ac:dyDescent="0.25">
      <c r="A53" s="4"/>
      <c r="B53" s="5"/>
      <c r="C53" s="6"/>
      <c r="D53" s="6"/>
      <c r="E53" s="6"/>
      <c r="F53" s="4"/>
      <c r="G53" s="6"/>
      <c r="H53" s="6"/>
      <c r="I53" s="6"/>
      <c r="J53" s="6"/>
    </row>
    <row r="54" spans="1:10" x14ac:dyDescent="0.25">
      <c r="A54" s="4"/>
      <c r="B54" s="5"/>
      <c r="C54" s="6"/>
      <c r="D54" s="6"/>
      <c r="E54" s="6"/>
      <c r="F54" s="4"/>
      <c r="G54" s="6"/>
      <c r="H54" s="6"/>
      <c r="I54" s="6"/>
      <c r="J54" s="6"/>
    </row>
    <row r="55" spans="1:10" x14ac:dyDescent="0.25">
      <c r="A55" s="4"/>
      <c r="B55" s="5"/>
      <c r="C55" s="6"/>
      <c r="D55" s="6"/>
      <c r="E55" s="6"/>
      <c r="F55" s="4"/>
      <c r="G55" s="6"/>
      <c r="H55" s="6"/>
      <c r="I55" s="6"/>
      <c r="J55" s="6"/>
    </row>
    <row r="56" spans="1:10" x14ac:dyDescent="0.25">
      <c r="A56" s="4"/>
      <c r="B56" s="5"/>
      <c r="C56" s="6"/>
      <c r="D56" s="6"/>
      <c r="E56" s="6"/>
      <c r="F56" s="4"/>
      <c r="G56" s="6"/>
      <c r="H56" s="6"/>
      <c r="I56" s="6"/>
      <c r="J56" s="6"/>
    </row>
    <row r="57" spans="1:10" x14ac:dyDescent="0.25">
      <c r="A57" s="4"/>
      <c r="B57" s="5"/>
      <c r="C57" s="6"/>
      <c r="D57" s="6"/>
      <c r="E57" s="6"/>
      <c r="F57" s="4"/>
      <c r="G57" s="6"/>
      <c r="H57" s="6"/>
      <c r="I57" s="6"/>
      <c r="J57" s="6"/>
    </row>
    <row r="58" spans="1:10" x14ac:dyDescent="0.25">
      <c r="A58" s="4"/>
      <c r="B58" s="5"/>
      <c r="C58" s="6"/>
      <c r="D58" s="6"/>
      <c r="E58" s="6"/>
      <c r="F58" s="4"/>
      <c r="G58" s="6"/>
      <c r="H58" s="6"/>
      <c r="I58" s="6"/>
      <c r="J58" s="6"/>
    </row>
    <row r="59" spans="1:10" x14ac:dyDescent="0.25">
      <c r="A59" s="7"/>
      <c r="B59" s="8"/>
      <c r="C59" s="9"/>
      <c r="D59" s="9"/>
      <c r="E59" s="9"/>
      <c r="F59" s="7"/>
      <c r="G59" s="9"/>
      <c r="H59" s="9"/>
      <c r="I59" s="9"/>
      <c r="J59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898B-7835-4CCA-97C3-B077F360EA4E}">
  <dimension ref="A1:U44"/>
  <sheetViews>
    <sheetView topLeftCell="A10" workbookViewId="0">
      <selection activeCell="B2" sqref="B2:F44"/>
    </sheetView>
  </sheetViews>
  <sheetFormatPr defaultRowHeight="15" x14ac:dyDescent="0.25"/>
  <sheetData>
    <row r="1" spans="1:21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</row>
    <row r="2" spans="1:21" x14ac:dyDescent="0.25">
      <c r="A2" s="1">
        <v>1983</v>
      </c>
      <c r="B2" s="29">
        <v>0.8</v>
      </c>
      <c r="C2" s="10">
        <f>M2+R2</f>
        <v>1.1299999999999999</v>
      </c>
      <c r="D2" s="10">
        <f>N2+S2</f>
        <v>0.92</v>
      </c>
      <c r="E2" s="10">
        <f>O2+T2</f>
        <v>0.75</v>
      </c>
      <c r="F2" s="10">
        <f>P2+U2</f>
        <v>0.67999999999999994</v>
      </c>
      <c r="G2" s="10"/>
      <c r="K2" s="12"/>
      <c r="L2" s="12"/>
      <c r="M2" s="2">
        <v>0.52</v>
      </c>
      <c r="N2" s="3">
        <v>0.46</v>
      </c>
      <c r="O2" s="3">
        <v>0.37</v>
      </c>
      <c r="P2" s="3">
        <v>0.32</v>
      </c>
      <c r="Q2" s="26">
        <v>0.8</v>
      </c>
      <c r="R2" s="3">
        <v>0.61</v>
      </c>
      <c r="S2" s="3">
        <v>0.46</v>
      </c>
      <c r="T2" s="3">
        <v>0.38</v>
      </c>
      <c r="U2" s="3">
        <v>0.36</v>
      </c>
    </row>
    <row r="3" spans="1:21" x14ac:dyDescent="0.25">
      <c r="A3" s="4">
        <v>1984</v>
      </c>
      <c r="B3" s="29">
        <v>0.8</v>
      </c>
      <c r="C3" s="10">
        <f t="shared" ref="C3:C44" si="0">M3+R3</f>
        <v>1.1299999999999999</v>
      </c>
      <c r="D3" s="10">
        <f t="shared" ref="D3:D44" si="1">N3+S3</f>
        <v>0.92</v>
      </c>
      <c r="E3" s="10">
        <f t="shared" ref="E3:E44" si="2">O3+T3</f>
        <v>0.75</v>
      </c>
      <c r="F3" s="10">
        <f t="shared" ref="F3:F44" si="3">P3+U3</f>
        <v>0.67999999999999994</v>
      </c>
      <c r="K3" s="12"/>
      <c r="L3" s="12"/>
      <c r="M3" s="5">
        <v>0.52</v>
      </c>
      <c r="N3" s="6">
        <v>0.46</v>
      </c>
      <c r="O3" s="6">
        <v>0.37</v>
      </c>
      <c r="P3" s="6">
        <v>0.32</v>
      </c>
      <c r="Q3" s="27">
        <v>0.8</v>
      </c>
      <c r="R3" s="6">
        <v>0.61</v>
      </c>
      <c r="S3" s="6">
        <v>0.46</v>
      </c>
      <c r="T3" s="6">
        <v>0.38</v>
      </c>
      <c r="U3" s="6">
        <v>0.36</v>
      </c>
    </row>
    <row r="4" spans="1:21" x14ac:dyDescent="0.25">
      <c r="A4" s="4">
        <v>1985</v>
      </c>
      <c r="B4" s="29">
        <v>0.8</v>
      </c>
      <c r="C4" s="10">
        <f t="shared" si="0"/>
        <v>1.1299999999999999</v>
      </c>
      <c r="D4" s="10">
        <f t="shared" si="1"/>
        <v>0.92</v>
      </c>
      <c r="E4" s="10">
        <f t="shared" si="2"/>
        <v>0.75</v>
      </c>
      <c r="F4" s="10">
        <f t="shared" si="3"/>
        <v>0.67999999999999994</v>
      </c>
      <c r="K4" s="12"/>
      <c r="L4" s="12"/>
      <c r="M4" s="5">
        <v>0.52</v>
      </c>
      <c r="N4" s="6">
        <v>0.46</v>
      </c>
      <c r="O4" s="6">
        <v>0.37</v>
      </c>
      <c r="P4" s="6">
        <v>0.32</v>
      </c>
      <c r="Q4" s="27">
        <v>0.8</v>
      </c>
      <c r="R4" s="6">
        <v>0.61</v>
      </c>
      <c r="S4" s="6">
        <v>0.46</v>
      </c>
      <c r="T4" s="6">
        <v>0.38</v>
      </c>
      <c r="U4" s="6">
        <v>0.36</v>
      </c>
    </row>
    <row r="5" spans="1:21" x14ac:dyDescent="0.25">
      <c r="A5" s="4">
        <v>1986</v>
      </c>
      <c r="B5" s="29">
        <v>0.8</v>
      </c>
      <c r="C5" s="10">
        <f t="shared" si="0"/>
        <v>1.1299999999999999</v>
      </c>
      <c r="D5" s="10">
        <f t="shared" si="1"/>
        <v>0.92</v>
      </c>
      <c r="E5" s="10">
        <f t="shared" si="2"/>
        <v>0.75</v>
      </c>
      <c r="F5" s="10">
        <f t="shared" si="3"/>
        <v>0.67999999999999994</v>
      </c>
      <c r="K5" s="12"/>
      <c r="L5" s="12"/>
      <c r="M5" s="5">
        <v>0.52</v>
      </c>
      <c r="N5" s="6">
        <v>0.46</v>
      </c>
      <c r="O5" s="6">
        <v>0.37</v>
      </c>
      <c r="P5" s="6">
        <v>0.32</v>
      </c>
      <c r="Q5" s="27">
        <v>0.8</v>
      </c>
      <c r="R5" s="6">
        <v>0.61</v>
      </c>
      <c r="S5" s="6">
        <v>0.46</v>
      </c>
      <c r="T5" s="6">
        <v>0.38</v>
      </c>
      <c r="U5" s="6">
        <v>0.36</v>
      </c>
    </row>
    <row r="6" spans="1:21" x14ac:dyDescent="0.25">
      <c r="A6" s="4">
        <v>1987</v>
      </c>
      <c r="B6" s="29">
        <v>0.8</v>
      </c>
      <c r="C6" s="10">
        <f t="shared" si="0"/>
        <v>1.1299999999999999</v>
      </c>
      <c r="D6" s="10">
        <f t="shared" si="1"/>
        <v>0.92</v>
      </c>
      <c r="E6" s="10">
        <f t="shared" si="2"/>
        <v>0.75</v>
      </c>
      <c r="F6" s="10">
        <f t="shared" si="3"/>
        <v>0.67999999999999994</v>
      </c>
      <c r="K6" s="12"/>
      <c r="L6" s="12"/>
      <c r="M6" s="5">
        <v>0.52</v>
      </c>
      <c r="N6" s="6">
        <v>0.46</v>
      </c>
      <c r="O6" s="6">
        <v>0.37</v>
      </c>
      <c r="P6" s="6">
        <v>0.32</v>
      </c>
      <c r="Q6" s="27">
        <v>0.8</v>
      </c>
      <c r="R6" s="6">
        <v>0.61</v>
      </c>
      <c r="S6" s="6">
        <v>0.46</v>
      </c>
      <c r="T6" s="6">
        <v>0.38</v>
      </c>
      <c r="U6" s="6">
        <v>0.36</v>
      </c>
    </row>
    <row r="7" spans="1:21" x14ac:dyDescent="0.25">
      <c r="A7" s="4">
        <v>1988</v>
      </c>
      <c r="B7" s="29">
        <v>0.8</v>
      </c>
      <c r="C7" s="10">
        <f t="shared" si="0"/>
        <v>1.1299999999999999</v>
      </c>
      <c r="D7" s="10">
        <f t="shared" si="1"/>
        <v>0.92</v>
      </c>
      <c r="E7" s="10">
        <f t="shared" si="2"/>
        <v>0.75</v>
      </c>
      <c r="F7" s="10">
        <f t="shared" si="3"/>
        <v>0.67999999999999994</v>
      </c>
      <c r="K7" s="12"/>
      <c r="L7" s="12"/>
      <c r="M7" s="5">
        <v>0.52</v>
      </c>
      <c r="N7" s="6">
        <v>0.46</v>
      </c>
      <c r="O7" s="6">
        <v>0.37</v>
      </c>
      <c r="P7" s="6">
        <v>0.32</v>
      </c>
      <c r="Q7" s="27">
        <v>0.8</v>
      </c>
      <c r="R7" s="6">
        <v>0.61</v>
      </c>
      <c r="S7" s="6">
        <v>0.46</v>
      </c>
      <c r="T7" s="6">
        <v>0.38</v>
      </c>
      <c r="U7" s="6">
        <v>0.36</v>
      </c>
    </row>
    <row r="8" spans="1:21" x14ac:dyDescent="0.25">
      <c r="A8" s="4">
        <v>1989</v>
      </c>
      <c r="B8" s="29">
        <v>0.8</v>
      </c>
      <c r="C8" s="10">
        <f t="shared" si="0"/>
        <v>1.1299999999999999</v>
      </c>
      <c r="D8" s="10">
        <f t="shared" si="1"/>
        <v>0.92</v>
      </c>
      <c r="E8" s="10">
        <f t="shared" si="2"/>
        <v>0.75</v>
      </c>
      <c r="F8" s="10">
        <f t="shared" si="3"/>
        <v>0.67999999999999994</v>
      </c>
      <c r="K8" s="12"/>
      <c r="L8" s="12"/>
      <c r="M8" s="5">
        <v>0.52</v>
      </c>
      <c r="N8" s="6">
        <v>0.46</v>
      </c>
      <c r="O8" s="6">
        <v>0.37</v>
      </c>
      <c r="P8" s="6">
        <v>0.32</v>
      </c>
      <c r="Q8" s="27">
        <v>0.8</v>
      </c>
      <c r="R8" s="6">
        <v>0.61</v>
      </c>
      <c r="S8" s="6">
        <v>0.46</v>
      </c>
      <c r="T8" s="6">
        <v>0.38</v>
      </c>
      <c r="U8" s="6">
        <v>0.36</v>
      </c>
    </row>
    <row r="9" spans="1:21" x14ac:dyDescent="0.25">
      <c r="A9" s="4">
        <v>1990</v>
      </c>
      <c r="B9" s="29">
        <v>0.8</v>
      </c>
      <c r="C9" s="10">
        <f t="shared" si="0"/>
        <v>1.1299999999999999</v>
      </c>
      <c r="D9" s="10">
        <f t="shared" si="1"/>
        <v>0.92</v>
      </c>
      <c r="E9" s="10">
        <f t="shared" si="2"/>
        <v>0.75</v>
      </c>
      <c r="F9" s="10">
        <f t="shared" si="3"/>
        <v>0.67999999999999994</v>
      </c>
      <c r="K9" s="12"/>
      <c r="L9" s="12"/>
      <c r="M9" s="5">
        <v>0.52</v>
      </c>
      <c r="N9" s="6">
        <v>0.46</v>
      </c>
      <c r="O9" s="6">
        <v>0.37</v>
      </c>
      <c r="P9" s="6">
        <v>0.32</v>
      </c>
      <c r="Q9" s="27">
        <v>0.8</v>
      </c>
      <c r="R9" s="6">
        <v>0.61</v>
      </c>
      <c r="S9" s="6">
        <v>0.46</v>
      </c>
      <c r="T9" s="6">
        <v>0.38</v>
      </c>
      <c r="U9" s="6">
        <v>0.36</v>
      </c>
    </row>
    <row r="10" spans="1:21" x14ac:dyDescent="0.25">
      <c r="A10" s="4">
        <v>1991</v>
      </c>
      <c r="B10" s="29">
        <v>0.8</v>
      </c>
      <c r="C10" s="10">
        <f t="shared" si="0"/>
        <v>1.1299999999999999</v>
      </c>
      <c r="D10" s="10">
        <f t="shared" si="1"/>
        <v>0.92</v>
      </c>
      <c r="E10" s="10">
        <f t="shared" si="2"/>
        <v>0.75</v>
      </c>
      <c r="F10" s="10">
        <f t="shared" si="3"/>
        <v>0.67999999999999994</v>
      </c>
      <c r="K10" s="12"/>
      <c r="L10" s="12"/>
      <c r="M10" s="5">
        <v>0.52</v>
      </c>
      <c r="N10" s="6">
        <v>0.46</v>
      </c>
      <c r="O10" s="6">
        <v>0.37</v>
      </c>
      <c r="P10" s="6">
        <v>0.32</v>
      </c>
      <c r="Q10" s="27">
        <v>0.8</v>
      </c>
      <c r="R10" s="6">
        <v>0.61</v>
      </c>
      <c r="S10" s="6">
        <v>0.46</v>
      </c>
      <c r="T10" s="6">
        <v>0.38</v>
      </c>
      <c r="U10" s="6">
        <v>0.36</v>
      </c>
    </row>
    <row r="11" spans="1:21" x14ac:dyDescent="0.25">
      <c r="A11" s="4">
        <v>1992</v>
      </c>
      <c r="B11" s="29">
        <v>0.8</v>
      </c>
      <c r="C11" s="10">
        <f t="shared" si="0"/>
        <v>1.1299999999999999</v>
      </c>
      <c r="D11" s="10">
        <f t="shared" si="1"/>
        <v>0.92</v>
      </c>
      <c r="E11" s="10">
        <f t="shared" si="2"/>
        <v>0.75</v>
      </c>
      <c r="F11" s="10">
        <f t="shared" si="3"/>
        <v>0.67999999999999994</v>
      </c>
      <c r="K11" s="12"/>
      <c r="L11" s="12"/>
      <c r="M11" s="5">
        <v>0.52</v>
      </c>
      <c r="N11" s="6">
        <v>0.46</v>
      </c>
      <c r="O11" s="6">
        <v>0.37</v>
      </c>
      <c r="P11" s="6">
        <v>0.32</v>
      </c>
      <c r="Q11" s="27">
        <v>0.8</v>
      </c>
      <c r="R11" s="6">
        <v>0.61</v>
      </c>
      <c r="S11" s="6">
        <v>0.46</v>
      </c>
      <c r="T11" s="6">
        <v>0.38</v>
      </c>
      <c r="U11" s="6">
        <v>0.36</v>
      </c>
    </row>
    <row r="12" spans="1:21" x14ac:dyDescent="0.25">
      <c r="A12" s="4">
        <v>1993</v>
      </c>
      <c r="B12" s="29">
        <v>0.8</v>
      </c>
      <c r="C12" s="10">
        <f t="shared" si="0"/>
        <v>1.1299999999999999</v>
      </c>
      <c r="D12" s="10">
        <f t="shared" si="1"/>
        <v>0.92</v>
      </c>
      <c r="E12" s="10">
        <f t="shared" si="2"/>
        <v>0.75</v>
      </c>
      <c r="F12" s="10">
        <f t="shared" si="3"/>
        <v>0.67999999999999994</v>
      </c>
      <c r="K12" s="12"/>
      <c r="L12" s="12"/>
      <c r="M12" s="5">
        <v>0.52</v>
      </c>
      <c r="N12" s="6">
        <v>0.46</v>
      </c>
      <c r="O12" s="6">
        <v>0.37</v>
      </c>
      <c r="P12" s="6">
        <v>0.32</v>
      </c>
      <c r="Q12" s="27">
        <v>0.8</v>
      </c>
      <c r="R12" s="6">
        <v>0.61</v>
      </c>
      <c r="S12" s="6">
        <v>0.46</v>
      </c>
      <c r="T12" s="6">
        <v>0.38</v>
      </c>
      <c r="U12" s="6">
        <v>0.36</v>
      </c>
    </row>
    <row r="13" spans="1:21" x14ac:dyDescent="0.25">
      <c r="A13" s="4">
        <v>1994</v>
      </c>
      <c r="B13" s="29">
        <v>0.8</v>
      </c>
      <c r="C13" s="10">
        <f t="shared" si="0"/>
        <v>1.1299999999999999</v>
      </c>
      <c r="D13" s="10">
        <f t="shared" si="1"/>
        <v>0.92</v>
      </c>
      <c r="E13" s="10">
        <f t="shared" si="2"/>
        <v>0.75</v>
      </c>
      <c r="F13" s="10">
        <f t="shared" si="3"/>
        <v>0.67999999999999994</v>
      </c>
      <c r="K13" s="12"/>
      <c r="L13" s="12"/>
      <c r="M13" s="5">
        <v>0.52</v>
      </c>
      <c r="N13" s="6">
        <v>0.46</v>
      </c>
      <c r="O13" s="6">
        <v>0.37</v>
      </c>
      <c r="P13" s="6">
        <v>0.32</v>
      </c>
      <c r="Q13" s="27">
        <v>0.8</v>
      </c>
      <c r="R13" s="6">
        <v>0.61</v>
      </c>
      <c r="S13" s="6">
        <v>0.46</v>
      </c>
      <c r="T13" s="6">
        <v>0.38</v>
      </c>
      <c r="U13" s="6">
        <v>0.36</v>
      </c>
    </row>
    <row r="14" spans="1:21" x14ac:dyDescent="0.25">
      <c r="A14" s="4">
        <v>1995</v>
      </c>
      <c r="B14" s="29">
        <v>0.8</v>
      </c>
      <c r="C14" s="10">
        <f t="shared" si="0"/>
        <v>1.1299999999999999</v>
      </c>
      <c r="D14" s="10">
        <f t="shared" si="1"/>
        <v>0.92</v>
      </c>
      <c r="E14" s="10">
        <f t="shared" si="2"/>
        <v>0.75</v>
      </c>
      <c r="F14" s="10">
        <f t="shared" si="3"/>
        <v>0.67999999999999994</v>
      </c>
      <c r="K14" s="12"/>
      <c r="L14" s="12"/>
      <c r="M14" s="5">
        <v>0.52</v>
      </c>
      <c r="N14" s="6">
        <v>0.46</v>
      </c>
      <c r="O14" s="6">
        <v>0.37</v>
      </c>
      <c r="P14" s="6">
        <v>0.32</v>
      </c>
      <c r="Q14" s="27">
        <v>0.8</v>
      </c>
      <c r="R14" s="6">
        <v>0.61</v>
      </c>
      <c r="S14" s="6">
        <v>0.46</v>
      </c>
      <c r="T14" s="6">
        <v>0.38</v>
      </c>
      <c r="U14" s="6">
        <v>0.36</v>
      </c>
    </row>
    <row r="15" spans="1:21" x14ac:dyDescent="0.25">
      <c r="A15" s="4">
        <v>1996</v>
      </c>
      <c r="B15" s="29">
        <v>0.8</v>
      </c>
      <c r="C15" s="10">
        <f t="shared" si="0"/>
        <v>1.1299999999999999</v>
      </c>
      <c r="D15" s="10">
        <f t="shared" si="1"/>
        <v>0.92</v>
      </c>
      <c r="E15" s="10">
        <f t="shared" si="2"/>
        <v>0.75</v>
      </c>
      <c r="F15" s="10">
        <f t="shared" si="3"/>
        <v>0.67999999999999994</v>
      </c>
      <c r="K15" s="12"/>
      <c r="L15" s="12"/>
      <c r="M15" s="5">
        <v>0.52</v>
      </c>
      <c r="N15" s="6">
        <v>0.46</v>
      </c>
      <c r="O15" s="6">
        <v>0.37</v>
      </c>
      <c r="P15" s="6">
        <v>0.32</v>
      </c>
      <c r="Q15" s="27">
        <v>0.8</v>
      </c>
      <c r="R15" s="6">
        <v>0.61</v>
      </c>
      <c r="S15" s="6">
        <v>0.46</v>
      </c>
      <c r="T15" s="6">
        <v>0.38</v>
      </c>
      <c r="U15" s="6">
        <v>0.36</v>
      </c>
    </row>
    <row r="16" spans="1:21" x14ac:dyDescent="0.25">
      <c r="A16" s="4">
        <v>1997</v>
      </c>
      <c r="B16" s="29">
        <v>0.8</v>
      </c>
      <c r="C16" s="10">
        <f t="shared" si="0"/>
        <v>1.1299999999999999</v>
      </c>
      <c r="D16" s="10">
        <f t="shared" si="1"/>
        <v>0.92</v>
      </c>
      <c r="E16" s="10">
        <f t="shared" si="2"/>
        <v>0.75</v>
      </c>
      <c r="F16" s="10">
        <f t="shared" si="3"/>
        <v>0.67999999999999994</v>
      </c>
      <c r="K16" s="12"/>
      <c r="L16" s="12"/>
      <c r="M16" s="5">
        <v>0.52</v>
      </c>
      <c r="N16" s="6">
        <v>0.46</v>
      </c>
      <c r="O16" s="6">
        <v>0.37</v>
      </c>
      <c r="P16" s="6">
        <v>0.32</v>
      </c>
      <c r="Q16" s="27">
        <v>0.8</v>
      </c>
      <c r="R16" s="6">
        <v>0.61</v>
      </c>
      <c r="S16" s="6">
        <v>0.46</v>
      </c>
      <c r="T16" s="6">
        <v>0.38</v>
      </c>
      <c r="U16" s="6">
        <v>0.36</v>
      </c>
    </row>
    <row r="17" spans="1:21" x14ac:dyDescent="0.25">
      <c r="A17" s="4">
        <v>1998</v>
      </c>
      <c r="B17" s="29">
        <v>0.8</v>
      </c>
      <c r="C17" s="10">
        <f t="shared" si="0"/>
        <v>1.1299999999999999</v>
      </c>
      <c r="D17" s="10">
        <f t="shared" si="1"/>
        <v>0.92</v>
      </c>
      <c r="E17" s="10">
        <f t="shared" si="2"/>
        <v>0.75</v>
      </c>
      <c r="F17" s="10">
        <f t="shared" si="3"/>
        <v>0.67999999999999994</v>
      </c>
      <c r="K17" s="12"/>
      <c r="L17" s="12"/>
      <c r="M17" s="5">
        <v>0.52</v>
      </c>
      <c r="N17" s="6">
        <v>0.46</v>
      </c>
      <c r="O17" s="6">
        <v>0.37</v>
      </c>
      <c r="P17" s="6">
        <v>0.32</v>
      </c>
      <c r="Q17" s="27">
        <v>0.8</v>
      </c>
      <c r="R17" s="6">
        <v>0.61</v>
      </c>
      <c r="S17" s="6">
        <v>0.46</v>
      </c>
      <c r="T17" s="6">
        <v>0.38</v>
      </c>
      <c r="U17" s="6">
        <v>0.36</v>
      </c>
    </row>
    <row r="18" spans="1:21" x14ac:dyDescent="0.25">
      <c r="A18" s="4">
        <v>1999</v>
      </c>
      <c r="B18" s="29">
        <v>0.8</v>
      </c>
      <c r="C18" s="10">
        <f t="shared" si="0"/>
        <v>1.1299999999999999</v>
      </c>
      <c r="D18" s="10">
        <f t="shared" si="1"/>
        <v>0.92</v>
      </c>
      <c r="E18" s="10">
        <f t="shared" si="2"/>
        <v>0.75</v>
      </c>
      <c r="F18" s="10">
        <f t="shared" si="3"/>
        <v>0.67999999999999994</v>
      </c>
      <c r="K18" s="12"/>
      <c r="L18" s="12"/>
      <c r="M18" s="5">
        <v>0.52</v>
      </c>
      <c r="N18" s="6">
        <v>0.46</v>
      </c>
      <c r="O18" s="6">
        <v>0.37</v>
      </c>
      <c r="P18" s="6">
        <v>0.32</v>
      </c>
      <c r="Q18" s="27">
        <v>0.8</v>
      </c>
      <c r="R18" s="6">
        <v>0.61</v>
      </c>
      <c r="S18" s="6">
        <v>0.46</v>
      </c>
      <c r="T18" s="6">
        <v>0.38</v>
      </c>
      <c r="U18" s="6">
        <v>0.36</v>
      </c>
    </row>
    <row r="19" spans="1:21" x14ac:dyDescent="0.25">
      <c r="A19" s="4">
        <v>2000</v>
      </c>
      <c r="B19" s="29">
        <v>0.8</v>
      </c>
      <c r="C19" s="10">
        <f t="shared" si="0"/>
        <v>1.1299999999999999</v>
      </c>
      <c r="D19" s="10">
        <f t="shared" si="1"/>
        <v>0.92</v>
      </c>
      <c r="E19" s="10">
        <f t="shared" si="2"/>
        <v>0.75</v>
      </c>
      <c r="F19" s="10">
        <f t="shared" si="3"/>
        <v>0.67999999999999994</v>
      </c>
      <c r="K19" s="12"/>
      <c r="L19" s="12"/>
      <c r="M19" s="5">
        <v>0.52</v>
      </c>
      <c r="N19" s="6">
        <v>0.46</v>
      </c>
      <c r="O19" s="6">
        <v>0.37</v>
      </c>
      <c r="P19" s="6">
        <v>0.32</v>
      </c>
      <c r="Q19" s="27">
        <v>0.8</v>
      </c>
      <c r="R19" s="6">
        <v>0.61</v>
      </c>
      <c r="S19" s="6">
        <v>0.46</v>
      </c>
      <c r="T19" s="6">
        <v>0.38</v>
      </c>
      <c r="U19" s="6">
        <v>0.36</v>
      </c>
    </row>
    <row r="20" spans="1:21" x14ac:dyDescent="0.25">
      <c r="A20" s="4">
        <v>2001</v>
      </c>
      <c r="B20" s="29">
        <v>0.8</v>
      </c>
      <c r="C20" s="10">
        <f t="shared" si="0"/>
        <v>1.1299999999999999</v>
      </c>
      <c r="D20" s="10">
        <f t="shared" si="1"/>
        <v>0.92</v>
      </c>
      <c r="E20" s="10">
        <f t="shared" si="2"/>
        <v>0.75</v>
      </c>
      <c r="F20" s="10">
        <f t="shared" si="3"/>
        <v>0.67999999999999994</v>
      </c>
      <c r="K20" s="12"/>
      <c r="L20" s="12"/>
      <c r="M20" s="5">
        <v>0.52</v>
      </c>
      <c r="N20" s="6">
        <v>0.46</v>
      </c>
      <c r="O20" s="6">
        <v>0.37</v>
      </c>
      <c r="P20" s="6">
        <v>0.32</v>
      </c>
      <c r="Q20" s="27">
        <v>0.8</v>
      </c>
      <c r="R20" s="6">
        <v>0.61</v>
      </c>
      <c r="S20" s="6">
        <v>0.46</v>
      </c>
      <c r="T20" s="6">
        <v>0.38</v>
      </c>
      <c r="U20" s="6">
        <v>0.36</v>
      </c>
    </row>
    <row r="21" spans="1:21" x14ac:dyDescent="0.25">
      <c r="A21" s="4">
        <v>2002</v>
      </c>
      <c r="B21" s="29">
        <v>0.8</v>
      </c>
      <c r="C21" s="10">
        <f t="shared" si="0"/>
        <v>1.1299999999999999</v>
      </c>
      <c r="D21" s="10">
        <f t="shared" si="1"/>
        <v>0.92</v>
      </c>
      <c r="E21" s="10">
        <f t="shared" si="2"/>
        <v>0.75</v>
      </c>
      <c r="F21" s="10">
        <f t="shared" si="3"/>
        <v>0.67999999999999994</v>
      </c>
      <c r="K21" s="12"/>
      <c r="L21" s="12"/>
      <c r="M21" s="5">
        <v>0.52</v>
      </c>
      <c r="N21" s="6">
        <v>0.46</v>
      </c>
      <c r="O21" s="6">
        <v>0.37</v>
      </c>
      <c r="P21" s="6">
        <v>0.32</v>
      </c>
      <c r="Q21" s="27">
        <v>0.8</v>
      </c>
      <c r="R21" s="6">
        <v>0.61</v>
      </c>
      <c r="S21" s="6">
        <v>0.46</v>
      </c>
      <c r="T21" s="6">
        <v>0.38</v>
      </c>
      <c r="U21" s="6">
        <v>0.36</v>
      </c>
    </row>
    <row r="22" spans="1:21" x14ac:dyDescent="0.25">
      <c r="A22" s="4">
        <v>2003</v>
      </c>
      <c r="B22" s="29">
        <v>0.8</v>
      </c>
      <c r="C22" s="10">
        <f t="shared" si="0"/>
        <v>1.1299999999999999</v>
      </c>
      <c r="D22" s="10">
        <f t="shared" si="1"/>
        <v>0.92</v>
      </c>
      <c r="E22" s="10">
        <f t="shared" si="2"/>
        <v>0.75</v>
      </c>
      <c r="F22" s="10">
        <f t="shared" si="3"/>
        <v>0.67999999999999994</v>
      </c>
      <c r="K22" s="12"/>
      <c r="L22" s="12"/>
      <c r="M22" s="5">
        <v>0.52</v>
      </c>
      <c r="N22" s="6">
        <v>0.46</v>
      </c>
      <c r="O22" s="6">
        <v>0.37</v>
      </c>
      <c r="P22" s="6">
        <v>0.32</v>
      </c>
      <c r="Q22" s="27">
        <v>0.8</v>
      </c>
      <c r="R22" s="6">
        <v>0.61</v>
      </c>
      <c r="S22" s="6">
        <v>0.46</v>
      </c>
      <c r="T22" s="6">
        <v>0.38</v>
      </c>
      <c r="U22" s="6">
        <v>0.36</v>
      </c>
    </row>
    <row r="23" spans="1:21" x14ac:dyDescent="0.25">
      <c r="A23" s="4">
        <v>2004</v>
      </c>
      <c r="B23" s="29">
        <v>0.8</v>
      </c>
      <c r="C23" s="10">
        <f t="shared" si="0"/>
        <v>1.1299999999999999</v>
      </c>
      <c r="D23" s="10">
        <f t="shared" si="1"/>
        <v>0.92</v>
      </c>
      <c r="E23" s="10">
        <f t="shared" si="2"/>
        <v>0.75</v>
      </c>
      <c r="F23" s="10">
        <f t="shared" si="3"/>
        <v>0.67999999999999994</v>
      </c>
      <c r="K23" s="12"/>
      <c r="L23" s="12"/>
      <c r="M23" s="5">
        <v>0.52</v>
      </c>
      <c r="N23" s="6">
        <v>0.46</v>
      </c>
      <c r="O23" s="6">
        <v>0.37</v>
      </c>
      <c r="P23" s="6">
        <v>0.32</v>
      </c>
      <c r="Q23" s="27">
        <v>0.8</v>
      </c>
      <c r="R23" s="6">
        <v>0.61</v>
      </c>
      <c r="S23" s="6">
        <v>0.46</v>
      </c>
      <c r="T23" s="6">
        <v>0.38</v>
      </c>
      <c r="U23" s="6">
        <v>0.36</v>
      </c>
    </row>
    <row r="24" spans="1:21" x14ac:dyDescent="0.25">
      <c r="A24" s="4">
        <v>2005</v>
      </c>
      <c r="B24" s="29">
        <v>0.8</v>
      </c>
      <c r="C24" s="10">
        <f t="shared" si="0"/>
        <v>1.1299999999999999</v>
      </c>
      <c r="D24" s="10">
        <f t="shared" si="1"/>
        <v>0.92</v>
      </c>
      <c r="E24" s="10">
        <f t="shared" si="2"/>
        <v>0.75</v>
      </c>
      <c r="F24" s="10">
        <f t="shared" si="3"/>
        <v>0.67999999999999994</v>
      </c>
      <c r="K24" s="12"/>
      <c r="L24" s="12"/>
      <c r="M24" s="5">
        <v>0.52</v>
      </c>
      <c r="N24" s="6">
        <v>0.46</v>
      </c>
      <c r="O24" s="6">
        <v>0.37</v>
      </c>
      <c r="P24" s="6">
        <v>0.32</v>
      </c>
      <c r="Q24" s="27">
        <v>0.8</v>
      </c>
      <c r="R24" s="6">
        <v>0.61</v>
      </c>
      <c r="S24" s="6">
        <v>0.46</v>
      </c>
      <c r="T24" s="6">
        <v>0.38</v>
      </c>
      <c r="U24" s="6">
        <v>0.36</v>
      </c>
    </row>
    <row r="25" spans="1:21" x14ac:dyDescent="0.25">
      <c r="A25" s="4">
        <v>2006</v>
      </c>
      <c r="B25" s="29">
        <v>0.8</v>
      </c>
      <c r="C25" s="10">
        <f t="shared" si="0"/>
        <v>1.1299999999999999</v>
      </c>
      <c r="D25" s="10">
        <f t="shared" si="1"/>
        <v>0.92</v>
      </c>
      <c r="E25" s="10">
        <f t="shared" si="2"/>
        <v>0.75</v>
      </c>
      <c r="F25" s="10">
        <f t="shared" si="3"/>
        <v>0.67999999999999994</v>
      </c>
      <c r="K25" s="12"/>
      <c r="L25" s="12"/>
      <c r="M25" s="5">
        <v>0.52</v>
      </c>
      <c r="N25" s="6">
        <v>0.46</v>
      </c>
      <c r="O25" s="6">
        <v>0.37</v>
      </c>
      <c r="P25" s="6">
        <v>0.32</v>
      </c>
      <c r="Q25" s="27">
        <v>0.8</v>
      </c>
      <c r="R25" s="6">
        <v>0.61</v>
      </c>
      <c r="S25" s="6">
        <v>0.46</v>
      </c>
      <c r="T25" s="6">
        <v>0.38</v>
      </c>
      <c r="U25" s="6">
        <v>0.36</v>
      </c>
    </row>
    <row r="26" spans="1:21" x14ac:dyDescent="0.25">
      <c r="A26" s="4">
        <v>2007</v>
      </c>
      <c r="B26" s="29">
        <v>0.8</v>
      </c>
      <c r="C26" s="10">
        <f t="shared" si="0"/>
        <v>1.1299999999999999</v>
      </c>
      <c r="D26" s="10">
        <f t="shared" si="1"/>
        <v>0.92</v>
      </c>
      <c r="E26" s="10">
        <f t="shared" si="2"/>
        <v>0.75</v>
      </c>
      <c r="F26" s="10">
        <f t="shared" si="3"/>
        <v>0.67999999999999994</v>
      </c>
      <c r="K26" s="12"/>
      <c r="L26" s="12"/>
      <c r="M26" s="5">
        <v>0.52</v>
      </c>
      <c r="N26" s="6">
        <v>0.46</v>
      </c>
      <c r="O26" s="6">
        <v>0.37</v>
      </c>
      <c r="P26" s="6">
        <v>0.32</v>
      </c>
      <c r="Q26" s="27">
        <v>0.8</v>
      </c>
      <c r="R26" s="6">
        <v>0.61</v>
      </c>
      <c r="S26" s="6">
        <v>0.46</v>
      </c>
      <c r="T26" s="6">
        <v>0.38</v>
      </c>
      <c r="U26" s="6">
        <v>0.36</v>
      </c>
    </row>
    <row r="27" spans="1:21" x14ac:dyDescent="0.25">
      <c r="A27" s="4">
        <v>2008</v>
      </c>
      <c r="B27" s="29">
        <v>0.8</v>
      </c>
      <c r="C27" s="10">
        <f t="shared" si="0"/>
        <v>1.1299999999999999</v>
      </c>
      <c r="D27" s="10">
        <f t="shared" si="1"/>
        <v>0.92</v>
      </c>
      <c r="E27" s="10">
        <f t="shared" si="2"/>
        <v>0.75</v>
      </c>
      <c r="F27" s="10">
        <f t="shared" si="3"/>
        <v>0.67999999999999994</v>
      </c>
      <c r="K27" s="12"/>
      <c r="L27" s="12"/>
      <c r="M27" s="5">
        <v>0.52</v>
      </c>
      <c r="N27" s="6">
        <v>0.46</v>
      </c>
      <c r="O27" s="6">
        <v>0.37</v>
      </c>
      <c r="P27" s="6">
        <v>0.32</v>
      </c>
      <c r="Q27" s="27">
        <v>0.8</v>
      </c>
      <c r="R27" s="6">
        <v>0.61</v>
      </c>
      <c r="S27" s="6">
        <v>0.46</v>
      </c>
      <c r="T27" s="6">
        <v>0.38</v>
      </c>
      <c r="U27" s="6">
        <v>0.36</v>
      </c>
    </row>
    <row r="28" spans="1:21" x14ac:dyDescent="0.25">
      <c r="A28" s="4">
        <v>2009</v>
      </c>
      <c r="B28" s="29">
        <v>0.8</v>
      </c>
      <c r="C28" s="10">
        <f t="shared" si="0"/>
        <v>1.1299999999999999</v>
      </c>
      <c r="D28" s="10">
        <f t="shared" si="1"/>
        <v>0.92</v>
      </c>
      <c r="E28" s="10">
        <f t="shared" si="2"/>
        <v>0.75</v>
      </c>
      <c r="F28" s="10">
        <f t="shared" si="3"/>
        <v>0.67999999999999994</v>
      </c>
      <c r="K28" s="12"/>
      <c r="L28" s="12"/>
      <c r="M28" s="5">
        <v>0.52</v>
      </c>
      <c r="N28" s="6">
        <v>0.46</v>
      </c>
      <c r="O28" s="6">
        <v>0.37</v>
      </c>
      <c r="P28" s="6">
        <v>0.32</v>
      </c>
      <c r="Q28" s="27">
        <v>0.8</v>
      </c>
      <c r="R28" s="6">
        <v>0.61</v>
      </c>
      <c r="S28" s="6">
        <v>0.46</v>
      </c>
      <c r="T28" s="6">
        <v>0.38</v>
      </c>
      <c r="U28" s="6">
        <v>0.36</v>
      </c>
    </row>
    <row r="29" spans="1:21" x14ac:dyDescent="0.25">
      <c r="A29" s="7">
        <v>2010</v>
      </c>
      <c r="B29" s="29">
        <v>0.8</v>
      </c>
      <c r="C29" s="10">
        <f t="shared" si="0"/>
        <v>1.1299999999999999</v>
      </c>
      <c r="D29" s="10">
        <f t="shared" si="1"/>
        <v>0.92</v>
      </c>
      <c r="E29" s="10">
        <f t="shared" si="2"/>
        <v>0.75</v>
      </c>
      <c r="F29" s="10">
        <f t="shared" si="3"/>
        <v>0.67999999999999994</v>
      </c>
      <c r="K29" s="12"/>
      <c r="L29" s="12"/>
      <c r="M29" s="8">
        <v>0.52</v>
      </c>
      <c r="N29" s="9">
        <v>0.46</v>
      </c>
      <c r="O29" s="9">
        <v>0.37</v>
      </c>
      <c r="P29" s="9">
        <v>0.32</v>
      </c>
      <c r="Q29" s="28">
        <v>0.8</v>
      </c>
      <c r="R29" s="9">
        <v>0.61</v>
      </c>
      <c r="S29" s="9">
        <v>0.46</v>
      </c>
      <c r="T29" s="9">
        <v>0.38</v>
      </c>
      <c r="U29" s="9">
        <v>0.36</v>
      </c>
    </row>
    <row r="30" spans="1:21" x14ac:dyDescent="0.25">
      <c r="A30" s="1">
        <v>2011</v>
      </c>
      <c r="B30" s="29">
        <v>0.8</v>
      </c>
      <c r="C30" s="10">
        <f t="shared" si="0"/>
        <v>1.1299999999999999</v>
      </c>
      <c r="D30" s="10">
        <f t="shared" si="1"/>
        <v>0.92</v>
      </c>
      <c r="E30" s="10">
        <f t="shared" si="2"/>
        <v>0.75</v>
      </c>
      <c r="F30" s="10">
        <f t="shared" si="3"/>
        <v>0.67999999999999994</v>
      </c>
      <c r="K30" s="12"/>
      <c r="L30" s="12"/>
      <c r="M30" s="2">
        <v>0.52</v>
      </c>
      <c r="N30" s="3">
        <v>0.46</v>
      </c>
      <c r="O30" s="3">
        <v>0.37</v>
      </c>
      <c r="P30" s="3">
        <v>0.32</v>
      </c>
      <c r="Q30" s="26">
        <v>0.8</v>
      </c>
      <c r="R30" s="3">
        <v>0.61</v>
      </c>
      <c r="S30" s="3">
        <v>0.46</v>
      </c>
      <c r="T30" s="3">
        <v>0.38</v>
      </c>
      <c r="U30" s="3">
        <v>0.36</v>
      </c>
    </row>
    <row r="31" spans="1:21" x14ac:dyDescent="0.25">
      <c r="A31" s="4">
        <v>2012</v>
      </c>
      <c r="B31" s="29">
        <v>0.8</v>
      </c>
      <c r="C31" s="10">
        <f t="shared" si="0"/>
        <v>1.1299999999999999</v>
      </c>
      <c r="D31" s="10">
        <f t="shared" si="1"/>
        <v>0.92</v>
      </c>
      <c r="E31" s="10">
        <f t="shared" si="2"/>
        <v>0.75</v>
      </c>
      <c r="F31" s="10">
        <f t="shared" si="3"/>
        <v>0.67999999999999994</v>
      </c>
      <c r="K31" s="12"/>
      <c r="L31" s="12"/>
      <c r="M31" s="5">
        <v>0.52</v>
      </c>
      <c r="N31" s="6">
        <v>0.46</v>
      </c>
      <c r="O31" s="6">
        <v>0.37</v>
      </c>
      <c r="P31" s="6">
        <v>0.32</v>
      </c>
      <c r="Q31" s="27">
        <v>0.8</v>
      </c>
      <c r="R31" s="6">
        <v>0.61</v>
      </c>
      <c r="S31" s="6">
        <v>0.46</v>
      </c>
      <c r="T31" s="6">
        <v>0.38</v>
      </c>
      <c r="U31" s="6">
        <v>0.36</v>
      </c>
    </row>
    <row r="32" spans="1:21" x14ac:dyDescent="0.25">
      <c r="A32" s="4">
        <v>2013</v>
      </c>
      <c r="B32" s="29">
        <v>0.8</v>
      </c>
      <c r="C32" s="10">
        <f t="shared" si="0"/>
        <v>1.1299999999999999</v>
      </c>
      <c r="D32" s="10">
        <f t="shared" si="1"/>
        <v>0.92</v>
      </c>
      <c r="E32" s="10">
        <f t="shared" si="2"/>
        <v>0.75</v>
      </c>
      <c r="F32" s="10">
        <f t="shared" si="3"/>
        <v>0.67999999999999994</v>
      </c>
      <c r="K32" s="12"/>
      <c r="L32" s="12"/>
      <c r="M32" s="5">
        <v>0.52</v>
      </c>
      <c r="N32" s="6">
        <v>0.46</v>
      </c>
      <c r="O32" s="6">
        <v>0.37</v>
      </c>
      <c r="P32" s="6">
        <v>0.32</v>
      </c>
      <c r="Q32" s="27">
        <v>0.8</v>
      </c>
      <c r="R32" s="6">
        <v>0.61</v>
      </c>
      <c r="S32" s="6">
        <v>0.46</v>
      </c>
      <c r="T32" s="6">
        <v>0.38</v>
      </c>
      <c r="U32" s="6">
        <v>0.36</v>
      </c>
    </row>
    <row r="33" spans="1:21" x14ac:dyDescent="0.25">
      <c r="A33" s="4">
        <v>2014</v>
      </c>
      <c r="B33" s="29">
        <v>0.8</v>
      </c>
      <c r="C33" s="10">
        <f t="shared" si="0"/>
        <v>1.1299999999999999</v>
      </c>
      <c r="D33" s="10">
        <f t="shared" si="1"/>
        <v>0.92</v>
      </c>
      <c r="E33" s="10">
        <f t="shared" si="2"/>
        <v>0.75</v>
      </c>
      <c r="F33" s="10">
        <f t="shared" si="3"/>
        <v>0.67999999999999994</v>
      </c>
      <c r="K33" s="12"/>
      <c r="L33" s="12"/>
      <c r="M33" s="5">
        <v>0.52</v>
      </c>
      <c r="N33" s="6">
        <v>0.46</v>
      </c>
      <c r="O33" s="6">
        <v>0.37</v>
      </c>
      <c r="P33" s="6">
        <v>0.32</v>
      </c>
      <c r="Q33" s="27">
        <v>0.8</v>
      </c>
      <c r="R33" s="6">
        <v>0.61</v>
      </c>
      <c r="S33" s="6">
        <v>0.46</v>
      </c>
      <c r="T33" s="6">
        <v>0.38</v>
      </c>
      <c r="U33" s="6">
        <v>0.36</v>
      </c>
    </row>
    <row r="34" spans="1:21" x14ac:dyDescent="0.25">
      <c r="A34" s="4">
        <v>2015</v>
      </c>
      <c r="B34" s="29">
        <v>0.8</v>
      </c>
      <c r="C34" s="10">
        <f t="shared" si="0"/>
        <v>1.1299999999999999</v>
      </c>
      <c r="D34" s="10">
        <f t="shared" si="1"/>
        <v>0.92</v>
      </c>
      <c r="E34" s="10">
        <f t="shared" si="2"/>
        <v>0.75</v>
      </c>
      <c r="F34" s="10">
        <f t="shared" si="3"/>
        <v>0.67999999999999994</v>
      </c>
      <c r="K34" s="12"/>
      <c r="L34" s="12"/>
      <c r="M34" s="5">
        <v>0.52</v>
      </c>
      <c r="N34" s="6">
        <v>0.46</v>
      </c>
      <c r="O34" s="6">
        <v>0.37</v>
      </c>
      <c r="P34" s="6">
        <v>0.32</v>
      </c>
      <c r="Q34" s="27">
        <v>0.8</v>
      </c>
      <c r="R34" s="6">
        <v>0.61</v>
      </c>
      <c r="S34" s="6">
        <v>0.46</v>
      </c>
      <c r="T34" s="6">
        <v>0.38</v>
      </c>
      <c r="U34" s="6">
        <v>0.36</v>
      </c>
    </row>
    <row r="35" spans="1:21" x14ac:dyDescent="0.25">
      <c r="A35" s="4">
        <v>2016</v>
      </c>
      <c r="B35" s="29">
        <v>0.8</v>
      </c>
      <c r="C35" s="10">
        <f t="shared" si="0"/>
        <v>1.1299999999999999</v>
      </c>
      <c r="D35" s="10">
        <f t="shared" si="1"/>
        <v>0.92</v>
      </c>
      <c r="E35" s="10">
        <f t="shared" si="2"/>
        <v>0.75</v>
      </c>
      <c r="F35" s="10">
        <f t="shared" si="3"/>
        <v>0.67999999999999994</v>
      </c>
      <c r="K35" s="12"/>
      <c r="L35" s="12"/>
      <c r="M35" s="5">
        <v>0.52</v>
      </c>
      <c r="N35" s="6">
        <v>0.46</v>
      </c>
      <c r="O35" s="6">
        <v>0.37</v>
      </c>
      <c r="P35" s="6">
        <v>0.32</v>
      </c>
      <c r="Q35" s="27">
        <v>0.8</v>
      </c>
      <c r="R35" s="6">
        <v>0.61</v>
      </c>
      <c r="S35" s="6">
        <v>0.46</v>
      </c>
      <c r="T35" s="6">
        <v>0.38</v>
      </c>
      <c r="U35" s="6">
        <v>0.36</v>
      </c>
    </row>
    <row r="36" spans="1:21" x14ac:dyDescent="0.25">
      <c r="A36" s="4">
        <v>2017</v>
      </c>
      <c r="B36" s="29">
        <v>0.8</v>
      </c>
      <c r="C36" s="10">
        <f t="shared" si="0"/>
        <v>1.1299999999999999</v>
      </c>
      <c r="D36" s="10">
        <f t="shared" si="1"/>
        <v>0.92</v>
      </c>
      <c r="E36" s="10">
        <f t="shared" si="2"/>
        <v>0.75</v>
      </c>
      <c r="F36" s="10">
        <f t="shared" si="3"/>
        <v>0.67999999999999994</v>
      </c>
      <c r="K36" s="12"/>
      <c r="L36" s="12"/>
      <c r="M36" s="5">
        <v>0.52</v>
      </c>
      <c r="N36" s="6">
        <v>0.46</v>
      </c>
      <c r="O36" s="6">
        <v>0.37</v>
      </c>
      <c r="P36" s="6">
        <v>0.32</v>
      </c>
      <c r="Q36" s="27">
        <v>0.8</v>
      </c>
      <c r="R36" s="6">
        <v>0.61</v>
      </c>
      <c r="S36" s="6">
        <v>0.46</v>
      </c>
      <c r="T36" s="6">
        <v>0.38</v>
      </c>
      <c r="U36" s="6">
        <v>0.36</v>
      </c>
    </row>
    <row r="37" spans="1:21" x14ac:dyDescent="0.25">
      <c r="A37" s="4">
        <v>2018</v>
      </c>
      <c r="B37" s="29">
        <v>0.8</v>
      </c>
      <c r="C37" s="10">
        <f t="shared" si="0"/>
        <v>1.1299999999999999</v>
      </c>
      <c r="D37" s="10">
        <f t="shared" si="1"/>
        <v>0.92</v>
      </c>
      <c r="E37" s="10">
        <f t="shared" si="2"/>
        <v>0.75</v>
      </c>
      <c r="F37" s="10">
        <f t="shared" si="3"/>
        <v>0.67999999999999994</v>
      </c>
      <c r="K37" s="12"/>
      <c r="L37" s="12"/>
      <c r="M37" s="5">
        <v>0.52</v>
      </c>
      <c r="N37" s="6">
        <v>0.46</v>
      </c>
      <c r="O37" s="6">
        <v>0.37</v>
      </c>
      <c r="P37" s="6">
        <v>0.32</v>
      </c>
      <c r="Q37" s="27">
        <v>0.8</v>
      </c>
      <c r="R37" s="6">
        <v>0.61</v>
      </c>
      <c r="S37" s="6">
        <v>0.46</v>
      </c>
      <c r="T37" s="6">
        <v>0.38</v>
      </c>
      <c r="U37" s="6">
        <v>0.36</v>
      </c>
    </row>
    <row r="38" spans="1:21" x14ac:dyDescent="0.25">
      <c r="A38" s="4">
        <v>2019</v>
      </c>
      <c r="B38" s="29">
        <v>0.8</v>
      </c>
      <c r="C38" s="10">
        <f t="shared" si="0"/>
        <v>1.1299999999999999</v>
      </c>
      <c r="D38" s="10">
        <f t="shared" si="1"/>
        <v>0.92</v>
      </c>
      <c r="E38" s="10">
        <f t="shared" si="2"/>
        <v>0.75</v>
      </c>
      <c r="F38" s="10">
        <f t="shared" si="3"/>
        <v>0.67999999999999994</v>
      </c>
      <c r="K38" s="12"/>
      <c r="L38" s="12"/>
      <c r="M38" s="5">
        <v>0.52</v>
      </c>
      <c r="N38" s="6">
        <v>0.46</v>
      </c>
      <c r="O38" s="6">
        <v>0.37</v>
      </c>
      <c r="P38" s="6">
        <v>0.32</v>
      </c>
      <c r="Q38" s="27">
        <v>0.8</v>
      </c>
      <c r="R38" s="6">
        <v>0.61</v>
      </c>
      <c r="S38" s="6">
        <v>0.46</v>
      </c>
      <c r="T38" s="6">
        <v>0.38</v>
      </c>
      <c r="U38" s="6">
        <v>0.36</v>
      </c>
    </row>
    <row r="39" spans="1:21" x14ac:dyDescent="0.25">
      <c r="A39" s="4">
        <v>2020</v>
      </c>
      <c r="B39" s="29">
        <v>0.8</v>
      </c>
      <c r="C39" s="10">
        <f t="shared" si="0"/>
        <v>1.1299999999999999</v>
      </c>
      <c r="D39" s="10">
        <f t="shared" si="1"/>
        <v>0.92</v>
      </c>
      <c r="E39" s="10">
        <f t="shared" si="2"/>
        <v>0.75</v>
      </c>
      <c r="F39" s="10">
        <f t="shared" si="3"/>
        <v>0.67999999999999994</v>
      </c>
      <c r="K39" s="12"/>
      <c r="L39" s="12"/>
      <c r="M39" s="5">
        <v>0.52</v>
      </c>
      <c r="N39" s="6">
        <v>0.46</v>
      </c>
      <c r="O39" s="6">
        <v>0.37</v>
      </c>
      <c r="P39" s="6">
        <v>0.32</v>
      </c>
      <c r="Q39" s="27">
        <v>0.8</v>
      </c>
      <c r="R39" s="6">
        <v>0.61</v>
      </c>
      <c r="S39" s="6">
        <v>0.46</v>
      </c>
      <c r="T39" s="6">
        <v>0.38</v>
      </c>
      <c r="U39" s="6">
        <v>0.36</v>
      </c>
    </row>
    <row r="40" spans="1:21" x14ac:dyDescent="0.25">
      <c r="A40" s="4">
        <v>2021</v>
      </c>
      <c r="B40" s="29">
        <v>0.8</v>
      </c>
      <c r="C40" s="10">
        <f t="shared" si="0"/>
        <v>1.1299999999999999</v>
      </c>
      <c r="D40" s="10">
        <f t="shared" si="1"/>
        <v>0.92</v>
      </c>
      <c r="E40" s="10">
        <f t="shared" si="2"/>
        <v>0.75</v>
      </c>
      <c r="F40" s="10">
        <f t="shared" si="3"/>
        <v>0.67999999999999994</v>
      </c>
      <c r="K40" s="12"/>
      <c r="L40" s="12"/>
      <c r="M40" s="5">
        <v>0.52</v>
      </c>
      <c r="N40" s="6">
        <v>0.46</v>
      </c>
      <c r="O40" s="6">
        <v>0.37</v>
      </c>
      <c r="P40" s="6">
        <v>0.32</v>
      </c>
      <c r="Q40" s="27">
        <v>0.8</v>
      </c>
      <c r="R40" s="6">
        <v>0.61</v>
      </c>
      <c r="S40" s="6">
        <v>0.46</v>
      </c>
      <c r="T40" s="6">
        <v>0.38</v>
      </c>
      <c r="U40" s="6">
        <v>0.36</v>
      </c>
    </row>
    <row r="41" spans="1:21" x14ac:dyDescent="0.25">
      <c r="A41" s="4">
        <v>2022</v>
      </c>
      <c r="B41" s="29">
        <v>0.8</v>
      </c>
      <c r="C41" s="10">
        <f t="shared" si="0"/>
        <v>1.1299999999999999</v>
      </c>
      <c r="D41" s="10">
        <f t="shared" si="1"/>
        <v>0.92</v>
      </c>
      <c r="E41" s="10">
        <f t="shared" si="2"/>
        <v>0.75</v>
      </c>
      <c r="F41" s="10">
        <f t="shared" si="3"/>
        <v>0.67999999999999994</v>
      </c>
      <c r="K41" s="12"/>
      <c r="L41" s="12"/>
      <c r="M41" s="5">
        <v>0.52</v>
      </c>
      <c r="N41" s="6">
        <v>0.46</v>
      </c>
      <c r="O41" s="6">
        <v>0.37</v>
      </c>
      <c r="P41" s="6">
        <v>0.32</v>
      </c>
      <c r="Q41" s="27">
        <v>0.8</v>
      </c>
      <c r="R41" s="6">
        <v>0.61</v>
      </c>
      <c r="S41" s="6">
        <v>0.46</v>
      </c>
      <c r="T41" s="6">
        <v>0.38</v>
      </c>
      <c r="U41" s="6">
        <v>0.36</v>
      </c>
    </row>
    <row r="42" spans="1:21" x14ac:dyDescent="0.25">
      <c r="A42" s="4">
        <v>2023</v>
      </c>
      <c r="B42" s="29">
        <v>0.8</v>
      </c>
      <c r="C42" s="10">
        <f t="shared" si="0"/>
        <v>1.1299999999999999</v>
      </c>
      <c r="D42" s="10">
        <f t="shared" si="1"/>
        <v>0.92</v>
      </c>
      <c r="E42" s="10">
        <f t="shared" si="2"/>
        <v>0.75</v>
      </c>
      <c r="F42" s="10">
        <f t="shared" si="3"/>
        <v>0.67999999999999994</v>
      </c>
      <c r="K42" s="12"/>
      <c r="L42" s="12"/>
      <c r="M42" s="5">
        <v>0.52</v>
      </c>
      <c r="N42" s="6">
        <v>0.46</v>
      </c>
      <c r="O42" s="6">
        <v>0.37</v>
      </c>
      <c r="P42" s="6">
        <v>0.32</v>
      </c>
      <c r="Q42" s="27">
        <v>0.8</v>
      </c>
      <c r="R42" s="6">
        <v>0.61</v>
      </c>
      <c r="S42" s="6">
        <v>0.46</v>
      </c>
      <c r="T42" s="6">
        <v>0.38</v>
      </c>
      <c r="U42" s="6">
        <v>0.36</v>
      </c>
    </row>
    <row r="43" spans="1:21" x14ac:dyDescent="0.25">
      <c r="A43" s="4">
        <v>2024</v>
      </c>
      <c r="B43" s="29">
        <v>0.8</v>
      </c>
      <c r="C43" s="10">
        <f t="shared" si="0"/>
        <v>1.1299999999999999</v>
      </c>
      <c r="D43" s="10">
        <f t="shared" si="1"/>
        <v>0.92</v>
      </c>
      <c r="E43" s="10">
        <f t="shared" si="2"/>
        <v>0.75</v>
      </c>
      <c r="F43" s="10">
        <f t="shared" si="3"/>
        <v>0.67999999999999994</v>
      </c>
      <c r="K43" s="12"/>
      <c r="L43" s="12"/>
      <c r="M43" s="5">
        <v>0.52</v>
      </c>
      <c r="N43" s="6">
        <v>0.46</v>
      </c>
      <c r="O43" s="6">
        <v>0.37</v>
      </c>
      <c r="P43" s="6">
        <v>0.32</v>
      </c>
      <c r="Q43" s="27">
        <v>0.8</v>
      </c>
      <c r="R43" s="6">
        <v>0.61</v>
      </c>
      <c r="S43" s="6">
        <v>0.46</v>
      </c>
      <c r="T43" s="6">
        <v>0.38</v>
      </c>
      <c r="U43" s="6">
        <v>0.36</v>
      </c>
    </row>
    <row r="44" spans="1:21" x14ac:dyDescent="0.25">
      <c r="A44" s="7">
        <v>2025</v>
      </c>
      <c r="B44" s="29">
        <v>0.8</v>
      </c>
      <c r="C44" s="10">
        <f t="shared" si="0"/>
        <v>1.1299999999999999</v>
      </c>
      <c r="D44" s="10">
        <f t="shared" si="1"/>
        <v>0.92</v>
      </c>
      <c r="E44" s="10">
        <f t="shared" si="2"/>
        <v>0.75</v>
      </c>
      <c r="F44" s="10">
        <f t="shared" si="3"/>
        <v>0.67999999999999994</v>
      </c>
      <c r="K44" s="12"/>
      <c r="L44" s="12"/>
      <c r="M44" s="8">
        <v>0.52</v>
      </c>
      <c r="N44" s="9">
        <v>0.46</v>
      </c>
      <c r="O44" s="9">
        <v>0.37</v>
      </c>
      <c r="P44" s="9">
        <v>0.32</v>
      </c>
      <c r="Q44" s="28">
        <v>0.8</v>
      </c>
      <c r="R44" s="9">
        <v>0.61</v>
      </c>
      <c r="S44" s="9">
        <v>0.46</v>
      </c>
      <c r="T44" s="9">
        <v>0.38</v>
      </c>
      <c r="U44" s="9">
        <v>0.36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6B41-4CD8-470D-9E96-318D6CA6EC60}">
  <dimension ref="A1:F44"/>
  <sheetViews>
    <sheetView topLeftCell="A9" workbookViewId="0">
      <selection activeCell="B2" sqref="B2:F43"/>
    </sheetView>
  </sheetViews>
  <sheetFormatPr defaultRowHeight="15" x14ac:dyDescent="0.25"/>
  <sheetData>
    <row r="1" spans="1:6" x14ac:dyDescent="0.25"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s="13">
        <v>1983</v>
      </c>
      <c r="B2" s="1">
        <v>0</v>
      </c>
      <c r="C2" s="19">
        <v>0.49215199999999998</v>
      </c>
      <c r="D2" s="20">
        <v>0.77454259999999997</v>
      </c>
      <c r="E2" s="20">
        <v>0.99378880000000003</v>
      </c>
      <c r="F2" s="20">
        <v>0.99378880000000003</v>
      </c>
    </row>
    <row r="3" spans="1:6" x14ac:dyDescent="0.25">
      <c r="A3" s="14">
        <v>1984</v>
      </c>
      <c r="B3" s="4">
        <v>0</v>
      </c>
      <c r="C3" s="21">
        <v>0.43357269999999998</v>
      </c>
      <c r="D3" s="22">
        <v>0.68235120000000005</v>
      </c>
      <c r="E3" s="22">
        <v>0.87550130000000004</v>
      </c>
      <c r="F3" s="22">
        <v>0.87550130000000004</v>
      </c>
    </row>
    <row r="4" spans="1:6" x14ac:dyDescent="0.25">
      <c r="A4" s="14">
        <v>1985</v>
      </c>
      <c r="B4" s="4">
        <v>0</v>
      </c>
      <c r="C4" s="21">
        <v>0.40381230000000001</v>
      </c>
      <c r="D4" s="22">
        <v>0.63551469999999999</v>
      </c>
      <c r="E4" s="22">
        <v>0.81540699999999999</v>
      </c>
      <c r="F4" s="22">
        <v>0.81540699999999999</v>
      </c>
    </row>
    <row r="5" spans="1:6" x14ac:dyDescent="0.25">
      <c r="A5" s="14">
        <v>1986</v>
      </c>
      <c r="B5" s="4">
        <v>0</v>
      </c>
      <c r="C5" s="21">
        <v>0.58955020000000002</v>
      </c>
      <c r="D5" s="22">
        <v>0.92782659999999995</v>
      </c>
      <c r="E5" s="22">
        <v>1.1904622</v>
      </c>
      <c r="F5" s="22">
        <v>1.1904622</v>
      </c>
    </row>
    <row r="6" spans="1:6" x14ac:dyDescent="0.25">
      <c r="A6" s="14">
        <v>1987</v>
      </c>
      <c r="B6" s="4">
        <v>0</v>
      </c>
      <c r="C6" s="21">
        <v>0.1293511</v>
      </c>
      <c r="D6" s="22">
        <v>0.20357120000000001</v>
      </c>
      <c r="E6" s="22">
        <v>0.26119520000000002</v>
      </c>
      <c r="F6" s="22">
        <v>0.26119520000000002</v>
      </c>
    </row>
    <row r="7" spans="1:6" x14ac:dyDescent="0.25">
      <c r="A7" s="14">
        <v>1988</v>
      </c>
      <c r="B7" s="4">
        <v>0</v>
      </c>
      <c r="C7" s="21">
        <v>0.46005479999999999</v>
      </c>
      <c r="D7" s="22">
        <v>0.72402849999999996</v>
      </c>
      <c r="E7" s="22">
        <v>0.92897589999999997</v>
      </c>
      <c r="F7" s="22">
        <v>0.92897589999999997</v>
      </c>
    </row>
    <row r="8" spans="1:6" x14ac:dyDescent="0.25">
      <c r="A8" s="14">
        <v>1989</v>
      </c>
      <c r="B8" s="4">
        <v>0</v>
      </c>
      <c r="C8" s="21">
        <v>0.73255040000000005</v>
      </c>
      <c r="D8" s="22">
        <v>1.1528784999999999</v>
      </c>
      <c r="E8" s="22">
        <v>1.4792186000000001</v>
      </c>
      <c r="F8" s="22">
        <v>1.4792186000000001</v>
      </c>
    </row>
    <row r="9" spans="1:6" x14ac:dyDescent="0.25">
      <c r="A9" s="14">
        <v>1990</v>
      </c>
      <c r="B9" s="4">
        <v>0</v>
      </c>
      <c r="C9" s="21">
        <v>0.51527449999999997</v>
      </c>
      <c r="D9" s="22">
        <v>0.81093249999999995</v>
      </c>
      <c r="E9" s="22">
        <v>1.0404793999999999</v>
      </c>
      <c r="F9" s="22">
        <v>1.0404793999999999</v>
      </c>
    </row>
    <row r="10" spans="1:6" x14ac:dyDescent="0.25">
      <c r="A10" s="14">
        <v>1991</v>
      </c>
      <c r="B10" s="4">
        <v>0</v>
      </c>
      <c r="C10" s="21">
        <v>0.55385450000000003</v>
      </c>
      <c r="D10" s="22">
        <v>0.87164920000000001</v>
      </c>
      <c r="E10" s="22">
        <v>1.1183829999999999</v>
      </c>
      <c r="F10" s="22">
        <v>1.1183829999999999</v>
      </c>
    </row>
    <row r="11" spans="1:6" x14ac:dyDescent="0.25">
      <c r="A11" s="14">
        <v>1992</v>
      </c>
      <c r="B11" s="4">
        <v>0</v>
      </c>
      <c r="C11" s="21">
        <v>0.52249769999999995</v>
      </c>
      <c r="D11" s="22">
        <v>0.82230029999999998</v>
      </c>
      <c r="E11" s="22">
        <v>1.0550651</v>
      </c>
      <c r="F11" s="22">
        <v>1.0550651</v>
      </c>
    </row>
    <row r="12" spans="1:6" x14ac:dyDescent="0.25">
      <c r="A12" s="14">
        <v>1993</v>
      </c>
      <c r="B12" s="4">
        <v>0</v>
      </c>
      <c r="C12" s="21">
        <v>0.47862840000000001</v>
      </c>
      <c r="D12" s="22">
        <v>0.75325929999999997</v>
      </c>
      <c r="E12" s="22">
        <v>0.96648100000000003</v>
      </c>
      <c r="F12" s="22">
        <v>0.96648100000000003</v>
      </c>
    </row>
    <row r="13" spans="1:6" x14ac:dyDescent="0.25">
      <c r="A13" s="14">
        <v>1994</v>
      </c>
      <c r="B13" s="4">
        <v>0</v>
      </c>
      <c r="C13" s="21">
        <v>0.47924369999999999</v>
      </c>
      <c r="D13" s="22">
        <v>0.75422769999999995</v>
      </c>
      <c r="E13" s="22">
        <v>0.96772349999999996</v>
      </c>
      <c r="F13" s="22">
        <v>0.96772349999999996</v>
      </c>
    </row>
    <row r="14" spans="1:6" x14ac:dyDescent="0.25">
      <c r="A14" s="14">
        <v>1995</v>
      </c>
      <c r="B14" s="4">
        <v>0</v>
      </c>
      <c r="C14" s="21">
        <v>0.2875376</v>
      </c>
      <c r="D14" s="22">
        <v>0.45252300000000001</v>
      </c>
      <c r="E14" s="22">
        <v>0.58061660000000004</v>
      </c>
      <c r="F14" s="22">
        <v>0.58061660000000004</v>
      </c>
    </row>
    <row r="15" spans="1:6" x14ac:dyDescent="0.25">
      <c r="A15" s="14">
        <v>1996</v>
      </c>
      <c r="B15" s="4">
        <v>0</v>
      </c>
      <c r="C15" s="21">
        <v>0.49558150000000001</v>
      </c>
      <c r="D15" s="22">
        <v>0.77993990000000002</v>
      </c>
      <c r="E15" s="22">
        <v>1.0007140000000001</v>
      </c>
      <c r="F15" s="22">
        <v>1.0007140000000001</v>
      </c>
    </row>
    <row r="16" spans="1:6" x14ac:dyDescent="0.25">
      <c r="A16" s="14">
        <v>1997</v>
      </c>
      <c r="B16" s="4">
        <v>0</v>
      </c>
      <c r="C16" s="21">
        <v>0.58259150000000004</v>
      </c>
      <c r="D16" s="22">
        <v>0.91687510000000005</v>
      </c>
      <c r="E16" s="22">
        <v>1.1764108</v>
      </c>
      <c r="F16" s="22">
        <v>1.1764108</v>
      </c>
    </row>
    <row r="17" spans="1:6" x14ac:dyDescent="0.25">
      <c r="A17" s="14">
        <v>1998</v>
      </c>
      <c r="B17" s="4">
        <v>0</v>
      </c>
      <c r="C17" s="21">
        <v>0.30847069999999999</v>
      </c>
      <c r="D17" s="22">
        <v>0.48546719999999999</v>
      </c>
      <c r="E17" s="22">
        <v>0.62288619999999995</v>
      </c>
      <c r="F17" s="22">
        <v>0.62288619999999995</v>
      </c>
    </row>
    <row r="18" spans="1:6" x14ac:dyDescent="0.25">
      <c r="A18" s="14">
        <v>1999</v>
      </c>
      <c r="B18" s="4">
        <v>0</v>
      </c>
      <c r="C18" s="21">
        <v>0.54970300000000005</v>
      </c>
      <c r="D18" s="22">
        <v>0.44152089999999999</v>
      </c>
      <c r="E18" s="22">
        <v>0.52967120000000001</v>
      </c>
      <c r="F18" s="22">
        <v>0.52967120000000001</v>
      </c>
    </row>
    <row r="19" spans="1:6" x14ac:dyDescent="0.25">
      <c r="A19" s="14">
        <v>2000</v>
      </c>
      <c r="B19" s="4">
        <v>0</v>
      </c>
      <c r="C19" s="21">
        <v>0.63015350000000003</v>
      </c>
      <c r="D19" s="22">
        <v>0.50613859999999999</v>
      </c>
      <c r="E19" s="22">
        <v>0.60718989999999995</v>
      </c>
      <c r="F19" s="22">
        <v>0.60718989999999995</v>
      </c>
    </row>
    <row r="20" spans="1:6" x14ac:dyDescent="0.25">
      <c r="A20" s="14">
        <v>2001</v>
      </c>
      <c r="B20" s="4">
        <v>0</v>
      </c>
      <c r="C20" s="21">
        <v>0.6555512</v>
      </c>
      <c r="D20" s="22">
        <v>0.52653799999999995</v>
      </c>
      <c r="E20" s="22">
        <v>0.6316621</v>
      </c>
      <c r="F20" s="22">
        <v>0.6316621</v>
      </c>
    </row>
    <row r="21" spans="1:6" x14ac:dyDescent="0.25">
      <c r="A21" s="14">
        <v>2002</v>
      </c>
      <c r="B21" s="4">
        <v>0</v>
      </c>
      <c r="C21" s="21">
        <v>0.73779110000000003</v>
      </c>
      <c r="D21" s="22">
        <v>0.59259300000000004</v>
      </c>
      <c r="E21" s="22">
        <v>0.71090500000000001</v>
      </c>
      <c r="F21" s="22">
        <v>0.71090500000000001</v>
      </c>
    </row>
    <row r="22" spans="1:6" x14ac:dyDescent="0.25">
      <c r="A22" s="14">
        <v>2003</v>
      </c>
      <c r="B22" s="4">
        <v>0</v>
      </c>
      <c r="C22" s="21">
        <v>0.64191030000000004</v>
      </c>
      <c r="D22" s="22">
        <v>0.51558159999999997</v>
      </c>
      <c r="E22" s="22">
        <v>0.61851829999999997</v>
      </c>
      <c r="F22" s="22">
        <v>0.61851829999999997</v>
      </c>
    </row>
    <row r="23" spans="1:6" x14ac:dyDescent="0.25">
      <c r="A23" s="14">
        <v>2004</v>
      </c>
      <c r="B23" s="4">
        <v>0</v>
      </c>
      <c r="C23" s="21">
        <v>1.0255638</v>
      </c>
      <c r="D23" s="22">
        <v>0.82373169999999996</v>
      </c>
      <c r="E23" s="22">
        <v>0.98819100000000004</v>
      </c>
      <c r="F23" s="22">
        <v>0.98819100000000004</v>
      </c>
    </row>
    <row r="24" spans="1:6" x14ac:dyDescent="0.25">
      <c r="A24" s="14">
        <v>2005</v>
      </c>
      <c r="B24" s="4">
        <v>0</v>
      </c>
      <c r="C24" s="21">
        <v>1.2889226</v>
      </c>
      <c r="D24" s="22">
        <v>1.18719</v>
      </c>
      <c r="E24" s="22">
        <v>0.9404517</v>
      </c>
      <c r="F24" s="22">
        <v>0.9404517</v>
      </c>
    </row>
    <row r="25" spans="1:6" x14ac:dyDescent="0.25">
      <c r="A25" s="14">
        <v>2006</v>
      </c>
      <c r="B25" s="4">
        <v>0</v>
      </c>
      <c r="C25" s="21">
        <v>1.3212615999999999</v>
      </c>
      <c r="D25" s="22">
        <v>1.2169764999999999</v>
      </c>
      <c r="E25" s="22">
        <v>0.9640476</v>
      </c>
      <c r="F25" s="22">
        <v>0.9640476</v>
      </c>
    </row>
    <row r="26" spans="1:6" x14ac:dyDescent="0.25">
      <c r="A26" s="14">
        <v>2007</v>
      </c>
      <c r="B26" s="4">
        <v>0</v>
      </c>
      <c r="C26" s="21">
        <v>0.77135160000000003</v>
      </c>
      <c r="D26" s="22">
        <v>0.71047009999999999</v>
      </c>
      <c r="E26" s="22">
        <v>0.56281029999999999</v>
      </c>
      <c r="F26" s="22">
        <v>0.56281029999999999</v>
      </c>
    </row>
    <row r="27" spans="1:6" x14ac:dyDescent="0.25">
      <c r="A27" s="14">
        <v>2008</v>
      </c>
      <c r="B27" s="4">
        <v>0</v>
      </c>
      <c r="C27" s="21">
        <v>0.79877399999999998</v>
      </c>
      <c r="D27" s="22">
        <v>0.73572800000000005</v>
      </c>
      <c r="E27" s="22">
        <v>0.58281879999999997</v>
      </c>
      <c r="F27" s="22">
        <v>0.58281879999999997</v>
      </c>
    </row>
    <row r="28" spans="1:6" x14ac:dyDescent="0.25">
      <c r="A28" s="14">
        <v>2009</v>
      </c>
      <c r="B28" s="4">
        <v>0</v>
      </c>
      <c r="C28" s="21">
        <v>0.76058999999999999</v>
      </c>
      <c r="D28" s="22">
        <v>0.70055780000000001</v>
      </c>
      <c r="E28" s="22">
        <v>0.55495819999999996</v>
      </c>
      <c r="F28" s="22">
        <v>0.55495819999999996</v>
      </c>
    </row>
    <row r="29" spans="1:6" x14ac:dyDescent="0.25">
      <c r="A29" s="14">
        <v>2010</v>
      </c>
      <c r="B29" s="4">
        <v>0</v>
      </c>
      <c r="C29" s="21">
        <v>0.32150430000000002</v>
      </c>
      <c r="D29" s="22">
        <v>0.46057100000000001</v>
      </c>
      <c r="E29" s="22">
        <v>0.4862822</v>
      </c>
      <c r="F29" s="22">
        <v>0.4862822</v>
      </c>
    </row>
    <row r="30" spans="1:6" x14ac:dyDescent="0.25">
      <c r="A30" s="15">
        <v>2011</v>
      </c>
      <c r="B30" s="7">
        <v>0</v>
      </c>
      <c r="C30" s="23">
        <v>0.17331279999999999</v>
      </c>
      <c r="D30" s="24">
        <v>0.24827920000000001</v>
      </c>
      <c r="E30" s="24">
        <v>0.26213940000000002</v>
      </c>
      <c r="F30" s="24">
        <v>0.26213940000000002</v>
      </c>
    </row>
    <row r="31" spans="1:6" x14ac:dyDescent="0.25">
      <c r="A31" s="13">
        <v>2012</v>
      </c>
      <c r="B31" s="1">
        <v>0</v>
      </c>
      <c r="C31" s="19">
        <v>0.12996949999999999</v>
      </c>
      <c r="D31" s="20">
        <v>0.18618779999999999</v>
      </c>
      <c r="E31" s="20">
        <v>0.1965818</v>
      </c>
      <c r="F31" s="20">
        <v>0.1965818</v>
      </c>
    </row>
    <row r="32" spans="1:6" x14ac:dyDescent="0.25">
      <c r="A32" s="14">
        <v>2013</v>
      </c>
      <c r="B32" s="4">
        <v>0</v>
      </c>
      <c r="C32" s="21">
        <v>0.51112089999999999</v>
      </c>
      <c r="D32" s="22">
        <v>0.73220629999999998</v>
      </c>
      <c r="E32" s="22">
        <v>0.77308160000000004</v>
      </c>
      <c r="F32" s="22">
        <v>0.77308160000000004</v>
      </c>
    </row>
    <row r="33" spans="1:6" x14ac:dyDescent="0.25">
      <c r="A33" s="14">
        <v>2014</v>
      </c>
      <c r="B33" s="4">
        <v>0</v>
      </c>
      <c r="C33" s="21">
        <v>0.46254050000000002</v>
      </c>
      <c r="D33" s="22">
        <v>0.66261239999999999</v>
      </c>
      <c r="E33" s="22">
        <v>0.69960259999999996</v>
      </c>
      <c r="F33" s="22">
        <v>0.69960259999999996</v>
      </c>
    </row>
    <row r="34" spans="1:6" x14ac:dyDescent="0.25">
      <c r="A34" s="14">
        <v>2015</v>
      </c>
      <c r="B34" s="4">
        <v>0</v>
      </c>
      <c r="C34" s="21">
        <v>0.42601460000000002</v>
      </c>
      <c r="D34" s="22">
        <v>0.61028729999999998</v>
      </c>
      <c r="E34" s="22">
        <v>0.64435640000000005</v>
      </c>
      <c r="F34" s="22">
        <v>0.64435640000000005</v>
      </c>
    </row>
    <row r="35" spans="1:6" x14ac:dyDescent="0.25">
      <c r="A35" s="14">
        <v>2016</v>
      </c>
      <c r="B35" s="4">
        <v>0</v>
      </c>
      <c r="C35" s="21">
        <v>0.1322536</v>
      </c>
      <c r="D35" s="22">
        <v>0.18945999999999999</v>
      </c>
      <c r="E35" s="22">
        <v>0.20003650000000001</v>
      </c>
      <c r="F35" s="22">
        <v>0.20003650000000001</v>
      </c>
    </row>
    <row r="36" spans="1:6" x14ac:dyDescent="0.25">
      <c r="A36" s="14">
        <v>2017</v>
      </c>
      <c r="B36" s="4">
        <v>0</v>
      </c>
      <c r="C36" s="21">
        <v>0.75745309999999999</v>
      </c>
      <c r="D36" s="22">
        <v>1.0850895</v>
      </c>
      <c r="E36" s="22">
        <v>1.1456645000000001</v>
      </c>
      <c r="F36" s="22">
        <v>1.1456645000000001</v>
      </c>
    </row>
    <row r="37" spans="1:6" x14ac:dyDescent="0.25">
      <c r="A37" s="14">
        <v>2018</v>
      </c>
      <c r="B37" s="4">
        <v>0</v>
      </c>
      <c r="C37" s="21">
        <v>0.18227489999999999</v>
      </c>
      <c r="D37" s="22">
        <v>0.26111800000000002</v>
      </c>
      <c r="E37" s="22">
        <v>0.27569480000000002</v>
      </c>
      <c r="F37" s="22">
        <v>0.27569480000000002</v>
      </c>
    </row>
    <row r="38" spans="1:6" x14ac:dyDescent="0.25">
      <c r="A38" s="14">
        <v>2019</v>
      </c>
      <c r="B38" s="4">
        <v>0</v>
      </c>
      <c r="C38" s="21">
        <v>5.1809000000000001E-2</v>
      </c>
      <c r="D38" s="22">
        <v>7.4218999999999993E-2</v>
      </c>
      <c r="E38" s="22">
        <v>7.8362299999999996E-2</v>
      </c>
      <c r="F38" s="22">
        <v>7.8362299999999996E-2</v>
      </c>
    </row>
    <row r="39" spans="1:6" x14ac:dyDescent="0.25">
      <c r="A39" s="14">
        <v>2020</v>
      </c>
      <c r="B39" s="4">
        <v>0</v>
      </c>
      <c r="C39" s="21">
        <v>0.4915273</v>
      </c>
      <c r="D39" s="22">
        <v>0.70413749999999997</v>
      </c>
      <c r="E39" s="22">
        <v>0.74344589999999999</v>
      </c>
      <c r="F39" s="22">
        <v>0.74344589999999999</v>
      </c>
    </row>
    <row r="40" spans="1:6" x14ac:dyDescent="0.25">
      <c r="A40" s="14">
        <v>2021</v>
      </c>
      <c r="B40" s="4">
        <v>0</v>
      </c>
      <c r="C40" s="21">
        <v>7.4395000000000003E-2</v>
      </c>
      <c r="D40" s="22">
        <v>0.10657460000000001</v>
      </c>
      <c r="E40" s="22">
        <v>0.1125241</v>
      </c>
      <c r="F40" s="22">
        <v>0.1125241</v>
      </c>
    </row>
    <row r="41" spans="1:6" x14ac:dyDescent="0.25">
      <c r="A41" s="14">
        <v>2022</v>
      </c>
      <c r="B41" s="4">
        <v>0</v>
      </c>
      <c r="C41" s="21">
        <v>0.52130569999999998</v>
      </c>
      <c r="D41" s="22">
        <v>0.74679649999999997</v>
      </c>
      <c r="E41" s="22">
        <v>0.78848629999999997</v>
      </c>
      <c r="F41" s="22">
        <v>0.78848629999999997</v>
      </c>
    </row>
    <row r="42" spans="1:6" x14ac:dyDescent="0.25">
      <c r="A42" s="14">
        <v>2023</v>
      </c>
      <c r="B42" s="4">
        <v>0</v>
      </c>
      <c r="C42" s="21">
        <v>0.3466322</v>
      </c>
      <c r="D42" s="22">
        <v>0.49656800000000001</v>
      </c>
      <c r="E42" s="22">
        <v>0.5242888</v>
      </c>
      <c r="F42" s="22">
        <v>0.5242888</v>
      </c>
    </row>
    <row r="43" spans="1:6" x14ac:dyDescent="0.25">
      <c r="A43" s="15">
        <v>2024</v>
      </c>
      <c r="B43" s="7">
        <v>0</v>
      </c>
      <c r="C43" s="23">
        <v>0.36492049999999998</v>
      </c>
      <c r="D43" s="24">
        <v>0.52276679999999998</v>
      </c>
      <c r="E43" s="24">
        <v>0.55195019999999995</v>
      </c>
      <c r="F43" s="24">
        <v>0.55195019999999995</v>
      </c>
    </row>
    <row r="44" spans="1:6" x14ac:dyDescent="0.25">
      <c r="A44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7B1E-B21A-4DFC-8361-C103883BF285}">
  <dimension ref="A1:H43"/>
  <sheetViews>
    <sheetView workbookViewId="0">
      <selection activeCell="A2" sqref="A2:F43"/>
    </sheetView>
  </sheetViews>
  <sheetFormatPr defaultRowHeight="15" x14ac:dyDescent="0.25"/>
  <sheetData>
    <row r="1" spans="1:8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H1" t="s">
        <v>21</v>
      </c>
    </row>
    <row r="2" spans="1:8" x14ac:dyDescent="0.25">
      <c r="A2" s="13">
        <v>1983</v>
      </c>
      <c r="B2">
        <v>123908728</v>
      </c>
      <c r="C2">
        <v>15455162</v>
      </c>
      <c r="D2">
        <v>12731240.5</v>
      </c>
      <c r="E2">
        <v>591170.17000000004</v>
      </c>
      <c r="F2">
        <v>45841.02</v>
      </c>
    </row>
    <row r="3" spans="1:8" x14ac:dyDescent="0.25">
      <c r="A3" s="14">
        <v>1984</v>
      </c>
      <c r="B3">
        <v>37821207</v>
      </c>
      <c r="C3">
        <v>55725016</v>
      </c>
      <c r="D3">
        <v>3073765.4</v>
      </c>
      <c r="E3">
        <v>2351050.08</v>
      </c>
      <c r="F3">
        <v>111812.9</v>
      </c>
    </row>
    <row r="4" spans="1:8" x14ac:dyDescent="0.25">
      <c r="A4" s="14">
        <v>1985</v>
      </c>
      <c r="B4">
        <v>246129790</v>
      </c>
      <c r="C4">
        <v>17009192</v>
      </c>
      <c r="D4">
        <v>11751357.699999999</v>
      </c>
      <c r="E4">
        <v>622443.71</v>
      </c>
      <c r="F4">
        <v>485640.45</v>
      </c>
    </row>
    <row r="5" spans="1:8" x14ac:dyDescent="0.25">
      <c r="A5" s="14">
        <v>1986</v>
      </c>
      <c r="B5">
        <v>44897369</v>
      </c>
      <c r="C5">
        <v>110691044</v>
      </c>
      <c r="D5">
        <v>3695271</v>
      </c>
      <c r="E5">
        <v>2493780.5299999998</v>
      </c>
      <c r="F5">
        <v>238689.93</v>
      </c>
    </row>
    <row r="6" spans="1:8" x14ac:dyDescent="0.25">
      <c r="A6" s="14">
        <v>1987</v>
      </c>
      <c r="B6">
        <v>27833844</v>
      </c>
      <c r="C6">
        <v>20191529</v>
      </c>
      <c r="D6">
        <v>19971476.5</v>
      </c>
      <c r="E6">
        <v>585419.34</v>
      </c>
      <c r="F6">
        <v>394432.96</v>
      </c>
    </row>
    <row r="7" spans="1:8" x14ac:dyDescent="0.25">
      <c r="A7" s="14">
        <v>1988</v>
      </c>
      <c r="B7">
        <v>135596838</v>
      </c>
      <c r="C7">
        <v>12517612</v>
      </c>
      <c r="D7">
        <v>5772032.7999999998</v>
      </c>
      <c r="E7">
        <v>6527863.4800000004</v>
      </c>
      <c r="F7">
        <v>366445.94</v>
      </c>
    </row>
    <row r="8" spans="1:8" x14ac:dyDescent="0.25">
      <c r="A8" s="14">
        <v>1989</v>
      </c>
      <c r="B8">
        <v>60475867</v>
      </c>
      <c r="C8">
        <v>60981467</v>
      </c>
      <c r="D8">
        <v>2570740.7999999998</v>
      </c>
      <c r="E8">
        <v>1121135.1000000001</v>
      </c>
      <c r="F8">
        <v>1289399.49</v>
      </c>
    </row>
    <row r="9" spans="1:8" x14ac:dyDescent="0.25">
      <c r="A9" s="14">
        <v>1990</v>
      </c>
      <c r="B9">
        <v>103376632</v>
      </c>
      <c r="C9">
        <v>27197589</v>
      </c>
      <c r="D9">
        <v>9536551.1999999993</v>
      </c>
      <c r="E9">
        <v>325192.3</v>
      </c>
      <c r="F9">
        <v>269187.51</v>
      </c>
    </row>
    <row r="10" spans="1:8" x14ac:dyDescent="0.25">
      <c r="A10" s="14">
        <v>1991</v>
      </c>
      <c r="B10">
        <v>60220967</v>
      </c>
      <c r="C10">
        <v>46491192</v>
      </c>
      <c r="D10">
        <v>5285494.3</v>
      </c>
      <c r="E10">
        <v>1698159.92</v>
      </c>
      <c r="F10">
        <v>102335.96</v>
      </c>
    </row>
    <row r="11" spans="1:8" x14ac:dyDescent="0.25">
      <c r="A11" s="14">
        <v>1992</v>
      </c>
      <c r="B11">
        <v>75621619</v>
      </c>
      <c r="C11">
        <v>27082954</v>
      </c>
      <c r="D11">
        <v>8693022.0999999996</v>
      </c>
      <c r="E11">
        <v>885735.16</v>
      </c>
      <c r="F11">
        <v>278706.59000000003</v>
      </c>
    </row>
    <row r="12" spans="1:8" x14ac:dyDescent="0.25">
      <c r="A12" s="14">
        <v>1993</v>
      </c>
      <c r="B12">
        <v>144702777</v>
      </c>
      <c r="C12">
        <v>34009032</v>
      </c>
      <c r="D12">
        <v>5225336</v>
      </c>
      <c r="E12">
        <v>1530456.65</v>
      </c>
      <c r="F12">
        <v>194589.1</v>
      </c>
    </row>
    <row r="13" spans="1:8" x14ac:dyDescent="0.25">
      <c r="A13" s="14">
        <v>1994</v>
      </c>
      <c r="B13">
        <v>48879220</v>
      </c>
      <c r="C13">
        <v>65076647</v>
      </c>
      <c r="D13">
        <v>6855903.2999999998</v>
      </c>
      <c r="E13">
        <v>985708.73</v>
      </c>
      <c r="F13">
        <v>312101.83</v>
      </c>
    </row>
    <row r="14" spans="1:8" x14ac:dyDescent="0.25">
      <c r="A14" s="14">
        <v>1995</v>
      </c>
      <c r="B14">
        <v>63452539</v>
      </c>
      <c r="C14">
        <v>21982272</v>
      </c>
      <c r="D14">
        <v>13110774.4</v>
      </c>
      <c r="E14">
        <v>1292047.55</v>
      </c>
      <c r="F14">
        <v>236689.81</v>
      </c>
    </row>
    <row r="15" spans="1:8" x14ac:dyDescent="0.25">
      <c r="A15" s="14">
        <v>1996</v>
      </c>
      <c r="B15">
        <v>320902524</v>
      </c>
      <c r="C15">
        <v>28536277</v>
      </c>
      <c r="D15">
        <v>5364542.0999999996</v>
      </c>
      <c r="E15">
        <v>3340956.62</v>
      </c>
      <c r="F15">
        <v>408067.48</v>
      </c>
    </row>
    <row r="16" spans="1:8" x14ac:dyDescent="0.25">
      <c r="A16" s="14">
        <v>1997</v>
      </c>
      <c r="B16">
        <v>11063622</v>
      </c>
      <c r="C16">
        <v>144318311</v>
      </c>
      <c r="D16">
        <v>5655943.5</v>
      </c>
      <c r="E16">
        <v>985325.65</v>
      </c>
      <c r="F16">
        <v>655272.31000000006</v>
      </c>
    </row>
    <row r="17" spans="1:6" x14ac:dyDescent="0.25">
      <c r="A17" s="14">
        <v>1998</v>
      </c>
      <c r="B17">
        <v>22372063</v>
      </c>
      <c r="C17">
        <v>4975602</v>
      </c>
      <c r="D17">
        <v>26220515.899999999</v>
      </c>
      <c r="E17">
        <v>905903.6</v>
      </c>
      <c r="F17">
        <v>245630.05</v>
      </c>
    </row>
    <row r="18" spans="1:6" x14ac:dyDescent="0.25">
      <c r="A18" s="14">
        <v>1999</v>
      </c>
      <c r="B18">
        <v>53894214</v>
      </c>
      <c r="C18">
        <v>10061306</v>
      </c>
      <c r="D18">
        <v>1189089.7</v>
      </c>
      <c r="E18">
        <v>6465114.7599999998</v>
      </c>
      <c r="F18">
        <v>295906.8</v>
      </c>
    </row>
    <row r="19" spans="1:6" x14ac:dyDescent="0.25">
      <c r="A19" s="14">
        <v>2000</v>
      </c>
      <c r="B19">
        <v>29850990</v>
      </c>
      <c r="C19">
        <v>24237647</v>
      </c>
      <c r="D19">
        <v>1889110.8</v>
      </c>
      <c r="E19">
        <v>306362.27</v>
      </c>
      <c r="F19">
        <v>1883767.14</v>
      </c>
    </row>
    <row r="20" spans="1:6" x14ac:dyDescent="0.25">
      <c r="A20" s="14">
        <v>2001</v>
      </c>
      <c r="B20">
        <v>115131239</v>
      </c>
      <c r="C20">
        <v>13424776</v>
      </c>
      <c r="D20">
        <v>4199082</v>
      </c>
      <c r="E20">
        <v>456262.7</v>
      </c>
      <c r="F20">
        <v>598380.1</v>
      </c>
    </row>
    <row r="21" spans="1:6" x14ac:dyDescent="0.25">
      <c r="A21" s="14">
        <v>2002</v>
      </c>
      <c r="B21">
        <v>10916061</v>
      </c>
      <c r="C21">
        <v>51777548</v>
      </c>
      <c r="D21">
        <v>2267466.2000000002</v>
      </c>
      <c r="E21">
        <v>993693.66</v>
      </c>
      <c r="F21">
        <v>275505.05</v>
      </c>
    </row>
    <row r="22" spans="1:6" x14ac:dyDescent="0.25">
      <c r="A22" s="14">
        <v>2003</v>
      </c>
      <c r="B22">
        <v>36891027</v>
      </c>
      <c r="C22">
        <v>4909240</v>
      </c>
      <c r="D22">
        <v>8054878</v>
      </c>
      <c r="E22">
        <v>502286.72</v>
      </c>
      <c r="F22">
        <v>298744.39</v>
      </c>
    </row>
    <row r="23" spans="1:6" x14ac:dyDescent="0.25">
      <c r="A23" s="14">
        <v>2004</v>
      </c>
      <c r="B23">
        <v>16617017</v>
      </c>
      <c r="C23">
        <v>16590866</v>
      </c>
      <c r="D23">
        <v>840566.8</v>
      </c>
      <c r="E23">
        <v>1927149.65</v>
      </c>
      <c r="F23">
        <v>209121.79</v>
      </c>
    </row>
    <row r="24" spans="1:6" x14ac:dyDescent="0.25">
      <c r="A24" s="14">
        <v>2005</v>
      </c>
      <c r="B24">
        <v>17552836</v>
      </c>
      <c r="C24">
        <v>7473110</v>
      </c>
      <c r="D24">
        <v>1935567.9</v>
      </c>
      <c r="E24">
        <v>147774.96</v>
      </c>
      <c r="F24">
        <v>377791.85</v>
      </c>
    </row>
    <row r="25" spans="1:6" x14ac:dyDescent="0.25">
      <c r="A25" s="14">
        <v>2006</v>
      </c>
      <c r="B25">
        <v>26848074</v>
      </c>
      <c r="C25">
        <v>7893972</v>
      </c>
      <c r="D25">
        <v>669985.6</v>
      </c>
      <c r="E25">
        <v>236586.02</v>
      </c>
      <c r="F25">
        <v>101894.38</v>
      </c>
    </row>
    <row r="26" spans="1:6" x14ac:dyDescent="0.25">
      <c r="A26" s="14">
        <v>2007</v>
      </c>
      <c r="B26">
        <v>19345156</v>
      </c>
      <c r="C26">
        <v>12074285</v>
      </c>
      <c r="D26">
        <v>685196.4</v>
      </c>
      <c r="E26">
        <v>79489.539999999994</v>
      </c>
      <c r="F26">
        <v>62228.32</v>
      </c>
    </row>
    <row r="27" spans="1:6" x14ac:dyDescent="0.25">
      <c r="A27" s="14">
        <v>2008</v>
      </c>
      <c r="B27">
        <v>14216157</v>
      </c>
      <c r="C27">
        <v>8700026</v>
      </c>
      <c r="D27">
        <v>1816367.6</v>
      </c>
      <c r="E27">
        <v>134906.4</v>
      </c>
      <c r="F27">
        <v>39301.839999999997</v>
      </c>
    </row>
    <row r="28" spans="1:6" x14ac:dyDescent="0.25">
      <c r="A28" s="14">
        <v>2009</v>
      </c>
      <c r="B28">
        <v>57327733</v>
      </c>
      <c r="C28">
        <v>6393380</v>
      </c>
      <c r="D28">
        <v>1273366.7</v>
      </c>
      <c r="E28">
        <v>348699.94</v>
      </c>
      <c r="F28">
        <v>46637.279999999999</v>
      </c>
    </row>
    <row r="29" spans="1:6" x14ac:dyDescent="0.25">
      <c r="A29" s="14">
        <v>2010</v>
      </c>
      <c r="B29">
        <v>12890774</v>
      </c>
      <c r="C29">
        <v>25781790</v>
      </c>
      <c r="D29">
        <v>972179.7</v>
      </c>
      <c r="E29">
        <v>253207.06</v>
      </c>
      <c r="F29">
        <v>107981.29</v>
      </c>
    </row>
    <row r="30" spans="1:6" x14ac:dyDescent="0.25">
      <c r="A30" s="15">
        <v>2011</v>
      </c>
      <c r="B30">
        <v>10937866</v>
      </c>
      <c r="C30">
        <v>5797320</v>
      </c>
      <c r="D30">
        <v>6081652.7999999998</v>
      </c>
      <c r="E30">
        <v>245750.19</v>
      </c>
      <c r="F30">
        <v>107056.87</v>
      </c>
    </row>
    <row r="31" spans="1:6" x14ac:dyDescent="0.25">
      <c r="A31" s="13">
        <v>2012</v>
      </c>
      <c r="B31">
        <v>46873956</v>
      </c>
      <c r="C31">
        <v>4919046</v>
      </c>
      <c r="D31">
        <v>1585968.6</v>
      </c>
      <c r="E31">
        <v>1900929.66</v>
      </c>
      <c r="F31">
        <v>130888.55</v>
      </c>
    </row>
    <row r="32" spans="1:6" x14ac:dyDescent="0.25">
      <c r="A32" s="14">
        <v>2013</v>
      </c>
      <c r="B32">
        <v>24498005</v>
      </c>
      <c r="C32">
        <v>21080452</v>
      </c>
      <c r="D32">
        <v>1405309.3</v>
      </c>
      <c r="E32">
        <v>527478.75</v>
      </c>
      <c r="F32">
        <v>791067.29</v>
      </c>
    </row>
    <row r="33" spans="1:6" x14ac:dyDescent="0.25">
      <c r="A33" s="14">
        <v>2014</v>
      </c>
      <c r="B33">
        <v>10118499</v>
      </c>
      <c r="C33">
        <v>11017397</v>
      </c>
      <c r="D33">
        <v>4113760.4</v>
      </c>
      <c r="E33">
        <v>270738.18</v>
      </c>
      <c r="F33">
        <v>299706.51</v>
      </c>
    </row>
    <row r="34" spans="1:6" x14ac:dyDescent="0.25">
      <c r="A34" s="14">
        <v>2015</v>
      </c>
      <c r="B34">
        <v>4240711</v>
      </c>
      <c r="C34">
        <v>4550555</v>
      </c>
      <c r="D34">
        <v>2257024.7000000002</v>
      </c>
      <c r="E34">
        <v>849651.46</v>
      </c>
      <c r="F34">
        <v>138818.25</v>
      </c>
    </row>
    <row r="35" spans="1:6" x14ac:dyDescent="0.25">
      <c r="A35" s="14">
        <v>2016</v>
      </c>
      <c r="B35">
        <v>127999440</v>
      </c>
      <c r="C35">
        <v>1907159</v>
      </c>
      <c r="D35">
        <v>966906.9</v>
      </c>
      <c r="E35">
        <v>491204.85</v>
      </c>
      <c r="F35">
        <v>247301.93</v>
      </c>
    </row>
    <row r="36" spans="1:6" x14ac:dyDescent="0.25">
      <c r="A36" s="14">
        <v>2017</v>
      </c>
      <c r="B36">
        <v>2801142</v>
      </c>
      <c r="C36">
        <v>57564717</v>
      </c>
      <c r="D36">
        <v>543608.30000000005</v>
      </c>
      <c r="E36">
        <v>320533.92</v>
      </c>
      <c r="F36">
        <v>292191.24</v>
      </c>
    </row>
    <row r="37" spans="1:6" x14ac:dyDescent="0.25">
      <c r="A37" s="14">
        <v>2018</v>
      </c>
      <c r="B37">
        <v>7788939</v>
      </c>
      <c r="C37">
        <v>1259747</v>
      </c>
      <c r="D37">
        <v>8780813.0999999996</v>
      </c>
      <c r="E37">
        <v>73588.240000000005</v>
      </c>
      <c r="F37">
        <v>95123.29</v>
      </c>
    </row>
    <row r="38" spans="1:6" x14ac:dyDescent="0.25">
      <c r="A38" s="14">
        <v>2019</v>
      </c>
      <c r="B38">
        <v>30945405</v>
      </c>
      <c r="C38">
        <v>3502891</v>
      </c>
      <c r="D38">
        <v>341553.4</v>
      </c>
      <c r="E38">
        <v>2709588.66</v>
      </c>
      <c r="F38">
        <v>62900.62</v>
      </c>
    </row>
    <row r="39" spans="1:6" x14ac:dyDescent="0.25">
      <c r="A39" s="14">
        <v>2020</v>
      </c>
      <c r="B39">
        <v>20651174</v>
      </c>
      <c r="C39">
        <v>13916963</v>
      </c>
      <c r="D39">
        <v>1082087.3999999999</v>
      </c>
      <c r="E39">
        <v>127056.36</v>
      </c>
      <c r="F39">
        <v>1211201.54</v>
      </c>
    </row>
    <row r="40" spans="1:6" x14ac:dyDescent="0.25">
      <c r="A40" s="14">
        <v>2021</v>
      </c>
      <c r="B40">
        <v>57377950</v>
      </c>
      <c r="C40">
        <v>9287376</v>
      </c>
      <c r="D40">
        <v>2769573.8</v>
      </c>
      <c r="E40">
        <v>214402.59</v>
      </c>
      <c r="F40">
        <v>320048.32</v>
      </c>
    </row>
    <row r="41" spans="1:6" x14ac:dyDescent="0.25">
      <c r="A41" s="14">
        <v>2022</v>
      </c>
      <c r="B41">
        <v>44416136</v>
      </c>
      <c r="C41">
        <v>25804374</v>
      </c>
      <c r="D41">
        <v>2804915.5</v>
      </c>
      <c r="E41">
        <v>997467.89</v>
      </c>
      <c r="F41">
        <v>235153.3</v>
      </c>
    </row>
    <row r="42" spans="1:6" x14ac:dyDescent="0.25">
      <c r="A42" s="14">
        <v>2023</v>
      </c>
      <c r="B42">
        <v>3159373</v>
      </c>
      <c r="C42">
        <v>19975105</v>
      </c>
      <c r="D42">
        <v>4984587.4000000004</v>
      </c>
      <c r="E42">
        <v>532550.63</v>
      </c>
      <c r="F42">
        <v>267967.42</v>
      </c>
    </row>
    <row r="43" spans="1:6" x14ac:dyDescent="0.25">
      <c r="A43" s="15">
        <v>2024</v>
      </c>
      <c r="B43">
        <v>39920161</v>
      </c>
      <c r="C43">
        <v>1420853</v>
      </c>
      <c r="D43">
        <v>4594991.3</v>
      </c>
      <c r="E43">
        <v>1215467.07</v>
      </c>
      <c r="F43">
        <v>229012.38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D9FA-0C0F-49EC-8E5C-9282DBDB4F35}">
  <dimension ref="A1:Q44"/>
  <sheetViews>
    <sheetView topLeftCell="A10" workbookViewId="0">
      <selection activeCell="B2" sqref="B2:F43"/>
    </sheetView>
  </sheetViews>
  <sheetFormatPr defaultRowHeight="15" x14ac:dyDescent="0.25"/>
  <sheetData>
    <row r="1" spans="1:17" x14ac:dyDescent="0.25">
      <c r="B1">
        <v>0</v>
      </c>
      <c r="C1">
        <v>1</v>
      </c>
      <c r="D1">
        <v>2</v>
      </c>
      <c r="E1">
        <v>3</v>
      </c>
      <c r="F1">
        <v>4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s="1">
        <v>1983</v>
      </c>
      <c r="B2" s="25">
        <f>M2/1000</f>
        <v>3.0099999999999997E-3</v>
      </c>
      <c r="C2" s="25">
        <f t="shared" ref="C2:F2" si="0">N2/1000</f>
        <v>1.308E-2</v>
      </c>
      <c r="D2" s="25">
        <f t="shared" si="0"/>
        <v>2.3789999999999999E-2</v>
      </c>
      <c r="E2" s="25">
        <f t="shared" si="0"/>
        <v>2.547E-2</v>
      </c>
      <c r="F2" s="25">
        <f t="shared" si="0"/>
        <v>1.771E-2</v>
      </c>
      <c r="H2" s="1">
        <v>1983</v>
      </c>
      <c r="I2" s="2">
        <v>5.63</v>
      </c>
      <c r="J2" s="3">
        <v>10.45</v>
      </c>
      <c r="K2" s="3">
        <v>18.34</v>
      </c>
      <c r="L2" s="3">
        <v>20.78</v>
      </c>
      <c r="M2" s="3">
        <v>3.01</v>
      </c>
      <c r="N2" s="3">
        <v>13.08</v>
      </c>
      <c r="O2" s="3">
        <v>23.79</v>
      </c>
      <c r="P2" s="3">
        <v>25.47</v>
      </c>
      <c r="Q2" s="3">
        <v>17.71</v>
      </c>
    </row>
    <row r="3" spans="1:17" x14ac:dyDescent="0.25">
      <c r="A3" s="4">
        <v>1984</v>
      </c>
      <c r="B3" s="25">
        <f t="shared" ref="B3:B44" si="1">M3/1000</f>
        <v>3.5099999999999997E-3</v>
      </c>
      <c r="C3" s="25">
        <f t="shared" ref="C3:C44" si="2">N3/1000</f>
        <v>1.073E-2</v>
      </c>
      <c r="D3" s="25">
        <f t="shared" ref="D3:D44" si="3">O3/1000</f>
        <v>2.664E-2</v>
      </c>
      <c r="E3" s="25">
        <f t="shared" ref="E3:E44" si="4">P3/1000</f>
        <v>2.3519999999999999E-2</v>
      </c>
      <c r="F3" s="25">
        <f t="shared" ref="F3:F44" si="5">Q3/1000</f>
        <v>1.771E-2</v>
      </c>
      <c r="H3" s="4">
        <v>1984</v>
      </c>
      <c r="I3" s="5">
        <v>5.58</v>
      </c>
      <c r="J3" s="6">
        <v>12.48</v>
      </c>
      <c r="K3" s="6">
        <v>14.62</v>
      </c>
      <c r="L3" s="6">
        <v>18.41</v>
      </c>
      <c r="M3" s="6">
        <v>3.51</v>
      </c>
      <c r="N3" s="6">
        <v>10.73</v>
      </c>
      <c r="O3" s="6">
        <v>26.64</v>
      </c>
      <c r="P3" s="6">
        <v>23.52</v>
      </c>
      <c r="Q3" s="6">
        <v>17.71</v>
      </c>
    </row>
    <row r="4" spans="1:17" x14ac:dyDescent="0.25">
      <c r="A4" s="4">
        <v>1985</v>
      </c>
      <c r="B4" s="25">
        <f t="shared" si="1"/>
        <v>2.5999999999999999E-3</v>
      </c>
      <c r="C4" s="25">
        <f t="shared" si="2"/>
        <v>1.01E-2</v>
      </c>
      <c r="D4" s="25">
        <f t="shared" si="3"/>
        <v>1.9570000000000001E-2</v>
      </c>
      <c r="E4" s="25">
        <f t="shared" si="4"/>
        <v>2.2170000000000002E-2</v>
      </c>
      <c r="F4" s="25">
        <f t="shared" si="5"/>
        <v>3.0199999999999998E-2</v>
      </c>
      <c r="H4" s="4">
        <v>1985</v>
      </c>
      <c r="I4" s="5">
        <v>5.54</v>
      </c>
      <c r="J4" s="6">
        <v>10.199999999999999</v>
      </c>
      <c r="K4" s="6">
        <v>17.66</v>
      </c>
      <c r="L4" s="6">
        <v>33.85</v>
      </c>
      <c r="M4" s="6">
        <v>2.6</v>
      </c>
      <c r="N4" s="6">
        <v>10.1</v>
      </c>
      <c r="O4" s="6">
        <v>19.57</v>
      </c>
      <c r="P4" s="6">
        <v>22.17</v>
      </c>
      <c r="Q4" s="6">
        <v>30.2</v>
      </c>
    </row>
    <row r="5" spans="1:17" x14ac:dyDescent="0.25">
      <c r="A5" s="4">
        <v>1986</v>
      </c>
      <c r="B5" s="25">
        <f t="shared" si="1"/>
        <v>3.0099999999999997E-3</v>
      </c>
      <c r="C5" s="25">
        <f t="shared" si="2"/>
        <v>9.9000000000000008E-3</v>
      </c>
      <c r="D5" s="25">
        <f t="shared" si="3"/>
        <v>1.874E-2</v>
      </c>
      <c r="E5" s="25">
        <f t="shared" si="4"/>
        <v>1.4119999999999999E-2</v>
      </c>
      <c r="F5" s="25">
        <f t="shared" si="5"/>
        <v>1.8760000000000002E-2</v>
      </c>
      <c r="H5" s="4">
        <v>1986</v>
      </c>
      <c r="I5" s="5">
        <v>5.6</v>
      </c>
      <c r="J5" s="6">
        <v>11.75</v>
      </c>
      <c r="K5" s="6">
        <v>18.16</v>
      </c>
      <c r="L5" s="6">
        <v>16.3</v>
      </c>
      <c r="M5" s="6">
        <v>3.01</v>
      </c>
      <c r="N5" s="6">
        <v>9.9</v>
      </c>
      <c r="O5" s="6">
        <v>18.739999999999998</v>
      </c>
      <c r="P5" s="6">
        <v>14.12</v>
      </c>
      <c r="Q5" s="6">
        <v>18.760000000000002</v>
      </c>
    </row>
    <row r="6" spans="1:17" x14ac:dyDescent="0.25">
      <c r="A6" s="4">
        <v>1987</v>
      </c>
      <c r="B6" s="25">
        <f t="shared" si="1"/>
        <v>1.9599999999999999E-3</v>
      </c>
      <c r="C6" s="25">
        <f t="shared" si="2"/>
        <v>1.076E-2</v>
      </c>
      <c r="D6" s="25">
        <f t="shared" si="3"/>
        <v>1.0999999999999999E-2</v>
      </c>
      <c r="E6" s="25">
        <f t="shared" si="4"/>
        <v>2.1399999999999999E-2</v>
      </c>
      <c r="F6" s="25">
        <f t="shared" si="5"/>
        <v>1.9850000000000003E-2</v>
      </c>
      <c r="H6" s="4">
        <v>1987</v>
      </c>
      <c r="I6" s="5">
        <v>5.72</v>
      </c>
      <c r="J6" s="6">
        <v>11.15</v>
      </c>
      <c r="K6" s="6">
        <v>16.16</v>
      </c>
      <c r="L6" s="6">
        <v>21.51</v>
      </c>
      <c r="M6" s="6">
        <v>1.96</v>
      </c>
      <c r="N6" s="6">
        <v>10.76</v>
      </c>
      <c r="O6" s="6">
        <v>11</v>
      </c>
      <c r="P6" s="6">
        <v>21.4</v>
      </c>
      <c r="Q6" s="6">
        <v>19.850000000000001</v>
      </c>
    </row>
    <row r="7" spans="1:17" x14ac:dyDescent="0.25">
      <c r="A7" s="4">
        <v>1988</v>
      </c>
      <c r="B7" s="25">
        <f t="shared" si="1"/>
        <v>3.0299999999999997E-3</v>
      </c>
      <c r="C7" s="25">
        <f t="shared" si="2"/>
        <v>1.323E-2</v>
      </c>
      <c r="D7" s="25">
        <f t="shared" si="3"/>
        <v>2.4059999999999998E-2</v>
      </c>
      <c r="E7" s="25">
        <f t="shared" si="4"/>
        <v>1.882E-2</v>
      </c>
      <c r="F7" s="25">
        <f t="shared" si="5"/>
        <v>2.6929999999999999E-2</v>
      </c>
      <c r="H7" s="4">
        <v>1988</v>
      </c>
      <c r="I7" s="5">
        <v>5.2</v>
      </c>
      <c r="J7" s="6">
        <v>12.84</v>
      </c>
      <c r="K7" s="6">
        <v>16.04</v>
      </c>
      <c r="L7" s="6">
        <v>18.87</v>
      </c>
      <c r="M7" s="6">
        <v>3.03</v>
      </c>
      <c r="N7" s="6">
        <v>13.23</v>
      </c>
      <c r="O7" s="6">
        <v>24.06</v>
      </c>
      <c r="P7" s="6">
        <v>18.82</v>
      </c>
      <c r="Q7" s="6">
        <v>26.93</v>
      </c>
    </row>
    <row r="8" spans="1:17" x14ac:dyDescent="0.25">
      <c r="A8" s="4">
        <v>1989</v>
      </c>
      <c r="B8" s="25">
        <f t="shared" si="1"/>
        <v>5.0000000000000001E-3</v>
      </c>
      <c r="C8" s="25">
        <f t="shared" si="2"/>
        <v>9.11E-3</v>
      </c>
      <c r="D8" s="25">
        <f t="shared" si="3"/>
        <v>1.5640000000000001E-2</v>
      </c>
      <c r="E8" s="25">
        <f t="shared" si="4"/>
        <v>1.7000000000000001E-2</v>
      </c>
      <c r="F8" s="25">
        <f t="shared" si="5"/>
        <v>1.9010000000000003E-2</v>
      </c>
      <c r="H8" s="4">
        <v>1989</v>
      </c>
      <c r="I8" s="5">
        <v>5</v>
      </c>
      <c r="J8" s="6">
        <v>12.86</v>
      </c>
      <c r="K8" s="6">
        <v>16.059999999999999</v>
      </c>
      <c r="L8" s="6">
        <v>18.010000000000002</v>
      </c>
      <c r="M8" s="6">
        <v>5</v>
      </c>
      <c r="N8" s="6">
        <v>9.11</v>
      </c>
      <c r="O8" s="6">
        <v>15.64</v>
      </c>
      <c r="P8" s="6">
        <v>17</v>
      </c>
      <c r="Q8" s="6">
        <v>19.010000000000002</v>
      </c>
    </row>
    <row r="9" spans="1:17" x14ac:dyDescent="0.25">
      <c r="A9" s="4">
        <v>1990</v>
      </c>
      <c r="B9" s="25">
        <f t="shared" si="1"/>
        <v>3.0000000000000001E-3</v>
      </c>
      <c r="C9" s="25">
        <f t="shared" si="2"/>
        <v>1.2670000000000001E-2</v>
      </c>
      <c r="D9" s="25">
        <f t="shared" si="3"/>
        <v>2.3730000000000001E-2</v>
      </c>
      <c r="E9" s="25">
        <f t="shared" si="4"/>
        <v>3.0510000000000002E-2</v>
      </c>
      <c r="F9" s="25">
        <f t="shared" si="5"/>
        <v>3.687E-2</v>
      </c>
      <c r="H9" s="4">
        <v>1990</v>
      </c>
      <c r="I9" s="5">
        <v>4.8499999999999996</v>
      </c>
      <c r="J9" s="6">
        <v>12.65</v>
      </c>
      <c r="K9" s="6">
        <v>18.8</v>
      </c>
      <c r="L9" s="6">
        <v>26.3</v>
      </c>
      <c r="M9" s="6">
        <v>3</v>
      </c>
      <c r="N9" s="6">
        <v>12.67</v>
      </c>
      <c r="O9" s="6">
        <v>23.73</v>
      </c>
      <c r="P9" s="6">
        <v>30.51</v>
      </c>
      <c r="Q9" s="6">
        <v>36.869999999999997</v>
      </c>
    </row>
    <row r="10" spans="1:17" x14ac:dyDescent="0.25">
      <c r="A10" s="4">
        <v>1991</v>
      </c>
      <c r="B10" s="25">
        <f t="shared" si="1"/>
        <v>3.13E-3</v>
      </c>
      <c r="C10" s="25">
        <f t="shared" si="2"/>
        <v>7.7199999999999994E-3</v>
      </c>
      <c r="D10" s="25">
        <f t="shared" si="3"/>
        <v>1.376E-2</v>
      </c>
      <c r="E10" s="25">
        <f t="shared" si="4"/>
        <v>1.243E-2</v>
      </c>
      <c r="F10" s="25">
        <f t="shared" si="5"/>
        <v>4.3999999999999997E-2</v>
      </c>
      <c r="H10" s="4">
        <v>1991</v>
      </c>
      <c r="I10" s="5">
        <v>7.62</v>
      </c>
      <c r="J10" s="6">
        <v>15.8</v>
      </c>
      <c r="K10" s="6">
        <v>19.68</v>
      </c>
      <c r="L10" s="6">
        <v>24.18</v>
      </c>
      <c r="M10" s="6">
        <v>3.13</v>
      </c>
      <c r="N10" s="6">
        <v>7.72</v>
      </c>
      <c r="O10" s="6">
        <v>13.76</v>
      </c>
      <c r="P10" s="6">
        <v>12.43</v>
      </c>
      <c r="Q10" s="6">
        <v>44</v>
      </c>
    </row>
    <row r="11" spans="1:17" x14ac:dyDescent="0.25">
      <c r="A11" s="4">
        <v>1992</v>
      </c>
      <c r="B11" s="25">
        <f t="shared" si="1"/>
        <v>5.47E-3</v>
      </c>
      <c r="C11" s="25">
        <f t="shared" si="2"/>
        <v>9.859999999999999E-3</v>
      </c>
      <c r="D11" s="25">
        <f t="shared" si="3"/>
        <v>1.6899999999999998E-2</v>
      </c>
      <c r="E11" s="25">
        <f t="shared" si="4"/>
        <v>2.0039999999999999E-2</v>
      </c>
      <c r="F11" s="25">
        <f t="shared" si="5"/>
        <v>2.2579999999999999E-2</v>
      </c>
      <c r="H11" s="4">
        <v>1992</v>
      </c>
      <c r="I11" s="5">
        <v>6.07</v>
      </c>
      <c r="J11" s="6">
        <v>11.32</v>
      </c>
      <c r="K11" s="6">
        <v>18.36</v>
      </c>
      <c r="L11" s="6">
        <v>28.95</v>
      </c>
      <c r="M11" s="6">
        <v>5.47</v>
      </c>
      <c r="N11" s="6">
        <v>9.86</v>
      </c>
      <c r="O11" s="6">
        <v>16.899999999999999</v>
      </c>
      <c r="P11" s="6">
        <v>20.04</v>
      </c>
      <c r="Q11" s="6">
        <v>22.58</v>
      </c>
    </row>
    <row r="12" spans="1:17" x14ac:dyDescent="0.25">
      <c r="A12" s="4">
        <v>1993</v>
      </c>
      <c r="B12" s="25">
        <f t="shared" si="1"/>
        <v>2.3400000000000001E-3</v>
      </c>
      <c r="C12" s="25">
        <f t="shared" si="2"/>
        <v>1.384E-2</v>
      </c>
      <c r="D12" s="25">
        <f t="shared" si="3"/>
        <v>1.5800000000000002E-2</v>
      </c>
      <c r="E12" s="25">
        <f t="shared" si="4"/>
        <v>1.7319999999999999E-2</v>
      </c>
      <c r="F12" s="25">
        <f t="shared" si="5"/>
        <v>1.933E-2</v>
      </c>
      <c r="H12" s="4">
        <v>1993</v>
      </c>
      <c r="I12" s="5">
        <v>7.02</v>
      </c>
      <c r="J12" s="6">
        <v>15.66</v>
      </c>
      <c r="K12" s="6">
        <v>16.809999999999999</v>
      </c>
      <c r="L12" s="6">
        <v>21.19</v>
      </c>
      <c r="M12" s="6">
        <v>2.34</v>
      </c>
      <c r="N12" s="6">
        <v>13.84</v>
      </c>
      <c r="O12" s="6">
        <v>15.8</v>
      </c>
      <c r="P12" s="6">
        <v>17.32</v>
      </c>
      <c r="Q12" s="6">
        <v>19.329999999999998</v>
      </c>
    </row>
    <row r="13" spans="1:17" x14ac:dyDescent="0.25">
      <c r="A13" s="4">
        <v>1994</v>
      </c>
      <c r="B13" s="25">
        <f t="shared" si="1"/>
        <v>3.5099999999999997E-3</v>
      </c>
      <c r="C13" s="25">
        <f t="shared" si="2"/>
        <v>7.26E-3</v>
      </c>
      <c r="D13" s="25">
        <f t="shared" si="3"/>
        <v>1.6629999999999999E-2</v>
      </c>
      <c r="E13" s="25">
        <f t="shared" si="4"/>
        <v>2.334E-2</v>
      </c>
      <c r="F13" s="25">
        <f t="shared" si="5"/>
        <v>2.3859999999999999E-2</v>
      </c>
      <c r="H13" s="4">
        <v>1994</v>
      </c>
      <c r="I13" s="5">
        <v>4.2</v>
      </c>
      <c r="J13" s="6">
        <v>9.1</v>
      </c>
      <c r="K13" s="6">
        <v>22.13</v>
      </c>
      <c r="L13" s="6">
        <v>27.48</v>
      </c>
      <c r="M13" s="6">
        <v>3.51</v>
      </c>
      <c r="N13" s="6">
        <v>7.26</v>
      </c>
      <c r="O13" s="6">
        <v>16.63</v>
      </c>
      <c r="P13" s="6">
        <v>23.34</v>
      </c>
      <c r="Q13" s="6">
        <v>23.86</v>
      </c>
    </row>
    <row r="14" spans="1:17" x14ac:dyDescent="0.25">
      <c r="A14" s="4">
        <v>1995</v>
      </c>
      <c r="B14" s="25">
        <f t="shared" si="1"/>
        <v>5.2699999999999995E-3</v>
      </c>
      <c r="C14" s="25">
        <f t="shared" si="2"/>
        <v>9.2599999999999991E-3</v>
      </c>
      <c r="D14" s="25">
        <f t="shared" si="3"/>
        <v>1.4749999999999999E-2</v>
      </c>
      <c r="E14" s="25">
        <f t="shared" si="4"/>
        <v>1.908E-2</v>
      </c>
      <c r="F14" s="25">
        <f t="shared" si="5"/>
        <v>2.0969999999999999E-2</v>
      </c>
      <c r="H14" s="4">
        <v>1995</v>
      </c>
      <c r="I14" s="5">
        <v>9.31</v>
      </c>
      <c r="J14" s="6">
        <v>15.37</v>
      </c>
      <c r="K14" s="6">
        <v>19.86</v>
      </c>
      <c r="L14" s="6">
        <v>20.84</v>
      </c>
      <c r="M14" s="6">
        <v>5.27</v>
      </c>
      <c r="N14" s="6">
        <v>9.26</v>
      </c>
      <c r="O14" s="6">
        <v>14.75</v>
      </c>
      <c r="P14" s="6">
        <v>19.079999999999998</v>
      </c>
      <c r="Q14" s="6">
        <v>20.97</v>
      </c>
    </row>
    <row r="15" spans="1:17" x14ac:dyDescent="0.25">
      <c r="A15" s="4">
        <v>1996</v>
      </c>
      <c r="B15" s="25">
        <f t="shared" si="1"/>
        <v>3.0299999999999997E-3</v>
      </c>
      <c r="C15" s="25">
        <f t="shared" si="2"/>
        <v>4.5999999999999999E-3</v>
      </c>
      <c r="D15" s="25">
        <f t="shared" si="3"/>
        <v>1.7590000000000001E-2</v>
      </c>
      <c r="E15" s="25">
        <f t="shared" si="4"/>
        <v>1.9219999999999998E-2</v>
      </c>
      <c r="F15" s="25">
        <f t="shared" si="5"/>
        <v>2.6100000000000002E-2</v>
      </c>
      <c r="H15" s="4">
        <v>1996</v>
      </c>
      <c r="I15" s="5">
        <v>5.79</v>
      </c>
      <c r="J15" s="6">
        <v>15.9</v>
      </c>
      <c r="K15" s="6">
        <v>19.48</v>
      </c>
      <c r="L15" s="6">
        <v>28.83</v>
      </c>
      <c r="M15" s="6">
        <v>3.03</v>
      </c>
      <c r="N15" s="6">
        <v>4.5999999999999996</v>
      </c>
      <c r="O15" s="6">
        <v>17.59</v>
      </c>
      <c r="P15" s="6">
        <v>19.22</v>
      </c>
      <c r="Q15" s="6">
        <v>26.1</v>
      </c>
    </row>
    <row r="16" spans="1:17" x14ac:dyDescent="0.25">
      <c r="A16" s="4">
        <v>1997</v>
      </c>
      <c r="B16" s="25">
        <f t="shared" si="1"/>
        <v>4.5500000000000002E-3</v>
      </c>
      <c r="C16" s="25">
        <f t="shared" si="2"/>
        <v>6.6799999999999993E-3</v>
      </c>
      <c r="D16" s="25">
        <f t="shared" si="3"/>
        <v>1.1470000000000001E-2</v>
      </c>
      <c r="E16" s="25">
        <f t="shared" si="4"/>
        <v>1.6120000000000002E-2</v>
      </c>
      <c r="F16" s="25">
        <f t="shared" si="5"/>
        <v>1.7770000000000001E-2</v>
      </c>
      <c r="H16" s="4">
        <v>1997</v>
      </c>
      <c r="I16" s="5">
        <v>4.3499999999999996</v>
      </c>
      <c r="J16" s="6">
        <v>7.99</v>
      </c>
      <c r="K16" s="6">
        <v>9.33</v>
      </c>
      <c r="L16" s="6">
        <v>18.45</v>
      </c>
      <c r="M16" s="6">
        <v>4.55</v>
      </c>
      <c r="N16" s="6">
        <v>6.68</v>
      </c>
      <c r="O16" s="6">
        <v>11.47</v>
      </c>
      <c r="P16" s="6">
        <v>16.12</v>
      </c>
      <c r="Q16" s="6">
        <v>17.77</v>
      </c>
    </row>
    <row r="17" spans="1:17" x14ac:dyDescent="0.25">
      <c r="A17" s="4">
        <v>1998</v>
      </c>
      <c r="B17" s="25">
        <f t="shared" si="1"/>
        <v>3.7299999999999998E-3</v>
      </c>
      <c r="C17" s="25">
        <f t="shared" si="2"/>
        <v>1.4449999999999999E-2</v>
      </c>
      <c r="D17" s="25">
        <f t="shared" si="3"/>
        <v>1.448E-2</v>
      </c>
      <c r="E17" s="25">
        <f t="shared" si="4"/>
        <v>1.686E-2</v>
      </c>
      <c r="F17" s="25">
        <f t="shared" si="5"/>
        <v>1.771E-2</v>
      </c>
      <c r="H17" s="4">
        <v>1998</v>
      </c>
      <c r="I17" s="5">
        <v>6.15</v>
      </c>
      <c r="J17" s="6">
        <v>10.96</v>
      </c>
      <c r="K17" s="6">
        <v>16.25</v>
      </c>
      <c r="L17" s="6">
        <v>21.03</v>
      </c>
      <c r="M17" s="6">
        <v>3.73</v>
      </c>
      <c r="N17" s="6">
        <v>14.45</v>
      </c>
      <c r="O17" s="6">
        <v>14.48</v>
      </c>
      <c r="P17" s="6">
        <v>16.86</v>
      </c>
      <c r="Q17" s="6">
        <v>17.71</v>
      </c>
    </row>
    <row r="18" spans="1:17" x14ac:dyDescent="0.25">
      <c r="A18" s="4">
        <v>1999</v>
      </c>
      <c r="B18" s="25">
        <f t="shared" si="1"/>
        <v>3.8300000000000001E-3</v>
      </c>
      <c r="C18" s="25">
        <f t="shared" si="2"/>
        <v>6.8300000000000001E-3</v>
      </c>
      <c r="D18" s="25">
        <f t="shared" si="3"/>
        <v>1.259E-2</v>
      </c>
      <c r="E18" s="25">
        <f t="shared" si="4"/>
        <v>1.7579999999999998E-2</v>
      </c>
      <c r="F18" s="25">
        <f t="shared" si="5"/>
        <v>2.6670000000000003E-2</v>
      </c>
      <c r="H18" s="4">
        <v>1999</v>
      </c>
      <c r="I18" s="5">
        <v>7.1</v>
      </c>
      <c r="J18" s="6">
        <v>13.15</v>
      </c>
      <c r="K18" s="6">
        <v>15.98</v>
      </c>
      <c r="L18" s="6">
        <v>18.52</v>
      </c>
      <c r="M18" s="6">
        <v>3.83</v>
      </c>
      <c r="N18" s="6">
        <v>6.83</v>
      </c>
      <c r="O18" s="6">
        <v>12.59</v>
      </c>
      <c r="P18" s="6">
        <v>17.579999999999998</v>
      </c>
      <c r="Q18" s="6">
        <v>26.67</v>
      </c>
    </row>
    <row r="19" spans="1:17" x14ac:dyDescent="0.25">
      <c r="A19" s="4">
        <v>2000</v>
      </c>
      <c r="B19" s="25">
        <f t="shared" si="1"/>
        <v>3.49E-3</v>
      </c>
      <c r="C19" s="25">
        <f t="shared" si="2"/>
        <v>1.154E-2</v>
      </c>
      <c r="D19" s="25">
        <f t="shared" si="3"/>
        <v>1.35E-2</v>
      </c>
      <c r="E19" s="25">
        <f t="shared" si="4"/>
        <v>1.8600000000000002E-2</v>
      </c>
      <c r="F19" s="25">
        <f t="shared" si="5"/>
        <v>1.8760000000000002E-2</v>
      </c>
      <c r="H19" s="4">
        <v>2000</v>
      </c>
      <c r="I19" s="5">
        <v>7.25</v>
      </c>
      <c r="J19" s="6">
        <v>13.67</v>
      </c>
      <c r="K19" s="6">
        <v>16.97</v>
      </c>
      <c r="L19" s="6">
        <v>20.100000000000001</v>
      </c>
      <c r="M19" s="6">
        <v>3.49</v>
      </c>
      <c r="N19" s="6">
        <v>11.54</v>
      </c>
      <c r="O19" s="6">
        <v>13.5</v>
      </c>
      <c r="P19" s="6">
        <v>18.600000000000001</v>
      </c>
      <c r="Q19" s="6">
        <v>18.760000000000002</v>
      </c>
    </row>
    <row r="20" spans="1:17" x14ac:dyDescent="0.25">
      <c r="A20" s="4">
        <v>2001</v>
      </c>
      <c r="B20" s="25">
        <f t="shared" si="1"/>
        <v>2.97E-3</v>
      </c>
      <c r="C20" s="25">
        <f t="shared" si="2"/>
        <v>4.5899999999999995E-3</v>
      </c>
      <c r="D20" s="25">
        <f t="shared" si="3"/>
        <v>1.268E-2</v>
      </c>
      <c r="E20" s="25">
        <f t="shared" si="4"/>
        <v>1.8409999999999999E-2</v>
      </c>
      <c r="F20" s="25">
        <f t="shared" si="5"/>
        <v>2.1999999999999999E-2</v>
      </c>
      <c r="H20" s="4">
        <v>2001</v>
      </c>
      <c r="I20" s="5">
        <v>5.66</v>
      </c>
      <c r="J20" s="6">
        <v>13.84</v>
      </c>
      <c r="K20" s="6">
        <v>17.54</v>
      </c>
      <c r="L20" s="6">
        <v>20.6</v>
      </c>
      <c r="M20" s="6">
        <v>2.97</v>
      </c>
      <c r="N20" s="6">
        <v>4.59</v>
      </c>
      <c r="O20" s="6">
        <v>12.68</v>
      </c>
      <c r="P20" s="6">
        <v>18.41</v>
      </c>
      <c r="Q20" s="6">
        <v>22</v>
      </c>
    </row>
    <row r="21" spans="1:17" x14ac:dyDescent="0.25">
      <c r="A21" s="4">
        <v>2002</v>
      </c>
      <c r="B21" s="25">
        <f t="shared" si="1"/>
        <v>3.5000000000000001E-3</v>
      </c>
      <c r="C21" s="25">
        <f t="shared" si="2"/>
        <v>7.6900000000000007E-3</v>
      </c>
      <c r="D21" s="25">
        <f t="shared" si="3"/>
        <v>1.4659999999999999E-2</v>
      </c>
      <c r="E21" s="25">
        <f t="shared" si="4"/>
        <v>1.5730000000000001E-2</v>
      </c>
      <c r="F21" s="25">
        <f t="shared" si="5"/>
        <v>1.7809999999999999E-2</v>
      </c>
      <c r="H21" s="4">
        <v>2002</v>
      </c>
      <c r="I21" s="5">
        <v>5.67</v>
      </c>
      <c r="J21" s="6">
        <v>12.57</v>
      </c>
      <c r="K21" s="6">
        <v>17.41</v>
      </c>
      <c r="L21" s="6">
        <v>20.48</v>
      </c>
      <c r="M21" s="6">
        <v>3.5</v>
      </c>
      <c r="N21" s="6">
        <v>7.69</v>
      </c>
      <c r="O21" s="6">
        <v>14.66</v>
      </c>
      <c r="P21" s="6">
        <v>15.73</v>
      </c>
      <c r="Q21" s="6">
        <v>17.809999999999999</v>
      </c>
    </row>
    <row r="22" spans="1:17" x14ac:dyDescent="0.25">
      <c r="A22" s="4">
        <v>2003</v>
      </c>
      <c r="B22" s="25">
        <f t="shared" si="1"/>
        <v>3.2299999999999998E-3</v>
      </c>
      <c r="C22" s="25">
        <f t="shared" si="2"/>
        <v>5.8399999999999997E-3</v>
      </c>
      <c r="D22" s="25">
        <f t="shared" si="3"/>
        <v>1.256E-2</v>
      </c>
      <c r="E22" s="25">
        <f t="shared" si="4"/>
        <v>2.504E-2</v>
      </c>
      <c r="F22" s="25">
        <f t="shared" si="5"/>
        <v>2.9760000000000002E-2</v>
      </c>
      <c r="H22" s="4">
        <v>2003</v>
      </c>
      <c r="I22" s="5">
        <v>6.1</v>
      </c>
      <c r="J22" s="6">
        <v>11.51</v>
      </c>
      <c r="K22" s="6">
        <v>13.91</v>
      </c>
      <c r="L22" s="6">
        <v>15.73</v>
      </c>
      <c r="M22" s="6">
        <v>3.23</v>
      </c>
      <c r="N22" s="6">
        <v>5.84</v>
      </c>
      <c r="O22" s="6">
        <v>12.56</v>
      </c>
      <c r="P22" s="6">
        <v>25.04</v>
      </c>
      <c r="Q22" s="6">
        <v>29.76</v>
      </c>
    </row>
    <row r="23" spans="1:17" x14ac:dyDescent="0.25">
      <c r="A23" s="4">
        <v>2004</v>
      </c>
      <c r="B23" s="25">
        <f t="shared" si="1"/>
        <v>3.6099999999999999E-3</v>
      </c>
      <c r="C23" s="25">
        <f t="shared" si="2"/>
        <v>8.6999999999999994E-3</v>
      </c>
      <c r="D23" s="25">
        <f t="shared" si="3"/>
        <v>1.1900000000000001E-2</v>
      </c>
      <c r="E23" s="25">
        <f t="shared" si="4"/>
        <v>1.2800000000000001E-2</v>
      </c>
      <c r="F23" s="25">
        <f t="shared" si="5"/>
        <v>1.3609999999999999E-2</v>
      </c>
      <c r="H23" s="4">
        <v>2004</v>
      </c>
      <c r="I23" s="5">
        <v>7.03</v>
      </c>
      <c r="J23" s="6">
        <v>10.53</v>
      </c>
      <c r="K23" s="6">
        <v>13.29</v>
      </c>
      <c r="L23" s="6">
        <v>16.510000000000002</v>
      </c>
      <c r="M23" s="6">
        <v>3.61</v>
      </c>
      <c r="N23" s="6">
        <v>8.6999999999999993</v>
      </c>
      <c r="O23" s="6">
        <v>11.9</v>
      </c>
      <c r="P23" s="6">
        <v>12.8</v>
      </c>
      <c r="Q23" s="6">
        <v>13.61</v>
      </c>
    </row>
    <row r="24" spans="1:17" x14ac:dyDescent="0.25">
      <c r="A24" s="4">
        <v>2005</v>
      </c>
      <c r="B24" s="25">
        <f t="shared" si="1"/>
        <v>3.5099999999999997E-3</v>
      </c>
      <c r="C24" s="25">
        <f t="shared" si="2"/>
        <v>9.1500000000000001E-3</v>
      </c>
      <c r="D24" s="25">
        <f t="shared" si="3"/>
        <v>1.576E-2</v>
      </c>
      <c r="E24" s="25">
        <f t="shared" si="4"/>
        <v>1.9269999999999999E-2</v>
      </c>
      <c r="F24" s="25">
        <f t="shared" si="5"/>
        <v>2.5059999999999999E-2</v>
      </c>
      <c r="H24" s="4">
        <v>2005</v>
      </c>
      <c r="I24" s="5">
        <v>7.32</v>
      </c>
      <c r="J24" s="6">
        <v>11.83</v>
      </c>
      <c r="K24" s="6">
        <v>14.25</v>
      </c>
      <c r="L24" s="6">
        <v>14.45</v>
      </c>
      <c r="M24" s="6">
        <v>3.51</v>
      </c>
      <c r="N24" s="6">
        <v>9.15</v>
      </c>
      <c r="O24" s="6">
        <v>15.76</v>
      </c>
      <c r="P24" s="6">
        <v>19.27</v>
      </c>
      <c r="Q24" s="6">
        <v>25.06</v>
      </c>
    </row>
    <row r="25" spans="1:17" x14ac:dyDescent="0.25">
      <c r="A25" s="4">
        <v>2006</v>
      </c>
      <c r="B25" s="25">
        <f t="shared" si="1"/>
        <v>3.5099999999999997E-3</v>
      </c>
      <c r="C25" s="25">
        <f t="shared" si="2"/>
        <v>9.1500000000000001E-3</v>
      </c>
      <c r="D25" s="25">
        <f t="shared" si="3"/>
        <v>1.576E-2</v>
      </c>
      <c r="E25" s="25">
        <f t="shared" si="4"/>
        <v>1.9269999999999999E-2</v>
      </c>
      <c r="F25" s="25">
        <f t="shared" si="5"/>
        <v>2.5059999999999999E-2</v>
      </c>
      <c r="H25" s="4">
        <v>2006</v>
      </c>
      <c r="I25" s="5">
        <v>8.39</v>
      </c>
      <c r="J25" s="6">
        <v>11.36</v>
      </c>
      <c r="K25" s="6">
        <v>13.27</v>
      </c>
      <c r="L25" s="6">
        <v>14.48</v>
      </c>
      <c r="M25" s="6">
        <v>3.51</v>
      </c>
      <c r="N25" s="6">
        <v>9.15</v>
      </c>
      <c r="O25" s="6">
        <v>15.76</v>
      </c>
      <c r="P25" s="6">
        <v>19.27</v>
      </c>
      <c r="Q25" s="6">
        <v>25.06</v>
      </c>
    </row>
    <row r="26" spans="1:17" x14ac:dyDescent="0.25">
      <c r="A26" s="4">
        <v>2007</v>
      </c>
      <c r="B26" s="25">
        <f t="shared" si="1"/>
        <v>3.5099999999999997E-3</v>
      </c>
      <c r="C26" s="25">
        <f t="shared" si="2"/>
        <v>9.1500000000000001E-3</v>
      </c>
      <c r="D26" s="25">
        <f t="shared" si="3"/>
        <v>1.576E-2</v>
      </c>
      <c r="E26" s="25">
        <f t="shared" si="4"/>
        <v>1.9269999999999999E-2</v>
      </c>
      <c r="F26" s="25">
        <f t="shared" si="5"/>
        <v>2.5059999999999999E-2</v>
      </c>
      <c r="H26" s="4">
        <v>2007</v>
      </c>
      <c r="I26" s="5">
        <v>7.12</v>
      </c>
      <c r="J26" s="6">
        <v>14.37</v>
      </c>
      <c r="K26" s="6">
        <v>15.91</v>
      </c>
      <c r="L26" s="6">
        <v>19.3</v>
      </c>
      <c r="M26" s="6">
        <v>3.51</v>
      </c>
      <c r="N26" s="6">
        <v>9.15</v>
      </c>
      <c r="O26" s="6">
        <v>15.76</v>
      </c>
      <c r="P26" s="6">
        <v>19.27</v>
      </c>
      <c r="Q26" s="6">
        <v>25.06</v>
      </c>
    </row>
    <row r="27" spans="1:17" x14ac:dyDescent="0.25">
      <c r="A27" s="4">
        <v>2008</v>
      </c>
      <c r="B27" s="25">
        <f t="shared" si="1"/>
        <v>3.5099999999999997E-3</v>
      </c>
      <c r="C27" s="25">
        <f t="shared" si="2"/>
        <v>9.1500000000000001E-3</v>
      </c>
      <c r="D27" s="25">
        <f t="shared" si="3"/>
        <v>1.576E-2</v>
      </c>
      <c r="E27" s="25">
        <f t="shared" si="4"/>
        <v>1.9269999999999999E-2</v>
      </c>
      <c r="F27" s="25">
        <f t="shared" si="5"/>
        <v>2.5059999999999999E-2</v>
      </c>
      <c r="H27" s="4">
        <v>2008</v>
      </c>
      <c r="I27" s="5">
        <v>5.83</v>
      </c>
      <c r="J27" s="6">
        <v>14.99</v>
      </c>
      <c r="K27" s="6">
        <v>22.76</v>
      </c>
      <c r="L27" s="6">
        <v>30.57</v>
      </c>
      <c r="M27" s="6">
        <v>3.51</v>
      </c>
      <c r="N27" s="6">
        <v>9.15</v>
      </c>
      <c r="O27" s="6">
        <v>15.76</v>
      </c>
      <c r="P27" s="6">
        <v>19.27</v>
      </c>
      <c r="Q27" s="6">
        <v>25.06</v>
      </c>
    </row>
    <row r="28" spans="1:17" x14ac:dyDescent="0.25">
      <c r="A28" s="4">
        <v>2009</v>
      </c>
      <c r="B28" s="25">
        <f t="shared" si="1"/>
        <v>3.31E-3</v>
      </c>
      <c r="C28" s="25">
        <f t="shared" si="2"/>
        <v>5.0800000000000003E-3</v>
      </c>
      <c r="D28" s="25">
        <f t="shared" si="3"/>
        <v>2.4889999999999999E-2</v>
      </c>
      <c r="E28" s="25">
        <f t="shared" si="4"/>
        <v>3.8520000000000006E-2</v>
      </c>
      <c r="F28" s="25">
        <f t="shared" si="5"/>
        <v>1.8159999999999999E-2</v>
      </c>
      <c r="H28" s="4">
        <v>2009</v>
      </c>
      <c r="I28" s="5">
        <v>6.19</v>
      </c>
      <c r="J28" s="6">
        <v>12.09</v>
      </c>
      <c r="K28" s="6">
        <v>16.5</v>
      </c>
      <c r="L28" s="6">
        <v>17.89</v>
      </c>
      <c r="M28" s="6">
        <v>3.31</v>
      </c>
      <c r="N28" s="6">
        <v>5.08</v>
      </c>
      <c r="O28" s="6">
        <v>24.89</v>
      </c>
      <c r="P28" s="6">
        <v>38.520000000000003</v>
      </c>
      <c r="Q28" s="6">
        <v>18.16</v>
      </c>
    </row>
    <row r="29" spans="1:17" x14ac:dyDescent="0.25">
      <c r="A29" s="7">
        <v>2010</v>
      </c>
      <c r="B29" s="25">
        <f t="shared" si="1"/>
        <v>3.5099999999999997E-3</v>
      </c>
      <c r="C29" s="25">
        <f t="shared" si="2"/>
        <v>9.1500000000000001E-3</v>
      </c>
      <c r="D29" s="25">
        <f t="shared" si="3"/>
        <v>1.576E-2</v>
      </c>
      <c r="E29" s="25">
        <f t="shared" si="4"/>
        <v>1.9269999999999999E-2</v>
      </c>
      <c r="F29" s="25">
        <f t="shared" si="5"/>
        <v>2.5059999999999999E-2</v>
      </c>
      <c r="H29" s="7">
        <v>2010</v>
      </c>
      <c r="I29" s="8">
        <v>5.63</v>
      </c>
      <c r="J29" s="9">
        <v>10.76</v>
      </c>
      <c r="K29" s="9">
        <v>23.29</v>
      </c>
      <c r="L29" s="9">
        <v>25.17</v>
      </c>
      <c r="M29" s="9">
        <v>3.51</v>
      </c>
      <c r="N29" s="9">
        <v>9.15</v>
      </c>
      <c r="O29" s="9">
        <v>15.76</v>
      </c>
      <c r="P29" s="9">
        <v>19.27</v>
      </c>
      <c r="Q29" s="9">
        <v>25.06</v>
      </c>
    </row>
    <row r="30" spans="1:17" x14ac:dyDescent="0.25">
      <c r="A30" s="1">
        <v>2011</v>
      </c>
      <c r="B30" s="25">
        <f t="shared" si="1"/>
        <v>3.5099999999999997E-3</v>
      </c>
      <c r="C30" s="25">
        <f t="shared" si="2"/>
        <v>9.1500000000000001E-3</v>
      </c>
      <c r="D30" s="25">
        <f t="shared" si="3"/>
        <v>1.576E-2</v>
      </c>
      <c r="E30" s="25">
        <f t="shared" si="4"/>
        <v>1.9269999999999999E-2</v>
      </c>
      <c r="F30" s="25">
        <f t="shared" si="5"/>
        <v>2.5059999999999999E-2</v>
      </c>
      <c r="H30" s="1">
        <v>2011</v>
      </c>
      <c r="I30" s="2">
        <v>7.25</v>
      </c>
      <c r="J30" s="3">
        <v>12.01</v>
      </c>
      <c r="K30" s="3">
        <v>13.83</v>
      </c>
      <c r="L30" s="3">
        <v>14.7</v>
      </c>
      <c r="M30" s="3">
        <v>3.51</v>
      </c>
      <c r="N30" s="3">
        <v>9.15</v>
      </c>
      <c r="O30" s="3">
        <v>15.76</v>
      </c>
      <c r="P30" s="3">
        <v>19.27</v>
      </c>
      <c r="Q30" s="3">
        <v>25.06</v>
      </c>
    </row>
    <row r="31" spans="1:17" x14ac:dyDescent="0.25">
      <c r="A31" s="4">
        <v>2012</v>
      </c>
      <c r="B31" s="25">
        <f t="shared" si="1"/>
        <v>3.5099999999999997E-3</v>
      </c>
      <c r="C31" s="25">
        <f t="shared" si="2"/>
        <v>9.1500000000000001E-3</v>
      </c>
      <c r="D31" s="25">
        <f t="shared" si="3"/>
        <v>1.576E-2</v>
      </c>
      <c r="E31" s="25">
        <f t="shared" si="4"/>
        <v>1.9269999999999999E-2</v>
      </c>
      <c r="F31" s="25">
        <f t="shared" si="5"/>
        <v>2.5059999999999999E-2</v>
      </c>
      <c r="H31" s="4">
        <v>2012</v>
      </c>
      <c r="I31" s="5">
        <v>8.73</v>
      </c>
      <c r="J31" s="6">
        <v>12.73</v>
      </c>
      <c r="K31" s="6">
        <v>14.07</v>
      </c>
      <c r="L31" s="6">
        <v>15.63</v>
      </c>
      <c r="M31" s="6">
        <v>3.51</v>
      </c>
      <c r="N31" s="6">
        <v>9.15</v>
      </c>
      <c r="O31" s="6">
        <v>15.76</v>
      </c>
      <c r="P31" s="6">
        <v>19.27</v>
      </c>
      <c r="Q31" s="6">
        <v>25.06</v>
      </c>
    </row>
    <row r="32" spans="1:17" x14ac:dyDescent="0.25">
      <c r="A32" s="4">
        <v>2013</v>
      </c>
      <c r="B32" s="25">
        <f t="shared" si="1"/>
        <v>3.5099999999999997E-3</v>
      </c>
      <c r="C32" s="25">
        <f t="shared" si="2"/>
        <v>9.6500000000000006E-3</v>
      </c>
      <c r="D32" s="25">
        <f t="shared" si="3"/>
        <v>1.285E-2</v>
      </c>
      <c r="E32" s="25">
        <f t="shared" si="4"/>
        <v>1.5189999999999999E-2</v>
      </c>
      <c r="F32" s="25">
        <f t="shared" si="5"/>
        <v>1.644E-2</v>
      </c>
      <c r="H32" s="4">
        <v>2013</v>
      </c>
      <c r="I32" s="5">
        <v>6.39</v>
      </c>
      <c r="J32" s="6">
        <v>8.66</v>
      </c>
      <c r="K32" s="6">
        <v>15.11</v>
      </c>
      <c r="L32" s="6">
        <v>15.38</v>
      </c>
      <c r="M32" s="6">
        <v>3.51</v>
      </c>
      <c r="N32" s="6">
        <v>9.65</v>
      </c>
      <c r="O32" s="6">
        <v>12.85</v>
      </c>
      <c r="P32" s="6">
        <v>15.19</v>
      </c>
      <c r="Q32" s="6">
        <v>16.440000000000001</v>
      </c>
    </row>
    <row r="33" spans="1:17" x14ac:dyDescent="0.25">
      <c r="A33" s="4">
        <v>2014</v>
      </c>
      <c r="B33" s="25">
        <f t="shared" si="1"/>
        <v>3.5099999999999997E-3</v>
      </c>
      <c r="C33" s="25">
        <f t="shared" si="2"/>
        <v>9.1500000000000001E-3</v>
      </c>
      <c r="D33" s="25">
        <f t="shared" si="3"/>
        <v>1.576E-2</v>
      </c>
      <c r="E33" s="25">
        <f t="shared" si="4"/>
        <v>1.9269999999999999E-2</v>
      </c>
      <c r="F33" s="25">
        <f t="shared" si="5"/>
        <v>2.5059999999999999E-2</v>
      </c>
      <c r="H33" s="4">
        <v>2014</v>
      </c>
      <c r="I33" s="5">
        <v>5.04</v>
      </c>
      <c r="J33" s="6">
        <v>9.89</v>
      </c>
      <c r="K33" s="6">
        <v>12.65</v>
      </c>
      <c r="L33" s="6">
        <v>16.420000000000002</v>
      </c>
      <c r="M33" s="6">
        <v>3.51</v>
      </c>
      <c r="N33" s="6">
        <v>9.15</v>
      </c>
      <c r="O33" s="6">
        <v>15.76</v>
      </c>
      <c r="P33" s="6">
        <v>19.27</v>
      </c>
      <c r="Q33" s="6">
        <v>25.06</v>
      </c>
    </row>
    <row r="34" spans="1:17" x14ac:dyDescent="0.25">
      <c r="A34" s="4">
        <v>2015</v>
      </c>
      <c r="B34" s="25">
        <f t="shared" si="1"/>
        <v>3.5099999999999997E-3</v>
      </c>
      <c r="C34" s="25">
        <f t="shared" si="2"/>
        <v>9.1500000000000001E-3</v>
      </c>
      <c r="D34" s="25">
        <f t="shared" si="3"/>
        <v>1.576E-2</v>
      </c>
      <c r="E34" s="25">
        <f t="shared" si="4"/>
        <v>1.9269999999999999E-2</v>
      </c>
      <c r="F34" s="25">
        <f t="shared" si="5"/>
        <v>2.5059999999999999E-2</v>
      </c>
      <c r="H34" s="4">
        <v>2015</v>
      </c>
      <c r="I34" s="5">
        <v>6.87</v>
      </c>
      <c r="J34" s="6">
        <v>12.63</v>
      </c>
      <c r="K34" s="6">
        <v>14.72</v>
      </c>
      <c r="L34" s="6">
        <v>15.71</v>
      </c>
      <c r="M34" s="6">
        <v>3.51</v>
      </c>
      <c r="N34" s="6">
        <v>9.15</v>
      </c>
      <c r="O34" s="6">
        <v>15.76</v>
      </c>
      <c r="P34" s="6">
        <v>19.27</v>
      </c>
      <c r="Q34" s="6">
        <v>25.06</v>
      </c>
    </row>
    <row r="35" spans="1:17" x14ac:dyDescent="0.25">
      <c r="A35" s="4">
        <v>2016</v>
      </c>
      <c r="B35" s="25">
        <f t="shared" si="1"/>
        <v>3.5099999999999997E-3</v>
      </c>
      <c r="C35" s="25">
        <f t="shared" si="2"/>
        <v>9.1500000000000001E-3</v>
      </c>
      <c r="D35" s="25">
        <f t="shared" si="3"/>
        <v>1.576E-2</v>
      </c>
      <c r="E35" s="25">
        <f t="shared" si="4"/>
        <v>1.9269999999999999E-2</v>
      </c>
      <c r="F35" s="25">
        <f t="shared" si="5"/>
        <v>2.5059999999999999E-2</v>
      </c>
      <c r="H35" s="4">
        <v>2016</v>
      </c>
      <c r="I35" s="5">
        <v>3.37</v>
      </c>
      <c r="J35" s="6">
        <v>12.73</v>
      </c>
      <c r="K35" s="6">
        <v>14.22</v>
      </c>
      <c r="L35" s="6">
        <v>15.25</v>
      </c>
      <c r="M35" s="6">
        <v>3.51</v>
      </c>
      <c r="N35" s="6">
        <v>9.15</v>
      </c>
      <c r="O35" s="6">
        <v>15.76</v>
      </c>
      <c r="P35" s="6">
        <v>19.27</v>
      </c>
      <c r="Q35" s="6">
        <v>25.06</v>
      </c>
    </row>
    <row r="36" spans="1:17" x14ac:dyDescent="0.25">
      <c r="A36" s="4">
        <v>2017</v>
      </c>
      <c r="B36" s="25">
        <f t="shared" si="1"/>
        <v>3.5000000000000001E-3</v>
      </c>
      <c r="C36" s="25">
        <f t="shared" si="2"/>
        <v>8.1300000000000001E-3</v>
      </c>
      <c r="D36" s="25">
        <f t="shared" si="3"/>
        <v>1.3470000000000001E-2</v>
      </c>
      <c r="E36" s="25">
        <f t="shared" si="4"/>
        <v>1.1050000000000001E-2</v>
      </c>
      <c r="F36" s="25">
        <f t="shared" si="5"/>
        <v>2.1170000000000001E-2</v>
      </c>
      <c r="H36" s="4">
        <v>2017</v>
      </c>
      <c r="I36" s="5">
        <v>5.76</v>
      </c>
      <c r="J36" s="6">
        <v>8.8699999999999992</v>
      </c>
      <c r="K36" s="6">
        <v>12.79</v>
      </c>
      <c r="L36" s="6">
        <v>18.89</v>
      </c>
      <c r="M36" s="6">
        <v>3.5</v>
      </c>
      <c r="N36" s="6">
        <v>8.1300000000000008</v>
      </c>
      <c r="O36" s="6">
        <v>13.47</v>
      </c>
      <c r="P36" s="6">
        <v>11.05</v>
      </c>
      <c r="Q36" s="6">
        <v>21.17</v>
      </c>
    </row>
    <row r="37" spans="1:17" x14ac:dyDescent="0.25">
      <c r="A37" s="4">
        <v>2018</v>
      </c>
      <c r="B37" s="25">
        <f t="shared" si="1"/>
        <v>3.5099999999999997E-3</v>
      </c>
      <c r="C37" s="25">
        <f t="shared" si="2"/>
        <v>9.1500000000000001E-3</v>
      </c>
      <c r="D37" s="25">
        <f t="shared" si="3"/>
        <v>1.576E-2</v>
      </c>
      <c r="E37" s="25">
        <f t="shared" si="4"/>
        <v>1.9269999999999999E-2</v>
      </c>
      <c r="F37" s="25">
        <f t="shared" si="5"/>
        <v>2.5059999999999999E-2</v>
      </c>
      <c r="H37" s="4">
        <v>2018</v>
      </c>
      <c r="I37" s="5">
        <v>4.97</v>
      </c>
      <c r="J37" s="6">
        <v>9.42</v>
      </c>
      <c r="K37" s="6">
        <v>13.03</v>
      </c>
      <c r="L37" s="6">
        <v>14.58</v>
      </c>
      <c r="M37" s="6">
        <v>3.51</v>
      </c>
      <c r="N37" s="6">
        <v>9.15</v>
      </c>
      <c r="O37" s="6">
        <v>15.76</v>
      </c>
      <c r="P37" s="6">
        <v>19.27</v>
      </c>
      <c r="Q37" s="6">
        <v>25.06</v>
      </c>
    </row>
    <row r="38" spans="1:17" x14ac:dyDescent="0.25">
      <c r="A38" s="4">
        <v>2019</v>
      </c>
      <c r="B38" s="25">
        <f t="shared" si="1"/>
        <v>3.5099999999999997E-3</v>
      </c>
      <c r="C38" s="25">
        <f t="shared" si="2"/>
        <v>9.1500000000000001E-3</v>
      </c>
      <c r="D38" s="25">
        <f t="shared" si="3"/>
        <v>1.576E-2</v>
      </c>
      <c r="E38" s="25">
        <f t="shared" si="4"/>
        <v>1.9269999999999999E-2</v>
      </c>
      <c r="F38" s="25">
        <f t="shared" si="5"/>
        <v>2.5059999999999999E-2</v>
      </c>
      <c r="H38" s="4">
        <v>2019</v>
      </c>
      <c r="I38" s="5">
        <v>7.97</v>
      </c>
      <c r="J38" s="6">
        <v>12.96</v>
      </c>
      <c r="K38" s="6">
        <v>15.91</v>
      </c>
      <c r="L38" s="6">
        <v>18.62</v>
      </c>
      <c r="M38" s="6">
        <v>3.51</v>
      </c>
      <c r="N38" s="6">
        <v>9.15</v>
      </c>
      <c r="O38" s="6">
        <v>15.76</v>
      </c>
      <c r="P38" s="6">
        <v>19.27</v>
      </c>
      <c r="Q38" s="6">
        <v>25.06</v>
      </c>
    </row>
    <row r="39" spans="1:17" x14ac:dyDescent="0.25">
      <c r="A39" s="4">
        <v>2020</v>
      </c>
      <c r="B39" s="25">
        <f t="shared" si="1"/>
        <v>3.5099999999999997E-3</v>
      </c>
      <c r="C39" s="25">
        <f t="shared" si="2"/>
        <v>9.1500000000000001E-3</v>
      </c>
      <c r="D39" s="25">
        <f t="shared" si="3"/>
        <v>1.576E-2</v>
      </c>
      <c r="E39" s="25">
        <f t="shared" si="4"/>
        <v>1.9269999999999999E-2</v>
      </c>
      <c r="F39" s="25">
        <f t="shared" si="5"/>
        <v>2.5059999999999999E-2</v>
      </c>
      <c r="H39" s="4">
        <v>2020</v>
      </c>
      <c r="I39" s="5">
        <v>6.73</v>
      </c>
      <c r="J39" s="6">
        <v>14.98</v>
      </c>
      <c r="K39" s="6">
        <v>17.600000000000001</v>
      </c>
      <c r="L39" s="6">
        <v>24.35</v>
      </c>
      <c r="M39" s="6">
        <v>3.51</v>
      </c>
      <c r="N39" s="6">
        <v>9.15</v>
      </c>
      <c r="O39" s="6">
        <v>15.76</v>
      </c>
      <c r="P39" s="6">
        <v>19.27</v>
      </c>
      <c r="Q39" s="6">
        <v>25.06</v>
      </c>
    </row>
    <row r="40" spans="1:17" x14ac:dyDescent="0.25">
      <c r="A40" s="4">
        <v>2021</v>
      </c>
      <c r="B40" s="25">
        <f t="shared" si="1"/>
        <v>3.5099999999999997E-3</v>
      </c>
      <c r="C40" s="25">
        <f t="shared" si="2"/>
        <v>9.1500000000000001E-3</v>
      </c>
      <c r="D40" s="25">
        <f t="shared" si="3"/>
        <v>1.576E-2</v>
      </c>
      <c r="E40" s="25">
        <f t="shared" si="4"/>
        <v>1.9269999999999999E-2</v>
      </c>
      <c r="F40" s="25">
        <f t="shared" si="5"/>
        <v>2.5059999999999999E-2</v>
      </c>
      <c r="H40" s="4">
        <v>2021</v>
      </c>
      <c r="I40" s="5">
        <v>4.8499999999999996</v>
      </c>
      <c r="J40" s="6">
        <v>11.77</v>
      </c>
      <c r="K40" s="6">
        <v>16.64</v>
      </c>
      <c r="L40" s="6">
        <v>18.850000000000001</v>
      </c>
      <c r="M40" s="6">
        <v>3.51</v>
      </c>
      <c r="N40" s="6">
        <v>9.15</v>
      </c>
      <c r="O40" s="6">
        <v>15.76</v>
      </c>
      <c r="P40" s="6">
        <v>19.27</v>
      </c>
      <c r="Q40" s="6">
        <v>25.06</v>
      </c>
    </row>
    <row r="41" spans="1:17" x14ac:dyDescent="0.25">
      <c r="A41" s="4">
        <v>2022</v>
      </c>
      <c r="B41" s="25">
        <f t="shared" si="1"/>
        <v>3.5099999999999997E-3</v>
      </c>
      <c r="C41" s="25">
        <f t="shared" si="2"/>
        <v>8.94E-3</v>
      </c>
      <c r="D41" s="25">
        <f t="shared" si="3"/>
        <v>1.5310000000000001E-2</v>
      </c>
      <c r="E41" s="25">
        <f t="shared" si="4"/>
        <v>1.763E-2</v>
      </c>
      <c r="F41" s="25">
        <f t="shared" si="5"/>
        <v>2.4279999999999999E-2</v>
      </c>
      <c r="H41" s="4">
        <v>2022</v>
      </c>
      <c r="I41" s="5">
        <v>6.06</v>
      </c>
      <c r="J41" s="6">
        <v>11.6</v>
      </c>
      <c r="K41" s="6">
        <v>15.2</v>
      </c>
      <c r="L41" s="6">
        <v>19.059999999999999</v>
      </c>
      <c r="M41" s="6">
        <v>3.51</v>
      </c>
      <c r="N41" s="6">
        <v>8.94</v>
      </c>
      <c r="O41" s="6">
        <v>15.31</v>
      </c>
      <c r="P41" s="6">
        <v>17.63</v>
      </c>
      <c r="Q41" s="6">
        <v>24.28</v>
      </c>
    </row>
    <row r="42" spans="1:17" x14ac:dyDescent="0.25">
      <c r="A42" s="4">
        <v>2023</v>
      </c>
      <c r="B42" s="25">
        <f t="shared" si="1"/>
        <v>2.7400000000000002E-3</v>
      </c>
      <c r="C42" s="25">
        <f t="shared" si="2"/>
        <v>7.0199999999999993E-3</v>
      </c>
      <c r="D42" s="25">
        <f t="shared" si="3"/>
        <v>1.1890000000000001E-2</v>
      </c>
      <c r="E42" s="25">
        <f t="shared" si="4"/>
        <v>1.4579999999999999E-2</v>
      </c>
      <c r="F42" s="25">
        <f t="shared" si="5"/>
        <v>1.9379999999999998E-2</v>
      </c>
      <c r="H42" s="4">
        <v>2023</v>
      </c>
      <c r="I42" s="5">
        <v>5.34</v>
      </c>
      <c r="J42" s="6">
        <v>10.34</v>
      </c>
      <c r="K42" s="6">
        <v>13.64</v>
      </c>
      <c r="L42" s="6">
        <v>14.43</v>
      </c>
      <c r="M42" s="6">
        <v>2.74</v>
      </c>
      <c r="N42" s="6">
        <v>7.02</v>
      </c>
      <c r="O42" s="6">
        <v>11.89</v>
      </c>
      <c r="P42" s="6">
        <v>14.58</v>
      </c>
      <c r="Q42" s="6">
        <v>19.38</v>
      </c>
    </row>
    <row r="43" spans="1:17" x14ac:dyDescent="0.25">
      <c r="A43" s="4">
        <v>2024</v>
      </c>
      <c r="B43" s="25">
        <f t="shared" si="1"/>
        <v>2.2899999999999999E-3</v>
      </c>
      <c r="C43" s="25">
        <f t="shared" si="2"/>
        <v>5.8899999999999994E-3</v>
      </c>
      <c r="D43" s="25">
        <f t="shared" si="3"/>
        <v>1.001E-2</v>
      </c>
      <c r="E43" s="25">
        <f t="shared" si="4"/>
        <v>1.2279999999999999E-2</v>
      </c>
      <c r="F43" s="25">
        <f t="shared" si="5"/>
        <v>1.6590000000000001E-2</v>
      </c>
      <c r="H43" s="4">
        <v>2024</v>
      </c>
      <c r="I43" s="5">
        <v>6.01</v>
      </c>
      <c r="J43" s="6">
        <v>8.93</v>
      </c>
      <c r="K43" s="6">
        <v>9.41</v>
      </c>
      <c r="L43" s="6">
        <v>13.55</v>
      </c>
      <c r="M43" s="6">
        <v>2.29</v>
      </c>
      <c r="N43" s="6">
        <v>5.89</v>
      </c>
      <c r="O43" s="6">
        <v>10.01</v>
      </c>
      <c r="P43" s="6">
        <v>12.28</v>
      </c>
      <c r="Q43" s="6">
        <v>16.59</v>
      </c>
    </row>
    <row r="44" spans="1:17" x14ac:dyDescent="0.25">
      <c r="A44" s="7">
        <v>2025</v>
      </c>
      <c r="B44" s="25">
        <f t="shared" si="1"/>
        <v>3.1099999999999999E-3</v>
      </c>
      <c r="C44" s="25">
        <f t="shared" si="2"/>
        <v>8.0299999999999989E-3</v>
      </c>
      <c r="D44" s="25">
        <f t="shared" si="3"/>
        <v>1.375E-2</v>
      </c>
      <c r="E44" s="25">
        <f t="shared" si="4"/>
        <v>1.661E-2</v>
      </c>
      <c r="F44" s="25">
        <f t="shared" si="5"/>
        <v>2.2069999999999999E-2</v>
      </c>
      <c r="H44" s="7">
        <v>2025</v>
      </c>
      <c r="I44" s="8">
        <v>5.8</v>
      </c>
      <c r="J44" s="9">
        <v>11.52</v>
      </c>
      <c r="K44" s="9">
        <v>14.5</v>
      </c>
      <c r="L44" s="9">
        <v>18.05</v>
      </c>
      <c r="M44" s="9">
        <v>3.11</v>
      </c>
      <c r="N44" s="9">
        <v>8.0299999999999994</v>
      </c>
      <c r="O44" s="9">
        <v>13.75</v>
      </c>
      <c r="P44" s="9">
        <v>16.61</v>
      </c>
      <c r="Q44" s="9">
        <v>22.07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CCFB-5489-492B-9A0C-33FE2D9ED7F1}">
  <dimension ref="A1:R59"/>
  <sheetViews>
    <sheetView topLeftCell="A10" workbookViewId="0">
      <selection activeCell="B2" sqref="B2:F44"/>
    </sheetView>
  </sheetViews>
  <sheetFormatPr defaultRowHeight="15" x14ac:dyDescent="0.25"/>
  <sheetData>
    <row r="1" spans="1:18" x14ac:dyDescent="0.25">
      <c r="B1">
        <v>0</v>
      </c>
      <c r="C1">
        <v>1</v>
      </c>
      <c r="D1">
        <v>2</v>
      </c>
      <c r="E1">
        <v>3</v>
      </c>
      <c r="F1">
        <v>4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</row>
    <row r="2" spans="1:18" x14ac:dyDescent="0.25">
      <c r="A2" s="1">
        <v>1983</v>
      </c>
      <c r="B2" s="1">
        <v>0</v>
      </c>
      <c r="C2" s="3">
        <v>0.05</v>
      </c>
      <c r="D2" s="3">
        <v>0.78</v>
      </c>
      <c r="E2" s="3">
        <v>0.95</v>
      </c>
      <c r="F2" s="3">
        <v>1</v>
      </c>
      <c r="I2" s="1">
        <v>1983</v>
      </c>
      <c r="J2" s="2">
        <v>0.05</v>
      </c>
      <c r="K2" s="3">
        <v>0.78</v>
      </c>
      <c r="L2" s="3">
        <v>0.95</v>
      </c>
      <c r="M2" s="3">
        <v>1</v>
      </c>
      <c r="N2" s="1">
        <v>0</v>
      </c>
      <c r="O2" s="3">
        <v>0.05</v>
      </c>
      <c r="P2" s="3">
        <v>0.78</v>
      </c>
      <c r="Q2" s="3">
        <v>0.95</v>
      </c>
      <c r="R2" s="3">
        <v>1</v>
      </c>
    </row>
    <row r="3" spans="1:18" x14ac:dyDescent="0.25">
      <c r="A3" s="4">
        <v>1984</v>
      </c>
      <c r="B3" s="4">
        <v>0</v>
      </c>
      <c r="C3" s="6">
        <v>0.05</v>
      </c>
      <c r="D3" s="6">
        <v>0.78</v>
      </c>
      <c r="E3" s="6">
        <v>0.95</v>
      </c>
      <c r="F3" s="6">
        <v>1</v>
      </c>
      <c r="I3" s="4">
        <v>1984</v>
      </c>
      <c r="J3" s="5">
        <v>0.05</v>
      </c>
      <c r="K3" s="6">
        <v>0.78</v>
      </c>
      <c r="L3" s="6">
        <v>0.95</v>
      </c>
      <c r="M3" s="6">
        <v>1</v>
      </c>
      <c r="N3" s="4">
        <v>0</v>
      </c>
      <c r="O3" s="6">
        <v>0.05</v>
      </c>
      <c r="P3" s="6">
        <v>0.78</v>
      </c>
      <c r="Q3" s="6">
        <v>0.95</v>
      </c>
      <c r="R3" s="6">
        <v>1</v>
      </c>
    </row>
    <row r="4" spans="1:18" x14ac:dyDescent="0.25">
      <c r="A4" s="4">
        <v>1985</v>
      </c>
      <c r="B4" s="4">
        <v>0</v>
      </c>
      <c r="C4" s="6">
        <v>0.05</v>
      </c>
      <c r="D4" s="6">
        <v>0.78</v>
      </c>
      <c r="E4" s="6">
        <v>0.95</v>
      </c>
      <c r="F4" s="6">
        <v>1</v>
      </c>
      <c r="I4" s="4">
        <v>1985</v>
      </c>
      <c r="J4" s="5">
        <v>0.05</v>
      </c>
      <c r="K4" s="6">
        <v>0.78</v>
      </c>
      <c r="L4" s="6">
        <v>0.95</v>
      </c>
      <c r="M4" s="6">
        <v>1</v>
      </c>
      <c r="N4" s="4">
        <v>0</v>
      </c>
      <c r="O4" s="6">
        <v>0.05</v>
      </c>
      <c r="P4" s="6">
        <v>0.78</v>
      </c>
      <c r="Q4" s="6">
        <v>0.95</v>
      </c>
      <c r="R4" s="6">
        <v>1</v>
      </c>
    </row>
    <row r="5" spans="1:18" x14ac:dyDescent="0.25">
      <c r="A5" s="4">
        <v>1986</v>
      </c>
      <c r="B5" s="4">
        <v>0</v>
      </c>
      <c r="C5" s="6">
        <v>0.05</v>
      </c>
      <c r="D5" s="6">
        <v>0.78</v>
      </c>
      <c r="E5" s="6">
        <v>0.95</v>
      </c>
      <c r="F5" s="6">
        <v>1</v>
      </c>
      <c r="I5" s="4">
        <v>1986</v>
      </c>
      <c r="J5" s="5">
        <v>0.05</v>
      </c>
      <c r="K5" s="6">
        <v>0.78</v>
      </c>
      <c r="L5" s="6">
        <v>0.95</v>
      </c>
      <c r="M5" s="6">
        <v>1</v>
      </c>
      <c r="N5" s="4">
        <v>0</v>
      </c>
      <c r="O5" s="6">
        <v>0.05</v>
      </c>
      <c r="P5" s="6">
        <v>0.78</v>
      </c>
      <c r="Q5" s="6">
        <v>0.95</v>
      </c>
      <c r="R5" s="6">
        <v>1</v>
      </c>
    </row>
    <row r="6" spans="1:18" x14ac:dyDescent="0.25">
      <c r="A6" s="4">
        <v>1987</v>
      </c>
      <c r="B6" s="4">
        <v>0</v>
      </c>
      <c r="C6" s="6">
        <v>0.05</v>
      </c>
      <c r="D6" s="6">
        <v>0.78</v>
      </c>
      <c r="E6" s="6">
        <v>0.95</v>
      </c>
      <c r="F6" s="6">
        <v>1</v>
      </c>
      <c r="I6" s="4">
        <v>1987</v>
      </c>
      <c r="J6" s="5">
        <v>0.05</v>
      </c>
      <c r="K6" s="6">
        <v>0.78</v>
      </c>
      <c r="L6" s="6">
        <v>0.95</v>
      </c>
      <c r="M6" s="6">
        <v>1</v>
      </c>
      <c r="N6" s="4">
        <v>0</v>
      </c>
      <c r="O6" s="6">
        <v>0.05</v>
      </c>
      <c r="P6" s="6">
        <v>0.78</v>
      </c>
      <c r="Q6" s="6">
        <v>0.95</v>
      </c>
      <c r="R6" s="6">
        <v>1</v>
      </c>
    </row>
    <row r="7" spans="1:18" x14ac:dyDescent="0.25">
      <c r="A7" s="4">
        <v>1988</v>
      </c>
      <c r="B7" s="4">
        <v>0</v>
      </c>
      <c r="C7" s="6">
        <v>0.05</v>
      </c>
      <c r="D7" s="6">
        <v>0.78</v>
      </c>
      <c r="E7" s="6">
        <v>0.95</v>
      </c>
      <c r="F7" s="6">
        <v>1</v>
      </c>
      <c r="I7" s="4">
        <v>1988</v>
      </c>
      <c r="J7" s="5">
        <v>0.05</v>
      </c>
      <c r="K7" s="6">
        <v>0.78</v>
      </c>
      <c r="L7" s="6">
        <v>0.95</v>
      </c>
      <c r="M7" s="6">
        <v>1</v>
      </c>
      <c r="N7" s="4">
        <v>0</v>
      </c>
      <c r="O7" s="6">
        <v>0.05</v>
      </c>
      <c r="P7" s="6">
        <v>0.78</v>
      </c>
      <c r="Q7" s="6">
        <v>0.95</v>
      </c>
      <c r="R7" s="6">
        <v>1</v>
      </c>
    </row>
    <row r="8" spans="1:18" x14ac:dyDescent="0.25">
      <c r="A8" s="4">
        <v>1989</v>
      </c>
      <c r="B8" s="4">
        <v>0</v>
      </c>
      <c r="C8" s="6">
        <v>0.05</v>
      </c>
      <c r="D8" s="6">
        <v>0.78</v>
      </c>
      <c r="E8" s="6">
        <v>0.95</v>
      </c>
      <c r="F8" s="6">
        <v>1</v>
      </c>
      <c r="I8" s="4">
        <v>1989</v>
      </c>
      <c r="J8" s="5">
        <v>0.05</v>
      </c>
      <c r="K8" s="6">
        <v>0.78</v>
      </c>
      <c r="L8" s="6">
        <v>0.95</v>
      </c>
      <c r="M8" s="6">
        <v>1</v>
      </c>
      <c r="N8" s="4">
        <v>0</v>
      </c>
      <c r="O8" s="6">
        <v>0.05</v>
      </c>
      <c r="P8" s="6">
        <v>0.78</v>
      </c>
      <c r="Q8" s="6">
        <v>0.95</v>
      </c>
      <c r="R8" s="6">
        <v>1</v>
      </c>
    </row>
    <row r="9" spans="1:18" x14ac:dyDescent="0.25">
      <c r="A9" s="4">
        <v>1990</v>
      </c>
      <c r="B9" s="4">
        <v>0</v>
      </c>
      <c r="C9" s="6">
        <v>0.05</v>
      </c>
      <c r="D9" s="6">
        <v>0.78</v>
      </c>
      <c r="E9" s="6">
        <v>0.95</v>
      </c>
      <c r="F9" s="6">
        <v>1</v>
      </c>
      <c r="I9" s="4">
        <v>1990</v>
      </c>
      <c r="J9" s="5">
        <v>0.05</v>
      </c>
      <c r="K9" s="6">
        <v>0.78</v>
      </c>
      <c r="L9" s="6">
        <v>0.95</v>
      </c>
      <c r="M9" s="6">
        <v>1</v>
      </c>
      <c r="N9" s="4">
        <v>0</v>
      </c>
      <c r="O9" s="6">
        <v>0.05</v>
      </c>
      <c r="P9" s="6">
        <v>0.78</v>
      </c>
      <c r="Q9" s="6">
        <v>0.95</v>
      </c>
      <c r="R9" s="6">
        <v>1</v>
      </c>
    </row>
    <row r="10" spans="1:18" x14ac:dyDescent="0.25">
      <c r="A10" s="4">
        <v>1991</v>
      </c>
      <c r="B10" s="4">
        <v>0</v>
      </c>
      <c r="C10" s="6">
        <v>0.05</v>
      </c>
      <c r="D10" s="6">
        <v>0.78</v>
      </c>
      <c r="E10" s="6">
        <v>0.95</v>
      </c>
      <c r="F10" s="6">
        <v>1</v>
      </c>
      <c r="I10" s="4">
        <v>1991</v>
      </c>
      <c r="J10" s="5">
        <v>0.05</v>
      </c>
      <c r="K10" s="6">
        <v>0.78</v>
      </c>
      <c r="L10" s="6">
        <v>0.95</v>
      </c>
      <c r="M10" s="6">
        <v>1</v>
      </c>
      <c r="N10" s="4">
        <v>0</v>
      </c>
      <c r="O10" s="6">
        <v>0.05</v>
      </c>
      <c r="P10" s="6">
        <v>0.78</v>
      </c>
      <c r="Q10" s="6">
        <v>0.95</v>
      </c>
      <c r="R10" s="6">
        <v>1</v>
      </c>
    </row>
    <row r="11" spans="1:18" x14ac:dyDescent="0.25">
      <c r="A11" s="4">
        <v>1992</v>
      </c>
      <c r="B11" s="4">
        <v>0</v>
      </c>
      <c r="C11" s="6">
        <v>0.05</v>
      </c>
      <c r="D11" s="6">
        <v>0.78</v>
      </c>
      <c r="E11" s="6">
        <v>0.95</v>
      </c>
      <c r="F11" s="6">
        <v>1</v>
      </c>
      <c r="I11" s="4">
        <v>1992</v>
      </c>
      <c r="J11" s="5">
        <v>0.05</v>
      </c>
      <c r="K11" s="6">
        <v>0.78</v>
      </c>
      <c r="L11" s="6">
        <v>0.95</v>
      </c>
      <c r="M11" s="6">
        <v>1</v>
      </c>
      <c r="N11" s="4">
        <v>0</v>
      </c>
      <c r="O11" s="6">
        <v>0.05</v>
      </c>
      <c r="P11" s="6">
        <v>0.78</v>
      </c>
      <c r="Q11" s="6">
        <v>0.95</v>
      </c>
      <c r="R11" s="6">
        <v>1</v>
      </c>
    </row>
    <row r="12" spans="1:18" x14ac:dyDescent="0.25">
      <c r="A12" s="4">
        <v>1993</v>
      </c>
      <c r="B12" s="4">
        <v>0</v>
      </c>
      <c r="C12" s="6">
        <v>0.05</v>
      </c>
      <c r="D12" s="6">
        <v>0.78</v>
      </c>
      <c r="E12" s="6">
        <v>0.95</v>
      </c>
      <c r="F12" s="6">
        <v>1</v>
      </c>
      <c r="I12" s="4">
        <v>1993</v>
      </c>
      <c r="J12" s="5">
        <v>0.05</v>
      </c>
      <c r="K12" s="6">
        <v>0.78</v>
      </c>
      <c r="L12" s="6">
        <v>0.95</v>
      </c>
      <c r="M12" s="6">
        <v>1</v>
      </c>
      <c r="N12" s="4">
        <v>0</v>
      </c>
      <c r="O12" s="6">
        <v>0.05</v>
      </c>
      <c r="P12" s="6">
        <v>0.78</v>
      </c>
      <c r="Q12" s="6">
        <v>0.95</v>
      </c>
      <c r="R12" s="6">
        <v>1</v>
      </c>
    </row>
    <row r="13" spans="1:18" x14ac:dyDescent="0.25">
      <c r="A13" s="4">
        <v>1994</v>
      </c>
      <c r="B13" s="4">
        <v>0</v>
      </c>
      <c r="C13" s="6">
        <v>0.05</v>
      </c>
      <c r="D13" s="6">
        <v>0.78</v>
      </c>
      <c r="E13" s="6">
        <v>0.95</v>
      </c>
      <c r="F13" s="6">
        <v>1</v>
      </c>
      <c r="I13" s="4">
        <v>1994</v>
      </c>
      <c r="J13" s="5">
        <v>0.05</v>
      </c>
      <c r="K13" s="6">
        <v>0.78</v>
      </c>
      <c r="L13" s="6">
        <v>0.95</v>
      </c>
      <c r="M13" s="6">
        <v>1</v>
      </c>
      <c r="N13" s="4">
        <v>0</v>
      </c>
      <c r="O13" s="6">
        <v>0.05</v>
      </c>
      <c r="P13" s="6">
        <v>0.78</v>
      </c>
      <c r="Q13" s="6">
        <v>0.95</v>
      </c>
      <c r="R13" s="6">
        <v>1</v>
      </c>
    </row>
    <row r="14" spans="1:18" x14ac:dyDescent="0.25">
      <c r="A14" s="4">
        <v>1995</v>
      </c>
      <c r="B14" s="4">
        <v>0</v>
      </c>
      <c r="C14" s="6">
        <v>0.05</v>
      </c>
      <c r="D14" s="6">
        <v>0.78</v>
      </c>
      <c r="E14" s="6">
        <v>0.95</v>
      </c>
      <c r="F14" s="6">
        <v>1</v>
      </c>
      <c r="I14" s="4">
        <v>1995</v>
      </c>
      <c r="J14" s="5">
        <v>0.05</v>
      </c>
      <c r="K14" s="6">
        <v>0.78</v>
      </c>
      <c r="L14" s="6">
        <v>0.95</v>
      </c>
      <c r="M14" s="6">
        <v>1</v>
      </c>
      <c r="N14" s="4">
        <v>0</v>
      </c>
      <c r="O14" s="6">
        <v>0.05</v>
      </c>
      <c r="P14" s="6">
        <v>0.78</v>
      </c>
      <c r="Q14" s="6">
        <v>0.95</v>
      </c>
      <c r="R14" s="6">
        <v>1</v>
      </c>
    </row>
    <row r="15" spans="1:18" x14ac:dyDescent="0.25">
      <c r="A15" s="4">
        <v>1996</v>
      </c>
      <c r="B15" s="4">
        <v>0</v>
      </c>
      <c r="C15" s="6">
        <v>0.05</v>
      </c>
      <c r="D15" s="6">
        <v>0.78</v>
      </c>
      <c r="E15" s="6">
        <v>0.95</v>
      </c>
      <c r="F15" s="6">
        <v>1</v>
      </c>
      <c r="I15" s="4">
        <v>1996</v>
      </c>
      <c r="J15" s="5">
        <v>0.05</v>
      </c>
      <c r="K15" s="6">
        <v>0.78</v>
      </c>
      <c r="L15" s="6">
        <v>0.95</v>
      </c>
      <c r="M15" s="6">
        <v>1</v>
      </c>
      <c r="N15" s="4">
        <v>0</v>
      </c>
      <c r="O15" s="6">
        <v>0.05</v>
      </c>
      <c r="P15" s="6">
        <v>0.78</v>
      </c>
      <c r="Q15" s="6">
        <v>0.95</v>
      </c>
      <c r="R15" s="6">
        <v>1</v>
      </c>
    </row>
    <row r="16" spans="1:18" x14ac:dyDescent="0.25">
      <c r="A16" s="4">
        <v>1997</v>
      </c>
      <c r="B16" s="4">
        <v>0</v>
      </c>
      <c r="C16" s="6">
        <v>0.05</v>
      </c>
      <c r="D16" s="6">
        <v>0.78</v>
      </c>
      <c r="E16" s="6">
        <v>0.95</v>
      </c>
      <c r="F16" s="6">
        <v>1</v>
      </c>
      <c r="I16" s="4">
        <v>1997</v>
      </c>
      <c r="J16" s="5">
        <v>0.05</v>
      </c>
      <c r="K16" s="6">
        <v>0.78</v>
      </c>
      <c r="L16" s="6">
        <v>0.95</v>
      </c>
      <c r="M16" s="6">
        <v>1</v>
      </c>
      <c r="N16" s="4">
        <v>0</v>
      </c>
      <c r="O16" s="6">
        <v>0.05</v>
      </c>
      <c r="P16" s="6">
        <v>0.78</v>
      </c>
      <c r="Q16" s="6">
        <v>0.95</v>
      </c>
      <c r="R16" s="6">
        <v>1</v>
      </c>
    </row>
    <row r="17" spans="1:18" x14ac:dyDescent="0.25">
      <c r="A17" s="4">
        <v>1998</v>
      </c>
      <c r="B17" s="4">
        <v>0</v>
      </c>
      <c r="C17" s="6">
        <v>0.05</v>
      </c>
      <c r="D17" s="6">
        <v>0.78</v>
      </c>
      <c r="E17" s="6">
        <v>0.95</v>
      </c>
      <c r="F17" s="6">
        <v>1</v>
      </c>
      <c r="I17" s="4">
        <v>1998</v>
      </c>
      <c r="J17" s="5">
        <v>0.05</v>
      </c>
      <c r="K17" s="6">
        <v>0.78</v>
      </c>
      <c r="L17" s="6">
        <v>0.95</v>
      </c>
      <c r="M17" s="6">
        <v>1</v>
      </c>
      <c r="N17" s="4">
        <v>0</v>
      </c>
      <c r="O17" s="6">
        <v>0.05</v>
      </c>
      <c r="P17" s="6">
        <v>0.78</v>
      </c>
      <c r="Q17" s="6">
        <v>0.95</v>
      </c>
      <c r="R17" s="6">
        <v>1</v>
      </c>
    </row>
    <row r="18" spans="1:18" x14ac:dyDescent="0.25">
      <c r="A18" s="4">
        <v>1999</v>
      </c>
      <c r="B18" s="4">
        <v>0</v>
      </c>
      <c r="C18" s="6">
        <v>0.05</v>
      </c>
      <c r="D18" s="6">
        <v>0.78</v>
      </c>
      <c r="E18" s="6">
        <v>0.95</v>
      </c>
      <c r="F18" s="6">
        <v>1</v>
      </c>
      <c r="I18" s="4">
        <v>1999</v>
      </c>
      <c r="J18" s="5">
        <v>0.05</v>
      </c>
      <c r="K18" s="6">
        <v>0.78</v>
      </c>
      <c r="L18" s="6">
        <v>0.95</v>
      </c>
      <c r="M18" s="6">
        <v>1</v>
      </c>
      <c r="N18" s="4">
        <v>0</v>
      </c>
      <c r="O18" s="6">
        <v>0.05</v>
      </c>
      <c r="P18" s="6">
        <v>0.78</v>
      </c>
      <c r="Q18" s="6">
        <v>0.95</v>
      </c>
      <c r="R18" s="6">
        <v>1</v>
      </c>
    </row>
    <row r="19" spans="1:18" x14ac:dyDescent="0.25">
      <c r="A19" s="4">
        <v>2000</v>
      </c>
      <c r="B19" s="4">
        <v>0</v>
      </c>
      <c r="C19" s="6">
        <v>0.05</v>
      </c>
      <c r="D19" s="6">
        <v>0.78</v>
      </c>
      <c r="E19" s="6">
        <v>0.95</v>
      </c>
      <c r="F19" s="6">
        <v>1</v>
      </c>
      <c r="I19" s="4">
        <v>2000</v>
      </c>
      <c r="J19" s="5">
        <v>0.05</v>
      </c>
      <c r="K19" s="6">
        <v>0.78</v>
      </c>
      <c r="L19" s="6">
        <v>0.95</v>
      </c>
      <c r="M19" s="6">
        <v>1</v>
      </c>
      <c r="N19" s="4">
        <v>0</v>
      </c>
      <c r="O19" s="6">
        <v>0.05</v>
      </c>
      <c r="P19" s="6">
        <v>0.78</v>
      </c>
      <c r="Q19" s="6">
        <v>0.95</v>
      </c>
      <c r="R19" s="6">
        <v>1</v>
      </c>
    </row>
    <row r="20" spans="1:18" x14ac:dyDescent="0.25">
      <c r="A20" s="4">
        <v>2001</v>
      </c>
      <c r="B20" s="4">
        <v>0</v>
      </c>
      <c r="C20" s="6">
        <v>0.05</v>
      </c>
      <c r="D20" s="6">
        <v>0.78</v>
      </c>
      <c r="E20" s="6">
        <v>0.95</v>
      </c>
      <c r="F20" s="6">
        <v>1</v>
      </c>
      <c r="I20" s="4">
        <v>2001</v>
      </c>
      <c r="J20" s="5">
        <v>0.05</v>
      </c>
      <c r="K20" s="6">
        <v>0.78</v>
      </c>
      <c r="L20" s="6">
        <v>0.95</v>
      </c>
      <c r="M20" s="6">
        <v>1</v>
      </c>
      <c r="N20" s="4">
        <v>0</v>
      </c>
      <c r="O20" s="6">
        <v>0.05</v>
      </c>
      <c r="P20" s="6">
        <v>0.78</v>
      </c>
      <c r="Q20" s="6">
        <v>0.95</v>
      </c>
      <c r="R20" s="6">
        <v>1</v>
      </c>
    </row>
    <row r="21" spans="1:18" x14ac:dyDescent="0.25">
      <c r="A21" s="4">
        <v>2002</v>
      </c>
      <c r="B21" s="4">
        <v>0</v>
      </c>
      <c r="C21" s="6">
        <v>0.05</v>
      </c>
      <c r="D21" s="6">
        <v>0.78</v>
      </c>
      <c r="E21" s="6">
        <v>0.95</v>
      </c>
      <c r="F21" s="6">
        <v>1</v>
      </c>
      <c r="I21" s="4">
        <v>2002</v>
      </c>
      <c r="J21" s="5">
        <v>0.05</v>
      </c>
      <c r="K21" s="6">
        <v>0.78</v>
      </c>
      <c r="L21" s="6">
        <v>0.95</v>
      </c>
      <c r="M21" s="6">
        <v>1</v>
      </c>
      <c r="N21" s="4">
        <v>0</v>
      </c>
      <c r="O21" s="6">
        <v>0.05</v>
      </c>
      <c r="P21" s="6">
        <v>0.78</v>
      </c>
      <c r="Q21" s="6">
        <v>0.95</v>
      </c>
      <c r="R21" s="6">
        <v>1</v>
      </c>
    </row>
    <row r="22" spans="1:18" x14ac:dyDescent="0.25">
      <c r="A22" s="4">
        <v>2003</v>
      </c>
      <c r="B22" s="4">
        <v>0</v>
      </c>
      <c r="C22" s="6">
        <v>0.05</v>
      </c>
      <c r="D22" s="6">
        <v>0.78</v>
      </c>
      <c r="E22" s="6">
        <v>0.95</v>
      </c>
      <c r="F22" s="6">
        <v>1</v>
      </c>
      <c r="I22" s="4">
        <v>2003</v>
      </c>
      <c r="J22" s="5">
        <v>0.05</v>
      </c>
      <c r="K22" s="6">
        <v>0.78</v>
      </c>
      <c r="L22" s="6">
        <v>0.95</v>
      </c>
      <c r="M22" s="6">
        <v>1</v>
      </c>
      <c r="N22" s="4">
        <v>0</v>
      </c>
      <c r="O22" s="6">
        <v>0.05</v>
      </c>
      <c r="P22" s="6">
        <v>0.78</v>
      </c>
      <c r="Q22" s="6">
        <v>0.95</v>
      </c>
      <c r="R22" s="6">
        <v>1</v>
      </c>
    </row>
    <row r="23" spans="1:18" x14ac:dyDescent="0.25">
      <c r="A23" s="4">
        <v>2004</v>
      </c>
      <c r="B23" s="4">
        <v>0</v>
      </c>
      <c r="C23" s="6">
        <v>0.05</v>
      </c>
      <c r="D23" s="6">
        <v>0.78</v>
      </c>
      <c r="E23" s="6">
        <v>0.95</v>
      </c>
      <c r="F23" s="6">
        <v>1</v>
      </c>
      <c r="I23" s="4">
        <v>2004</v>
      </c>
      <c r="J23" s="5">
        <v>0.05</v>
      </c>
      <c r="K23" s="6">
        <v>0.78</v>
      </c>
      <c r="L23" s="6">
        <v>0.95</v>
      </c>
      <c r="M23" s="6">
        <v>1</v>
      </c>
      <c r="N23" s="4">
        <v>0</v>
      </c>
      <c r="O23" s="6">
        <v>0.05</v>
      </c>
      <c r="P23" s="6">
        <v>0.78</v>
      </c>
      <c r="Q23" s="6">
        <v>0.95</v>
      </c>
      <c r="R23" s="6">
        <v>1</v>
      </c>
    </row>
    <row r="24" spans="1:18" x14ac:dyDescent="0.25">
      <c r="A24" s="4">
        <v>2005</v>
      </c>
      <c r="B24" s="4">
        <v>0</v>
      </c>
      <c r="C24" s="6">
        <v>0.05</v>
      </c>
      <c r="D24" s="6">
        <v>0.78</v>
      </c>
      <c r="E24" s="6">
        <v>0.95</v>
      </c>
      <c r="F24" s="6">
        <v>1</v>
      </c>
      <c r="I24" s="4">
        <v>2005</v>
      </c>
      <c r="J24" s="5">
        <v>0.05</v>
      </c>
      <c r="K24" s="6">
        <v>0.78</v>
      </c>
      <c r="L24" s="6">
        <v>0.95</v>
      </c>
      <c r="M24" s="6">
        <v>1</v>
      </c>
      <c r="N24" s="4">
        <v>0</v>
      </c>
      <c r="O24" s="6">
        <v>0.05</v>
      </c>
      <c r="P24" s="6">
        <v>0.78</v>
      </c>
      <c r="Q24" s="6">
        <v>0.95</v>
      </c>
      <c r="R24" s="6">
        <v>1</v>
      </c>
    </row>
    <row r="25" spans="1:18" x14ac:dyDescent="0.25">
      <c r="A25" s="4">
        <v>2006</v>
      </c>
      <c r="B25" s="4">
        <v>0</v>
      </c>
      <c r="C25" s="6">
        <v>0.05</v>
      </c>
      <c r="D25" s="6">
        <v>0.78</v>
      </c>
      <c r="E25" s="6">
        <v>0.95</v>
      </c>
      <c r="F25" s="6">
        <v>1</v>
      </c>
      <c r="I25" s="4">
        <v>2006</v>
      </c>
      <c r="J25" s="5">
        <v>0.05</v>
      </c>
      <c r="K25" s="6">
        <v>0.78</v>
      </c>
      <c r="L25" s="6">
        <v>0.95</v>
      </c>
      <c r="M25" s="6">
        <v>1</v>
      </c>
      <c r="N25" s="4">
        <v>0</v>
      </c>
      <c r="O25" s="6">
        <v>0.05</v>
      </c>
      <c r="P25" s="6">
        <v>0.78</v>
      </c>
      <c r="Q25" s="6">
        <v>0.95</v>
      </c>
      <c r="R25" s="6">
        <v>1</v>
      </c>
    </row>
    <row r="26" spans="1:18" x14ac:dyDescent="0.25">
      <c r="A26" s="4">
        <v>2007</v>
      </c>
      <c r="B26" s="4">
        <v>0</v>
      </c>
      <c r="C26" s="6">
        <v>0.05</v>
      </c>
      <c r="D26" s="6">
        <v>0.78</v>
      </c>
      <c r="E26" s="6">
        <v>0.95</v>
      </c>
      <c r="F26" s="6">
        <v>1</v>
      </c>
      <c r="I26" s="4">
        <v>2007</v>
      </c>
      <c r="J26" s="5">
        <v>0.05</v>
      </c>
      <c r="K26" s="6">
        <v>0.78</v>
      </c>
      <c r="L26" s="6">
        <v>0.95</v>
      </c>
      <c r="M26" s="6">
        <v>1</v>
      </c>
      <c r="N26" s="4">
        <v>0</v>
      </c>
      <c r="O26" s="6">
        <v>0.05</v>
      </c>
      <c r="P26" s="6">
        <v>0.78</v>
      </c>
      <c r="Q26" s="6">
        <v>0.95</v>
      </c>
      <c r="R26" s="6">
        <v>1</v>
      </c>
    </row>
    <row r="27" spans="1:18" x14ac:dyDescent="0.25">
      <c r="A27" s="4">
        <v>2008</v>
      </c>
      <c r="B27" s="4">
        <v>0</v>
      </c>
      <c r="C27" s="6">
        <v>0.05</v>
      </c>
      <c r="D27" s="6">
        <v>0.78</v>
      </c>
      <c r="E27" s="6">
        <v>0.95</v>
      </c>
      <c r="F27" s="6">
        <v>1</v>
      </c>
      <c r="I27" s="4">
        <v>2008</v>
      </c>
      <c r="J27" s="5">
        <v>0.05</v>
      </c>
      <c r="K27" s="6">
        <v>0.78</v>
      </c>
      <c r="L27" s="6">
        <v>0.95</v>
      </c>
      <c r="M27" s="6">
        <v>1</v>
      </c>
      <c r="N27" s="4">
        <v>0</v>
      </c>
      <c r="O27" s="6">
        <v>0.05</v>
      </c>
      <c r="P27" s="6">
        <v>0.78</v>
      </c>
      <c r="Q27" s="6">
        <v>0.95</v>
      </c>
      <c r="R27" s="6">
        <v>1</v>
      </c>
    </row>
    <row r="28" spans="1:18" x14ac:dyDescent="0.25">
      <c r="A28" s="4">
        <v>2009</v>
      </c>
      <c r="B28" s="4">
        <v>0</v>
      </c>
      <c r="C28" s="6">
        <v>0.05</v>
      </c>
      <c r="D28" s="6">
        <v>0.78</v>
      </c>
      <c r="E28" s="6">
        <v>0.95</v>
      </c>
      <c r="F28" s="6">
        <v>1</v>
      </c>
      <c r="I28" s="4">
        <v>2009</v>
      </c>
      <c r="J28" s="5">
        <v>0.05</v>
      </c>
      <c r="K28" s="6">
        <v>0.78</v>
      </c>
      <c r="L28" s="6">
        <v>0.95</v>
      </c>
      <c r="M28" s="6">
        <v>1</v>
      </c>
      <c r="N28" s="4">
        <v>0</v>
      </c>
      <c r="O28" s="6">
        <v>0.05</v>
      </c>
      <c r="P28" s="6">
        <v>0.78</v>
      </c>
      <c r="Q28" s="6">
        <v>0.95</v>
      </c>
      <c r="R28" s="6">
        <v>1</v>
      </c>
    </row>
    <row r="29" spans="1:18" x14ac:dyDescent="0.25">
      <c r="A29" s="7">
        <v>2010</v>
      </c>
      <c r="B29" s="7">
        <v>0</v>
      </c>
      <c r="C29" s="9">
        <v>0.03</v>
      </c>
      <c r="D29" s="9">
        <v>0.78</v>
      </c>
      <c r="E29" s="9">
        <v>0.95</v>
      </c>
      <c r="F29" s="9">
        <v>1</v>
      </c>
      <c r="I29" s="7">
        <v>2010</v>
      </c>
      <c r="J29" s="8">
        <v>0.03</v>
      </c>
      <c r="K29" s="9">
        <v>0.78</v>
      </c>
      <c r="L29" s="9">
        <v>0.95</v>
      </c>
      <c r="M29" s="9">
        <v>1</v>
      </c>
      <c r="N29" s="7">
        <v>0</v>
      </c>
      <c r="O29" s="9">
        <v>0.03</v>
      </c>
      <c r="P29" s="9">
        <v>0.78</v>
      </c>
      <c r="Q29" s="9">
        <v>0.95</v>
      </c>
      <c r="R29" s="9">
        <v>1</v>
      </c>
    </row>
    <row r="30" spans="1:18" x14ac:dyDescent="0.25">
      <c r="A30" s="1">
        <v>2011</v>
      </c>
      <c r="B30" s="1">
        <v>0</v>
      </c>
      <c r="C30" s="3">
        <v>0.03</v>
      </c>
      <c r="D30" s="3">
        <v>0.79</v>
      </c>
      <c r="E30" s="3">
        <v>0.95</v>
      </c>
      <c r="F30" s="3">
        <v>1</v>
      </c>
      <c r="I30" s="1">
        <v>2011</v>
      </c>
      <c r="J30" s="2">
        <v>0.03</v>
      </c>
      <c r="K30" s="3">
        <v>0.79</v>
      </c>
      <c r="L30" s="3">
        <v>0.95</v>
      </c>
      <c r="M30" s="3">
        <v>1</v>
      </c>
      <c r="N30" s="1">
        <v>0</v>
      </c>
      <c r="O30" s="3">
        <v>0.03</v>
      </c>
      <c r="P30" s="3">
        <v>0.79</v>
      </c>
      <c r="Q30" s="3">
        <v>0.95</v>
      </c>
      <c r="R30" s="3">
        <v>1</v>
      </c>
    </row>
    <row r="31" spans="1:18" x14ac:dyDescent="0.25">
      <c r="A31" s="4">
        <v>2012</v>
      </c>
      <c r="B31" s="4">
        <v>0</v>
      </c>
      <c r="C31" s="6">
        <v>0.03</v>
      </c>
      <c r="D31" s="6">
        <v>0.78</v>
      </c>
      <c r="E31" s="6">
        <v>0.95</v>
      </c>
      <c r="F31" s="6">
        <v>1</v>
      </c>
      <c r="I31" s="4">
        <v>2012</v>
      </c>
      <c r="J31" s="5">
        <v>0.03</v>
      </c>
      <c r="K31" s="6">
        <v>0.78</v>
      </c>
      <c r="L31" s="6">
        <v>0.95</v>
      </c>
      <c r="M31" s="6">
        <v>1</v>
      </c>
      <c r="N31" s="4">
        <v>0</v>
      </c>
      <c r="O31" s="6">
        <v>0.03</v>
      </c>
      <c r="P31" s="6">
        <v>0.78</v>
      </c>
      <c r="Q31" s="6">
        <v>0.95</v>
      </c>
      <c r="R31" s="6">
        <v>1</v>
      </c>
    </row>
    <row r="32" spans="1:18" x14ac:dyDescent="0.25">
      <c r="A32" s="4">
        <v>2013</v>
      </c>
      <c r="B32" s="4">
        <v>0</v>
      </c>
      <c r="C32" s="6">
        <v>0.03</v>
      </c>
      <c r="D32" s="6">
        <v>0.68</v>
      </c>
      <c r="E32" s="6">
        <v>0.95</v>
      </c>
      <c r="F32" s="6">
        <v>1</v>
      </c>
      <c r="I32" s="4">
        <v>2013</v>
      </c>
      <c r="J32" s="5">
        <v>0.03</v>
      </c>
      <c r="K32" s="6">
        <v>0.68</v>
      </c>
      <c r="L32" s="6">
        <v>0.95</v>
      </c>
      <c r="M32" s="6">
        <v>1</v>
      </c>
      <c r="N32" s="4">
        <v>0</v>
      </c>
      <c r="O32" s="6">
        <v>0.03</v>
      </c>
      <c r="P32" s="6">
        <v>0.68</v>
      </c>
      <c r="Q32" s="6">
        <v>0.95</v>
      </c>
      <c r="R32" s="6">
        <v>1</v>
      </c>
    </row>
    <row r="33" spans="1:18" x14ac:dyDescent="0.25">
      <c r="A33" s="4">
        <v>2014</v>
      </c>
      <c r="B33" s="4">
        <v>0</v>
      </c>
      <c r="C33" s="6">
        <v>0.03</v>
      </c>
      <c r="D33" s="6">
        <v>0.67</v>
      </c>
      <c r="E33" s="6">
        <v>0.99</v>
      </c>
      <c r="F33" s="6">
        <v>1</v>
      </c>
      <c r="I33" s="4">
        <v>2014</v>
      </c>
      <c r="J33" s="5">
        <v>0.03</v>
      </c>
      <c r="K33" s="6">
        <v>0.67</v>
      </c>
      <c r="L33" s="6">
        <v>0.99</v>
      </c>
      <c r="M33" s="6">
        <v>1</v>
      </c>
      <c r="N33" s="4">
        <v>0</v>
      </c>
      <c r="O33" s="6">
        <v>0.03</v>
      </c>
      <c r="P33" s="6">
        <v>0.67</v>
      </c>
      <c r="Q33" s="6">
        <v>0.99</v>
      </c>
      <c r="R33" s="6">
        <v>1</v>
      </c>
    </row>
    <row r="34" spans="1:18" x14ac:dyDescent="0.25">
      <c r="A34" s="4">
        <v>2015</v>
      </c>
      <c r="B34" s="4">
        <v>0</v>
      </c>
      <c r="C34" s="6">
        <v>0.01</v>
      </c>
      <c r="D34" s="6">
        <v>0.77</v>
      </c>
      <c r="E34" s="6">
        <v>0.99</v>
      </c>
      <c r="F34" s="6">
        <v>1</v>
      </c>
      <c r="I34" s="4">
        <v>2015</v>
      </c>
      <c r="J34" s="5">
        <v>0.01</v>
      </c>
      <c r="K34" s="6">
        <v>0.77</v>
      </c>
      <c r="L34" s="6">
        <v>0.99</v>
      </c>
      <c r="M34" s="6">
        <v>1</v>
      </c>
      <c r="N34" s="4">
        <v>0</v>
      </c>
      <c r="O34" s="6">
        <v>0.01</v>
      </c>
      <c r="P34" s="6">
        <v>0.77</v>
      </c>
      <c r="Q34" s="6">
        <v>0.99</v>
      </c>
      <c r="R34" s="6">
        <v>1</v>
      </c>
    </row>
    <row r="35" spans="1:18" x14ac:dyDescent="0.25">
      <c r="A35" s="4">
        <v>2016</v>
      </c>
      <c r="B35" s="4">
        <v>0</v>
      </c>
      <c r="C35" s="6">
        <v>0.01</v>
      </c>
      <c r="D35" s="6">
        <v>0.64</v>
      </c>
      <c r="E35" s="6">
        <v>0.98</v>
      </c>
      <c r="F35" s="6">
        <v>1</v>
      </c>
      <c r="I35" s="4">
        <v>2016</v>
      </c>
      <c r="J35" s="5">
        <v>0.01</v>
      </c>
      <c r="K35" s="6">
        <v>0.64</v>
      </c>
      <c r="L35" s="6">
        <v>0.98</v>
      </c>
      <c r="M35" s="6">
        <v>1</v>
      </c>
      <c r="N35" s="4">
        <v>0</v>
      </c>
      <c r="O35" s="6">
        <v>0.01</v>
      </c>
      <c r="P35" s="6">
        <v>0.64</v>
      </c>
      <c r="Q35" s="6">
        <v>0.98</v>
      </c>
      <c r="R35" s="6">
        <v>1</v>
      </c>
    </row>
    <row r="36" spans="1:18" x14ac:dyDescent="0.25">
      <c r="A36" s="4">
        <v>2017</v>
      </c>
      <c r="B36" s="4">
        <v>0</v>
      </c>
      <c r="C36" s="6">
        <v>0.02</v>
      </c>
      <c r="D36" s="6">
        <v>0.64</v>
      </c>
      <c r="E36" s="6">
        <v>0.98</v>
      </c>
      <c r="F36" s="6">
        <v>1</v>
      </c>
      <c r="I36" s="4">
        <v>2017</v>
      </c>
      <c r="J36" s="5">
        <v>0.02</v>
      </c>
      <c r="K36" s="6">
        <v>0.64</v>
      </c>
      <c r="L36" s="6">
        <v>0.98</v>
      </c>
      <c r="M36" s="6">
        <v>1</v>
      </c>
      <c r="N36" s="4">
        <v>0</v>
      </c>
      <c r="O36" s="6">
        <v>0.02</v>
      </c>
      <c r="P36" s="6">
        <v>0.64</v>
      </c>
      <c r="Q36" s="6">
        <v>0.98</v>
      </c>
      <c r="R36" s="6">
        <v>1</v>
      </c>
    </row>
    <row r="37" spans="1:18" x14ac:dyDescent="0.25">
      <c r="A37" s="4">
        <v>2018</v>
      </c>
      <c r="B37" s="4">
        <v>0</v>
      </c>
      <c r="C37" s="6">
        <v>0.01</v>
      </c>
      <c r="D37" s="6">
        <v>0.6</v>
      </c>
      <c r="E37" s="6">
        <v>0.98</v>
      </c>
      <c r="F37" s="6">
        <v>1</v>
      </c>
      <c r="I37" s="4">
        <v>2018</v>
      </c>
      <c r="J37" s="5">
        <v>0.01</v>
      </c>
      <c r="K37" s="6">
        <v>0.6</v>
      </c>
      <c r="L37" s="6">
        <v>0.98</v>
      </c>
      <c r="M37" s="6">
        <v>1</v>
      </c>
      <c r="N37" s="4">
        <v>0</v>
      </c>
      <c r="O37" s="6">
        <v>0.01</v>
      </c>
      <c r="P37" s="6">
        <v>0.6</v>
      </c>
      <c r="Q37" s="6">
        <v>0.98</v>
      </c>
      <c r="R37" s="6">
        <v>1</v>
      </c>
    </row>
    <row r="38" spans="1:18" x14ac:dyDescent="0.25">
      <c r="A38" s="4">
        <v>2019</v>
      </c>
      <c r="B38" s="4">
        <v>0</v>
      </c>
      <c r="C38" s="6">
        <v>0.02</v>
      </c>
      <c r="D38" s="6">
        <v>0.57999999999999996</v>
      </c>
      <c r="E38" s="6">
        <v>0.98</v>
      </c>
      <c r="F38" s="6">
        <v>0.99</v>
      </c>
      <c r="I38" s="4">
        <v>2019</v>
      </c>
      <c r="J38" s="5">
        <v>0.02</v>
      </c>
      <c r="K38" s="6">
        <v>0.57999999999999996</v>
      </c>
      <c r="L38" s="6">
        <v>0.98</v>
      </c>
      <c r="M38" s="6">
        <v>0.99</v>
      </c>
      <c r="N38" s="4">
        <v>0</v>
      </c>
      <c r="O38" s="6">
        <v>0.02</v>
      </c>
      <c r="P38" s="6">
        <v>0.57999999999999996</v>
      </c>
      <c r="Q38" s="6">
        <v>0.98</v>
      </c>
      <c r="R38" s="6">
        <v>0.99</v>
      </c>
    </row>
    <row r="39" spans="1:18" x14ac:dyDescent="0.25">
      <c r="A39" s="4">
        <v>2020</v>
      </c>
      <c r="B39" s="4">
        <v>0</v>
      </c>
      <c r="C39" s="6">
        <v>0.01</v>
      </c>
      <c r="D39" s="6">
        <v>0.59</v>
      </c>
      <c r="E39" s="6">
        <v>0.97</v>
      </c>
      <c r="F39" s="6">
        <v>0.99</v>
      </c>
      <c r="I39" s="4">
        <v>2020</v>
      </c>
      <c r="J39" s="5">
        <v>0.01</v>
      </c>
      <c r="K39" s="6">
        <v>0.59</v>
      </c>
      <c r="L39" s="6">
        <v>0.97</v>
      </c>
      <c r="M39" s="6">
        <v>0.99</v>
      </c>
      <c r="N39" s="4">
        <v>0</v>
      </c>
      <c r="O39" s="6">
        <v>0.01</v>
      </c>
      <c r="P39" s="6">
        <v>0.59</v>
      </c>
      <c r="Q39" s="6">
        <v>0.97</v>
      </c>
      <c r="R39" s="6">
        <v>0.99</v>
      </c>
    </row>
    <row r="40" spans="1:18" x14ac:dyDescent="0.25">
      <c r="A40" s="4">
        <v>2021</v>
      </c>
      <c r="B40" s="4">
        <v>0</v>
      </c>
      <c r="C40" s="6">
        <v>0.01</v>
      </c>
      <c r="D40" s="6">
        <v>0.5</v>
      </c>
      <c r="E40" s="6">
        <v>0.97</v>
      </c>
      <c r="F40" s="6">
        <v>0.99</v>
      </c>
      <c r="I40" s="4">
        <v>2021</v>
      </c>
      <c r="J40" s="5">
        <v>0.01</v>
      </c>
      <c r="K40" s="6">
        <v>0.5</v>
      </c>
      <c r="L40" s="6">
        <v>0.97</v>
      </c>
      <c r="M40" s="6">
        <v>0.99</v>
      </c>
      <c r="N40" s="4">
        <v>0</v>
      </c>
      <c r="O40" s="6">
        <v>0.01</v>
      </c>
      <c r="P40" s="6">
        <v>0.5</v>
      </c>
      <c r="Q40" s="6">
        <v>0.97</v>
      </c>
      <c r="R40" s="6">
        <v>0.99</v>
      </c>
    </row>
    <row r="41" spans="1:18" x14ac:dyDescent="0.25">
      <c r="A41" s="4">
        <v>2022</v>
      </c>
      <c r="B41" s="4">
        <v>0</v>
      </c>
      <c r="C41" s="6">
        <v>0.02</v>
      </c>
      <c r="D41" s="6">
        <v>0.59</v>
      </c>
      <c r="E41" s="6">
        <v>0.98</v>
      </c>
      <c r="F41" s="6">
        <v>0.99</v>
      </c>
      <c r="I41" s="4">
        <v>2022</v>
      </c>
      <c r="J41" s="5">
        <v>0.02</v>
      </c>
      <c r="K41" s="6">
        <v>0.59</v>
      </c>
      <c r="L41" s="6">
        <v>0.98</v>
      </c>
      <c r="M41" s="6">
        <v>0.99</v>
      </c>
      <c r="N41" s="4">
        <v>0</v>
      </c>
      <c r="O41" s="6">
        <v>0.02</v>
      </c>
      <c r="P41" s="6">
        <v>0.59</v>
      </c>
      <c r="Q41" s="6">
        <v>0.98</v>
      </c>
      <c r="R41" s="6">
        <v>0.99</v>
      </c>
    </row>
    <row r="42" spans="1:18" x14ac:dyDescent="0.25">
      <c r="A42" s="4">
        <v>2023</v>
      </c>
      <c r="B42" s="4">
        <v>0</v>
      </c>
      <c r="C42" s="6">
        <v>0.02</v>
      </c>
      <c r="D42" s="6">
        <v>0.59</v>
      </c>
      <c r="E42" s="6">
        <v>0.97</v>
      </c>
      <c r="F42" s="6">
        <v>0.99</v>
      </c>
      <c r="I42" s="4">
        <v>2023</v>
      </c>
      <c r="J42" s="5">
        <v>0.02</v>
      </c>
      <c r="K42" s="6">
        <v>0.59</v>
      </c>
      <c r="L42" s="6">
        <v>0.97</v>
      </c>
      <c r="M42" s="6">
        <v>0.99</v>
      </c>
      <c r="N42" s="4">
        <v>0</v>
      </c>
      <c r="O42" s="6">
        <v>0.02</v>
      </c>
      <c r="P42" s="6">
        <v>0.59</v>
      </c>
      <c r="Q42" s="6">
        <v>0.97</v>
      </c>
      <c r="R42" s="6">
        <v>0.99</v>
      </c>
    </row>
    <row r="43" spans="1:18" x14ac:dyDescent="0.25">
      <c r="A43" s="4">
        <v>2024</v>
      </c>
      <c r="B43" s="4">
        <v>0</v>
      </c>
      <c r="C43" s="6">
        <v>0.03</v>
      </c>
      <c r="D43" s="6">
        <v>0.6</v>
      </c>
      <c r="E43" s="6">
        <v>0.97</v>
      </c>
      <c r="F43" s="6">
        <v>0.99</v>
      </c>
      <c r="I43" s="4">
        <v>2024</v>
      </c>
      <c r="J43" s="5">
        <v>0.03</v>
      </c>
      <c r="K43" s="6">
        <v>0.6</v>
      </c>
      <c r="L43" s="6">
        <v>0.97</v>
      </c>
      <c r="M43" s="6">
        <v>0.99</v>
      </c>
      <c r="N43" s="4">
        <v>0</v>
      </c>
      <c r="O43" s="6">
        <v>0.03</v>
      </c>
      <c r="P43" s="6">
        <v>0.6</v>
      </c>
      <c r="Q43" s="6">
        <v>0.97</v>
      </c>
      <c r="R43" s="6">
        <v>0.99</v>
      </c>
    </row>
    <row r="44" spans="1:18" x14ac:dyDescent="0.25">
      <c r="A44" s="7">
        <v>2025</v>
      </c>
      <c r="B44" s="7">
        <v>0</v>
      </c>
      <c r="C44" s="9">
        <v>0.03</v>
      </c>
      <c r="D44" s="9">
        <v>0.6</v>
      </c>
      <c r="E44" s="9">
        <v>0.97</v>
      </c>
      <c r="F44" s="9">
        <v>0.99</v>
      </c>
      <c r="I44" s="7">
        <v>2025</v>
      </c>
      <c r="J44" s="8">
        <v>0.03</v>
      </c>
      <c r="K44" s="9">
        <v>0.6</v>
      </c>
      <c r="L44" s="9">
        <v>0.97</v>
      </c>
      <c r="M44" s="9">
        <v>0.99</v>
      </c>
      <c r="N44" s="7">
        <v>0</v>
      </c>
      <c r="O44" s="9">
        <v>0.03</v>
      </c>
      <c r="P44" s="9">
        <v>0.6</v>
      </c>
      <c r="Q44" s="9">
        <v>0.97</v>
      </c>
      <c r="R44" s="9">
        <v>0.99</v>
      </c>
    </row>
    <row r="45" spans="1:18" x14ac:dyDescent="0.25">
      <c r="A45" s="1"/>
      <c r="B45" s="2"/>
      <c r="C45" s="3"/>
      <c r="D45" s="3"/>
      <c r="E45" s="3"/>
      <c r="F45" s="1"/>
    </row>
    <row r="46" spans="1:18" x14ac:dyDescent="0.25">
      <c r="A46" s="4"/>
      <c r="B46" s="5"/>
      <c r="C46" s="6"/>
      <c r="D46" s="6"/>
      <c r="E46" s="6"/>
      <c r="F46" s="4"/>
    </row>
    <row r="47" spans="1:18" x14ac:dyDescent="0.25">
      <c r="A47" s="4"/>
      <c r="B47" s="5"/>
      <c r="C47" s="6"/>
      <c r="D47" s="6"/>
      <c r="E47" s="6"/>
      <c r="F47" s="4"/>
    </row>
    <row r="48" spans="1:18" x14ac:dyDescent="0.25">
      <c r="A48" s="4"/>
      <c r="B48" s="5"/>
      <c r="C48" s="6"/>
      <c r="D48" s="6"/>
      <c r="E48" s="6"/>
      <c r="F48" s="4"/>
    </row>
    <row r="49" spans="1:6" x14ac:dyDescent="0.25">
      <c r="A49" s="4"/>
      <c r="B49" s="5"/>
      <c r="C49" s="6"/>
      <c r="D49" s="6"/>
      <c r="E49" s="6"/>
      <c r="F49" s="4"/>
    </row>
    <row r="50" spans="1:6" x14ac:dyDescent="0.25">
      <c r="A50" s="4"/>
      <c r="B50" s="5"/>
      <c r="C50" s="6"/>
      <c r="D50" s="6"/>
      <c r="E50" s="6"/>
      <c r="F50" s="4"/>
    </row>
    <row r="51" spans="1:6" x14ac:dyDescent="0.25">
      <c r="A51" s="4"/>
      <c r="B51" s="5"/>
      <c r="C51" s="6"/>
      <c r="D51" s="6"/>
      <c r="E51" s="6"/>
      <c r="F51" s="4"/>
    </row>
    <row r="52" spans="1:6" x14ac:dyDescent="0.25">
      <c r="A52" s="4"/>
      <c r="B52" s="5"/>
      <c r="C52" s="6"/>
      <c r="D52" s="6"/>
      <c r="E52" s="6"/>
      <c r="F52" s="4"/>
    </row>
    <row r="53" spans="1:6" x14ac:dyDescent="0.25">
      <c r="A53" s="4"/>
      <c r="B53" s="5"/>
      <c r="C53" s="6"/>
      <c r="D53" s="6"/>
      <c r="E53" s="6"/>
      <c r="F53" s="4"/>
    </row>
    <row r="54" spans="1:6" x14ac:dyDescent="0.25">
      <c r="A54" s="4"/>
      <c r="B54" s="5"/>
      <c r="C54" s="6"/>
      <c r="D54" s="6"/>
      <c r="E54" s="6"/>
      <c r="F54" s="4"/>
    </row>
    <row r="55" spans="1:6" x14ac:dyDescent="0.25">
      <c r="A55" s="4"/>
      <c r="B55" s="5"/>
      <c r="C55" s="6"/>
      <c r="D55" s="6"/>
      <c r="E55" s="6"/>
      <c r="F55" s="4"/>
    </row>
    <row r="56" spans="1:6" x14ac:dyDescent="0.25">
      <c r="A56" s="4"/>
      <c r="B56" s="5"/>
      <c r="C56" s="6"/>
      <c r="D56" s="6"/>
      <c r="E56" s="6"/>
      <c r="F56" s="4"/>
    </row>
    <row r="57" spans="1:6" x14ac:dyDescent="0.25">
      <c r="A57" s="4"/>
      <c r="B57" s="5"/>
      <c r="C57" s="6"/>
      <c r="D57" s="6"/>
      <c r="E57" s="6"/>
      <c r="F57" s="4"/>
    </row>
    <row r="58" spans="1:6" x14ac:dyDescent="0.25">
      <c r="A58" s="4"/>
      <c r="B58" s="5"/>
      <c r="C58" s="6"/>
      <c r="D58" s="6"/>
      <c r="E58" s="6"/>
      <c r="F58" s="4"/>
    </row>
    <row r="59" spans="1:6" x14ac:dyDescent="0.25">
      <c r="A59" s="7"/>
      <c r="B59" s="8"/>
      <c r="C59" s="9"/>
      <c r="D59" s="9"/>
      <c r="E59" s="9"/>
      <c r="F59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02BA-2D40-4163-9D5B-B79A3261FBDD}">
  <dimension ref="A1:U44"/>
  <sheetViews>
    <sheetView topLeftCell="A6" workbookViewId="0">
      <selection activeCell="B2" sqref="B2:F40"/>
    </sheetView>
  </sheetViews>
  <sheetFormatPr defaultRowHeight="15" x14ac:dyDescent="0.25"/>
  <sheetData>
    <row r="1" spans="1:21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</row>
    <row r="2" spans="1:21" x14ac:dyDescent="0.25">
      <c r="A2" s="1">
        <v>1987</v>
      </c>
      <c r="B2" s="3">
        <v>1.1000000000000001</v>
      </c>
      <c r="C2" s="3">
        <v>0.53</v>
      </c>
      <c r="D2" s="3">
        <v>0.37</v>
      </c>
      <c r="E2" s="3">
        <v>0.33</v>
      </c>
      <c r="F2" s="3">
        <v>0.28000000000000003</v>
      </c>
      <c r="G2" s="10"/>
      <c r="K2" s="12"/>
      <c r="L2" s="1">
        <v>1987</v>
      </c>
      <c r="M2" s="2">
        <v>0.59</v>
      </c>
      <c r="N2" s="3">
        <v>0.46</v>
      </c>
      <c r="O2" s="3">
        <v>0.32</v>
      </c>
      <c r="P2" s="3">
        <v>0.28999999999999998</v>
      </c>
      <c r="Q2" s="3">
        <v>1.1000000000000001</v>
      </c>
      <c r="R2" s="3">
        <v>0.53</v>
      </c>
      <c r="S2" s="3">
        <v>0.37</v>
      </c>
      <c r="T2" s="3">
        <v>0.33</v>
      </c>
      <c r="U2" s="3">
        <v>0.28000000000000003</v>
      </c>
    </row>
    <row r="3" spans="1:21" x14ac:dyDescent="0.25">
      <c r="A3" s="4">
        <v>1988</v>
      </c>
      <c r="B3" s="6">
        <v>1.18</v>
      </c>
      <c r="C3" s="6">
        <v>0.54</v>
      </c>
      <c r="D3" s="6">
        <v>0.35</v>
      </c>
      <c r="E3" s="6">
        <v>0.32</v>
      </c>
      <c r="F3" s="6">
        <v>0.28000000000000003</v>
      </c>
      <c r="K3" s="12"/>
      <c r="L3" s="4">
        <v>1988</v>
      </c>
      <c r="M3" s="5">
        <v>0.56999999999999995</v>
      </c>
      <c r="N3" s="6">
        <v>0.45</v>
      </c>
      <c r="O3" s="6">
        <v>0.3</v>
      </c>
      <c r="P3" s="6">
        <v>0.28999999999999998</v>
      </c>
      <c r="Q3" s="6">
        <v>1.18</v>
      </c>
      <c r="R3" s="6">
        <v>0.54</v>
      </c>
      <c r="S3" s="6">
        <v>0.35</v>
      </c>
      <c r="T3" s="6">
        <v>0.32</v>
      </c>
      <c r="U3" s="6">
        <v>0.28000000000000003</v>
      </c>
    </row>
    <row r="4" spans="1:21" x14ac:dyDescent="0.25">
      <c r="A4" s="4">
        <v>1989</v>
      </c>
      <c r="B4" s="6">
        <v>1.17</v>
      </c>
      <c r="C4" s="6">
        <v>0.48</v>
      </c>
      <c r="D4" s="6">
        <v>0.31</v>
      </c>
      <c r="E4" s="6">
        <v>0.31</v>
      </c>
      <c r="F4" s="6">
        <v>0.27</v>
      </c>
      <c r="K4" s="12"/>
      <c r="L4" s="4">
        <v>1989</v>
      </c>
      <c r="M4" s="5">
        <v>0.54</v>
      </c>
      <c r="N4" s="6">
        <v>0.43</v>
      </c>
      <c r="O4" s="6">
        <v>0.3</v>
      </c>
      <c r="P4" s="6">
        <v>0.28999999999999998</v>
      </c>
      <c r="Q4" s="6">
        <v>1.17</v>
      </c>
      <c r="R4" s="6">
        <v>0.48</v>
      </c>
      <c r="S4" s="6">
        <v>0.31</v>
      </c>
      <c r="T4" s="6">
        <v>0.31</v>
      </c>
      <c r="U4" s="6">
        <v>0.27</v>
      </c>
    </row>
    <row r="5" spans="1:21" x14ac:dyDescent="0.25">
      <c r="A5" s="4">
        <v>1990</v>
      </c>
      <c r="B5" s="6">
        <v>1.22</v>
      </c>
      <c r="C5" s="6">
        <v>0.48</v>
      </c>
      <c r="D5" s="6">
        <v>0.31</v>
      </c>
      <c r="E5" s="6">
        <v>0.31</v>
      </c>
      <c r="F5" s="6">
        <v>0.25</v>
      </c>
      <c r="K5" s="12"/>
      <c r="L5" s="4">
        <v>1990</v>
      </c>
      <c r="M5" s="5">
        <v>0.54</v>
      </c>
      <c r="N5" s="6">
        <v>0.44</v>
      </c>
      <c r="O5" s="6">
        <v>0.28000000000000003</v>
      </c>
      <c r="P5" s="6">
        <v>0.27</v>
      </c>
      <c r="Q5" s="6">
        <v>1.22</v>
      </c>
      <c r="R5" s="6">
        <v>0.48</v>
      </c>
      <c r="S5" s="6">
        <v>0.31</v>
      </c>
      <c r="T5" s="6">
        <v>0.31</v>
      </c>
      <c r="U5" s="6">
        <v>0.25</v>
      </c>
    </row>
    <row r="6" spans="1:21" x14ac:dyDescent="0.25">
      <c r="A6" s="4">
        <v>1991</v>
      </c>
      <c r="B6" s="6">
        <v>1.29</v>
      </c>
      <c r="C6" s="6">
        <v>0.51</v>
      </c>
      <c r="D6" s="6">
        <v>0.33</v>
      </c>
      <c r="E6" s="6">
        <v>0.32</v>
      </c>
      <c r="F6" s="6">
        <v>0.25</v>
      </c>
      <c r="K6" s="12"/>
      <c r="L6" s="4">
        <v>1991</v>
      </c>
      <c r="M6" s="5">
        <v>0.56000000000000005</v>
      </c>
      <c r="N6" s="6">
        <v>0.47</v>
      </c>
      <c r="O6" s="6">
        <v>0.28999999999999998</v>
      </c>
      <c r="P6" s="6">
        <v>0.28000000000000003</v>
      </c>
      <c r="Q6" s="6">
        <v>1.29</v>
      </c>
      <c r="R6" s="6">
        <v>0.51</v>
      </c>
      <c r="S6" s="6">
        <v>0.33</v>
      </c>
      <c r="T6" s="6">
        <v>0.32</v>
      </c>
      <c r="U6" s="6">
        <v>0.25</v>
      </c>
    </row>
    <row r="7" spans="1:21" x14ac:dyDescent="0.25">
      <c r="A7" s="4">
        <v>1992</v>
      </c>
      <c r="B7" s="6">
        <v>1.31</v>
      </c>
      <c r="C7" s="6">
        <v>0.54</v>
      </c>
      <c r="D7" s="6">
        <v>0.35</v>
      </c>
      <c r="E7" s="6">
        <v>0.34</v>
      </c>
      <c r="F7" s="6">
        <v>0.27</v>
      </c>
      <c r="K7" s="12"/>
      <c r="L7" s="4">
        <v>1992</v>
      </c>
      <c r="M7" s="5">
        <v>0.6</v>
      </c>
      <c r="N7" s="6">
        <v>0.51</v>
      </c>
      <c r="O7" s="6">
        <v>0.32</v>
      </c>
      <c r="P7" s="6">
        <v>0.28999999999999998</v>
      </c>
      <c r="Q7" s="6">
        <v>1.31</v>
      </c>
      <c r="R7" s="6">
        <v>0.54</v>
      </c>
      <c r="S7" s="6">
        <v>0.35</v>
      </c>
      <c r="T7" s="6">
        <v>0.34</v>
      </c>
      <c r="U7" s="6">
        <v>0.27</v>
      </c>
    </row>
    <row r="8" spans="1:21" x14ac:dyDescent="0.25">
      <c r="A8" s="4">
        <v>1993</v>
      </c>
      <c r="B8" s="6">
        <v>1.32</v>
      </c>
      <c r="C8" s="6">
        <v>0.55000000000000004</v>
      </c>
      <c r="D8" s="6">
        <v>0.36</v>
      </c>
      <c r="E8" s="6">
        <v>0.35</v>
      </c>
      <c r="F8" s="6">
        <v>0.28999999999999998</v>
      </c>
      <c r="K8" s="12"/>
      <c r="L8" s="4">
        <v>1993</v>
      </c>
      <c r="M8" s="5">
        <v>0.6</v>
      </c>
      <c r="N8" s="6">
        <v>0.52</v>
      </c>
      <c r="O8" s="6">
        <v>0.34</v>
      </c>
      <c r="P8" s="6">
        <v>0.31</v>
      </c>
      <c r="Q8" s="6">
        <v>1.32</v>
      </c>
      <c r="R8" s="6">
        <v>0.55000000000000004</v>
      </c>
      <c r="S8" s="6">
        <v>0.36</v>
      </c>
      <c r="T8" s="6">
        <v>0.35</v>
      </c>
      <c r="U8" s="6">
        <v>0.28999999999999998</v>
      </c>
    </row>
    <row r="9" spans="1:21" x14ac:dyDescent="0.25">
      <c r="A9" s="4">
        <v>1994</v>
      </c>
      <c r="B9" s="6">
        <v>1.29</v>
      </c>
      <c r="C9" s="6">
        <v>0.61</v>
      </c>
      <c r="D9" s="6">
        <v>0.4</v>
      </c>
      <c r="E9" s="6">
        <v>0.4</v>
      </c>
      <c r="F9" s="6">
        <v>0.33</v>
      </c>
      <c r="K9" s="12"/>
      <c r="L9" s="4">
        <v>1994</v>
      </c>
      <c r="M9" s="5">
        <v>0.61</v>
      </c>
      <c r="N9" s="6">
        <v>0.54</v>
      </c>
      <c r="O9" s="6">
        <v>0.38</v>
      </c>
      <c r="P9" s="6">
        <v>0.31</v>
      </c>
      <c r="Q9" s="6">
        <v>1.29</v>
      </c>
      <c r="R9" s="6">
        <v>0.61</v>
      </c>
      <c r="S9" s="6">
        <v>0.4</v>
      </c>
      <c r="T9" s="6">
        <v>0.4</v>
      </c>
      <c r="U9" s="6">
        <v>0.33</v>
      </c>
    </row>
    <row r="10" spans="1:21" x14ac:dyDescent="0.25">
      <c r="A10" s="4">
        <v>1995</v>
      </c>
      <c r="B10" s="6">
        <v>1.1299999999999999</v>
      </c>
      <c r="C10" s="6">
        <v>0.61</v>
      </c>
      <c r="D10" s="6">
        <v>0.4</v>
      </c>
      <c r="E10" s="6">
        <v>0.4</v>
      </c>
      <c r="F10" s="6">
        <v>0.34</v>
      </c>
      <c r="K10" s="12"/>
      <c r="L10" s="4">
        <v>1995</v>
      </c>
      <c r="M10" s="5">
        <v>0.62</v>
      </c>
      <c r="N10" s="6">
        <v>0.56000000000000005</v>
      </c>
      <c r="O10" s="6">
        <v>0.42</v>
      </c>
      <c r="P10" s="6">
        <v>0.34</v>
      </c>
      <c r="Q10" s="6">
        <v>1.1299999999999999</v>
      </c>
      <c r="R10" s="6">
        <v>0.61</v>
      </c>
      <c r="S10" s="6">
        <v>0.4</v>
      </c>
      <c r="T10" s="6">
        <v>0.4</v>
      </c>
      <c r="U10" s="6">
        <v>0.34</v>
      </c>
    </row>
    <row r="11" spans="1:21" x14ac:dyDescent="0.25">
      <c r="A11" s="4">
        <v>1996</v>
      </c>
      <c r="B11" s="6">
        <v>1.04</v>
      </c>
      <c r="C11" s="6">
        <v>0.65</v>
      </c>
      <c r="D11" s="6">
        <v>0.42</v>
      </c>
      <c r="E11" s="6">
        <v>0.42</v>
      </c>
      <c r="F11" s="6">
        <v>0.35</v>
      </c>
      <c r="K11" s="12"/>
      <c r="L11" s="4">
        <v>1996</v>
      </c>
      <c r="M11" s="5">
        <v>0.57999999999999996</v>
      </c>
      <c r="N11" s="6">
        <v>0.53</v>
      </c>
      <c r="O11" s="6">
        <v>0.41</v>
      </c>
      <c r="P11" s="6">
        <v>0.33</v>
      </c>
      <c r="Q11" s="6">
        <v>1.04</v>
      </c>
      <c r="R11" s="6">
        <v>0.65</v>
      </c>
      <c r="S11" s="6">
        <v>0.42</v>
      </c>
      <c r="T11" s="6">
        <v>0.42</v>
      </c>
      <c r="U11" s="6">
        <v>0.35</v>
      </c>
    </row>
    <row r="12" spans="1:21" x14ac:dyDescent="0.25">
      <c r="A12" s="4">
        <v>1997</v>
      </c>
      <c r="B12" s="6">
        <v>0.86</v>
      </c>
      <c r="C12" s="6">
        <v>0.63</v>
      </c>
      <c r="D12" s="6">
        <v>0.38</v>
      </c>
      <c r="E12" s="6">
        <v>0.38</v>
      </c>
      <c r="F12" s="6">
        <v>0.34</v>
      </c>
      <c r="K12" s="12"/>
      <c r="L12" s="4">
        <v>1997</v>
      </c>
      <c r="M12" s="5">
        <v>0.55000000000000004</v>
      </c>
      <c r="N12" s="6">
        <v>0.49</v>
      </c>
      <c r="O12" s="6">
        <v>0.4</v>
      </c>
      <c r="P12" s="6">
        <v>0.33</v>
      </c>
      <c r="Q12" s="6">
        <v>0.86</v>
      </c>
      <c r="R12" s="6">
        <v>0.63</v>
      </c>
      <c r="S12" s="6">
        <v>0.38</v>
      </c>
      <c r="T12" s="6">
        <v>0.38</v>
      </c>
      <c r="U12" s="6">
        <v>0.34</v>
      </c>
    </row>
    <row r="13" spans="1:21" x14ac:dyDescent="0.25">
      <c r="A13" s="4">
        <v>1998</v>
      </c>
      <c r="B13" s="6">
        <v>0.94</v>
      </c>
      <c r="C13" s="6">
        <v>0.69</v>
      </c>
      <c r="D13" s="6">
        <v>0.37</v>
      </c>
      <c r="E13" s="6">
        <v>0.36</v>
      </c>
      <c r="F13" s="6">
        <v>0.32</v>
      </c>
      <c r="K13" s="12"/>
      <c r="L13" s="4">
        <v>1998</v>
      </c>
      <c r="M13" s="5">
        <v>0.52</v>
      </c>
      <c r="N13" s="6">
        <v>0.47</v>
      </c>
      <c r="O13" s="6">
        <v>0.37</v>
      </c>
      <c r="P13" s="6">
        <v>0.31</v>
      </c>
      <c r="Q13" s="6">
        <v>0.94</v>
      </c>
      <c r="R13" s="6">
        <v>0.69</v>
      </c>
      <c r="S13" s="6">
        <v>0.37</v>
      </c>
      <c r="T13" s="6">
        <v>0.36</v>
      </c>
      <c r="U13" s="6">
        <v>0.32</v>
      </c>
    </row>
    <row r="14" spans="1:21" x14ac:dyDescent="0.25">
      <c r="A14" s="4">
        <v>1999</v>
      </c>
      <c r="B14" s="6">
        <v>0.98</v>
      </c>
      <c r="C14" s="6">
        <v>0.77</v>
      </c>
      <c r="D14" s="6">
        <v>0.43</v>
      </c>
      <c r="E14" s="6">
        <v>0.43</v>
      </c>
      <c r="F14" s="6">
        <v>0.35</v>
      </c>
      <c r="K14" s="12"/>
      <c r="L14" s="4">
        <v>1999</v>
      </c>
      <c r="M14" s="5">
        <v>0.59</v>
      </c>
      <c r="N14" s="6">
        <v>0.52</v>
      </c>
      <c r="O14" s="6">
        <v>0.42</v>
      </c>
      <c r="P14" s="6">
        <v>0.31</v>
      </c>
      <c r="Q14" s="6">
        <v>0.98</v>
      </c>
      <c r="R14" s="6">
        <v>0.77</v>
      </c>
      <c r="S14" s="6">
        <v>0.43</v>
      </c>
      <c r="T14" s="6">
        <v>0.43</v>
      </c>
      <c r="U14" s="6">
        <v>0.35</v>
      </c>
    </row>
    <row r="15" spans="1:21" x14ac:dyDescent="0.25">
      <c r="A15" s="4">
        <v>2000</v>
      </c>
      <c r="B15" s="6">
        <v>1.06</v>
      </c>
      <c r="C15" s="6">
        <v>0.85</v>
      </c>
      <c r="D15" s="6">
        <v>0.53</v>
      </c>
      <c r="E15" s="6">
        <v>0.52</v>
      </c>
      <c r="F15" s="6">
        <v>0.44</v>
      </c>
      <c r="K15" s="12"/>
      <c r="L15" s="4">
        <v>2000</v>
      </c>
      <c r="M15" s="5">
        <v>0.66</v>
      </c>
      <c r="N15" s="6">
        <v>0.59</v>
      </c>
      <c r="O15" s="6">
        <v>0.49</v>
      </c>
      <c r="P15" s="6">
        <v>0.36</v>
      </c>
      <c r="Q15" s="6">
        <v>1.06</v>
      </c>
      <c r="R15" s="6">
        <v>0.85</v>
      </c>
      <c r="S15" s="6">
        <v>0.53</v>
      </c>
      <c r="T15" s="6">
        <v>0.52</v>
      </c>
      <c r="U15" s="6">
        <v>0.44</v>
      </c>
    </row>
    <row r="16" spans="1:21" x14ac:dyDescent="0.25">
      <c r="A16" s="4">
        <v>2001</v>
      </c>
      <c r="B16" s="6">
        <v>1.08</v>
      </c>
      <c r="C16" s="6">
        <v>0.91</v>
      </c>
      <c r="D16" s="6">
        <v>0.62</v>
      </c>
      <c r="E16" s="6">
        <v>0.61</v>
      </c>
      <c r="F16" s="6">
        <v>0.54</v>
      </c>
      <c r="K16" s="12"/>
      <c r="L16" s="4">
        <v>2001</v>
      </c>
      <c r="M16" s="5">
        <v>0.67</v>
      </c>
      <c r="N16" s="6">
        <v>0.61</v>
      </c>
      <c r="O16" s="6">
        <v>0.52</v>
      </c>
      <c r="P16" s="6">
        <v>0.4</v>
      </c>
      <c r="Q16" s="6">
        <v>1.08</v>
      </c>
      <c r="R16" s="6">
        <v>0.91</v>
      </c>
      <c r="S16" s="6">
        <v>0.62</v>
      </c>
      <c r="T16" s="6">
        <v>0.61</v>
      </c>
      <c r="U16" s="6">
        <v>0.54</v>
      </c>
    </row>
    <row r="17" spans="1:21" x14ac:dyDescent="0.25">
      <c r="A17" s="4">
        <v>2002</v>
      </c>
      <c r="B17" s="6">
        <v>1.04</v>
      </c>
      <c r="C17" s="6">
        <v>0.88</v>
      </c>
      <c r="D17" s="6">
        <v>0.6</v>
      </c>
      <c r="E17" s="6">
        <v>0.59</v>
      </c>
      <c r="F17" s="6">
        <v>0.56999999999999995</v>
      </c>
      <c r="K17" s="12"/>
      <c r="L17" s="4">
        <v>2002</v>
      </c>
      <c r="M17" s="5">
        <v>0.69</v>
      </c>
      <c r="N17" s="6">
        <v>0.62</v>
      </c>
      <c r="O17" s="6">
        <v>0.52</v>
      </c>
      <c r="P17" s="6">
        <v>0.46</v>
      </c>
      <c r="Q17" s="6">
        <v>1.04</v>
      </c>
      <c r="R17" s="6">
        <v>0.88</v>
      </c>
      <c r="S17" s="6">
        <v>0.6</v>
      </c>
      <c r="T17" s="6">
        <v>0.59</v>
      </c>
      <c r="U17" s="6">
        <v>0.56999999999999995</v>
      </c>
    </row>
    <row r="18" spans="1:21" x14ac:dyDescent="0.25">
      <c r="A18" s="4">
        <v>2003</v>
      </c>
      <c r="B18" s="6">
        <v>1</v>
      </c>
      <c r="C18" s="6">
        <v>0.83</v>
      </c>
      <c r="D18" s="6">
        <v>0.54</v>
      </c>
      <c r="E18" s="6">
        <v>0.54</v>
      </c>
      <c r="F18" s="6">
        <v>0.53</v>
      </c>
      <c r="K18" s="12"/>
      <c r="L18" s="4">
        <v>2003</v>
      </c>
      <c r="M18" s="5">
        <v>0.66</v>
      </c>
      <c r="N18" s="6">
        <v>0.57999999999999996</v>
      </c>
      <c r="O18" s="6">
        <v>0.47</v>
      </c>
      <c r="P18" s="6">
        <v>0.44</v>
      </c>
      <c r="Q18" s="6">
        <v>1</v>
      </c>
      <c r="R18" s="6">
        <v>0.83</v>
      </c>
      <c r="S18" s="6">
        <v>0.54</v>
      </c>
      <c r="T18" s="6">
        <v>0.54</v>
      </c>
      <c r="U18" s="6">
        <v>0.53</v>
      </c>
    </row>
    <row r="19" spans="1:21" x14ac:dyDescent="0.25">
      <c r="A19" s="4">
        <v>2004</v>
      </c>
      <c r="B19" s="6">
        <v>1</v>
      </c>
      <c r="C19" s="6">
        <v>0.81</v>
      </c>
      <c r="D19" s="6">
        <v>0.49</v>
      </c>
      <c r="E19" s="6">
        <v>0.48</v>
      </c>
      <c r="F19" s="6">
        <v>0.48</v>
      </c>
      <c r="K19" s="12"/>
      <c r="L19" s="4">
        <v>2004</v>
      </c>
      <c r="M19" s="5">
        <v>0.67</v>
      </c>
      <c r="N19" s="6">
        <v>0.57999999999999996</v>
      </c>
      <c r="O19" s="6">
        <v>0.45</v>
      </c>
      <c r="P19" s="6">
        <v>0.43</v>
      </c>
      <c r="Q19" s="6">
        <v>1</v>
      </c>
      <c r="R19" s="6">
        <v>0.81</v>
      </c>
      <c r="S19" s="6">
        <v>0.49</v>
      </c>
      <c r="T19" s="6">
        <v>0.48</v>
      </c>
      <c r="U19" s="6">
        <v>0.48</v>
      </c>
    </row>
    <row r="20" spans="1:21" x14ac:dyDescent="0.25">
      <c r="A20" s="4">
        <v>2005</v>
      </c>
      <c r="B20" s="6">
        <v>1</v>
      </c>
      <c r="C20" s="6">
        <v>0.81</v>
      </c>
      <c r="D20" s="6">
        <v>0.48</v>
      </c>
      <c r="E20" s="6">
        <v>0.47</v>
      </c>
      <c r="F20" s="6">
        <v>0.47</v>
      </c>
      <c r="K20" s="12"/>
      <c r="L20" s="4">
        <v>2005</v>
      </c>
      <c r="M20" s="5">
        <v>0.67</v>
      </c>
      <c r="N20" s="6">
        <v>0.56000000000000005</v>
      </c>
      <c r="O20" s="6">
        <v>0.43</v>
      </c>
      <c r="P20" s="6">
        <v>0.4</v>
      </c>
      <c r="Q20" s="6">
        <v>1</v>
      </c>
      <c r="R20" s="6">
        <v>0.81</v>
      </c>
      <c r="S20" s="6">
        <v>0.48</v>
      </c>
      <c r="T20" s="6">
        <v>0.47</v>
      </c>
      <c r="U20" s="6">
        <v>0.47</v>
      </c>
    </row>
    <row r="21" spans="1:21" x14ac:dyDescent="0.25">
      <c r="A21" s="4">
        <v>2006</v>
      </c>
      <c r="B21" s="6">
        <v>1.03</v>
      </c>
      <c r="C21" s="6">
        <v>0.81</v>
      </c>
      <c r="D21" s="6">
        <v>0.47</v>
      </c>
      <c r="E21" s="6">
        <v>0.46</v>
      </c>
      <c r="F21" s="6">
        <v>0.46</v>
      </c>
      <c r="K21" s="12"/>
      <c r="L21" s="4">
        <v>2006</v>
      </c>
      <c r="M21" s="5">
        <v>0.68</v>
      </c>
      <c r="N21" s="6">
        <v>0.55000000000000004</v>
      </c>
      <c r="O21" s="6">
        <v>0.43</v>
      </c>
      <c r="P21" s="6">
        <v>0.4</v>
      </c>
      <c r="Q21" s="6">
        <v>1.03</v>
      </c>
      <c r="R21" s="6">
        <v>0.81</v>
      </c>
      <c r="S21" s="6">
        <v>0.47</v>
      </c>
      <c r="T21" s="6">
        <v>0.46</v>
      </c>
      <c r="U21" s="6">
        <v>0.46</v>
      </c>
    </row>
    <row r="22" spans="1:21" x14ac:dyDescent="0.25">
      <c r="A22" s="4">
        <v>2007</v>
      </c>
      <c r="B22" s="6">
        <v>0.98</v>
      </c>
      <c r="C22" s="6">
        <v>0.79</v>
      </c>
      <c r="D22" s="6">
        <v>0.47</v>
      </c>
      <c r="E22" s="6">
        <v>0.47</v>
      </c>
      <c r="F22" s="6">
        <v>0.47</v>
      </c>
      <c r="K22" s="12"/>
      <c r="L22" s="4">
        <v>2007</v>
      </c>
      <c r="M22" s="5">
        <v>0.66</v>
      </c>
      <c r="N22" s="6">
        <v>0.53</v>
      </c>
      <c r="O22" s="6">
        <v>0.42</v>
      </c>
      <c r="P22" s="6">
        <v>0.38</v>
      </c>
      <c r="Q22" s="6">
        <v>0.98</v>
      </c>
      <c r="R22" s="6">
        <v>0.79</v>
      </c>
      <c r="S22" s="6">
        <v>0.47</v>
      </c>
      <c r="T22" s="6">
        <v>0.47</v>
      </c>
      <c r="U22" s="6">
        <v>0.47</v>
      </c>
    </row>
    <row r="23" spans="1:21" x14ac:dyDescent="0.25">
      <c r="A23" s="4">
        <v>2008</v>
      </c>
      <c r="B23" s="6">
        <v>0.92</v>
      </c>
      <c r="C23" s="6">
        <v>0.74</v>
      </c>
      <c r="D23" s="6">
        <v>0.43</v>
      </c>
      <c r="E23" s="6">
        <v>0.42</v>
      </c>
      <c r="F23" s="6">
        <v>0.42</v>
      </c>
      <c r="K23" s="12"/>
      <c r="L23" s="4">
        <v>2008</v>
      </c>
      <c r="M23" s="5">
        <v>0.63</v>
      </c>
      <c r="N23" s="6">
        <v>0.48</v>
      </c>
      <c r="O23" s="6">
        <v>0.4</v>
      </c>
      <c r="P23" s="6">
        <v>0.38</v>
      </c>
      <c r="Q23" s="6">
        <v>0.92</v>
      </c>
      <c r="R23" s="6">
        <v>0.74</v>
      </c>
      <c r="S23" s="6">
        <v>0.43</v>
      </c>
      <c r="T23" s="6">
        <v>0.42</v>
      </c>
      <c r="U23" s="6">
        <v>0.42</v>
      </c>
    </row>
    <row r="24" spans="1:21" x14ac:dyDescent="0.25">
      <c r="A24" s="4">
        <v>2009</v>
      </c>
      <c r="B24" s="6">
        <v>0.87</v>
      </c>
      <c r="C24" s="6">
        <v>0.71</v>
      </c>
      <c r="D24" s="6">
        <v>0.44</v>
      </c>
      <c r="E24" s="6">
        <v>0.43</v>
      </c>
      <c r="F24" s="6">
        <v>0.43</v>
      </c>
      <c r="K24" s="12"/>
      <c r="L24" s="4">
        <v>2009</v>
      </c>
      <c r="M24" s="5">
        <v>0.56999999999999995</v>
      </c>
      <c r="N24" s="6">
        <v>0.44</v>
      </c>
      <c r="O24" s="6">
        <v>0.38</v>
      </c>
      <c r="P24" s="6">
        <v>0.35</v>
      </c>
      <c r="Q24" s="6">
        <v>0.87</v>
      </c>
      <c r="R24" s="6">
        <v>0.71</v>
      </c>
      <c r="S24" s="6">
        <v>0.44</v>
      </c>
      <c r="T24" s="6">
        <v>0.43</v>
      </c>
      <c r="U24" s="6">
        <v>0.43</v>
      </c>
    </row>
    <row r="25" spans="1:21" x14ac:dyDescent="0.25">
      <c r="A25" s="4">
        <v>2010</v>
      </c>
      <c r="B25" s="6">
        <v>0.91</v>
      </c>
      <c r="C25" s="6">
        <v>0.75</v>
      </c>
      <c r="D25" s="6">
        <v>0.47</v>
      </c>
      <c r="E25" s="6">
        <v>0.45</v>
      </c>
      <c r="F25" s="6">
        <v>0.45</v>
      </c>
      <c r="K25" s="12"/>
      <c r="L25" s="4">
        <v>2010</v>
      </c>
      <c r="M25" s="5">
        <v>0.56000000000000005</v>
      </c>
      <c r="N25" s="6">
        <v>0.43</v>
      </c>
      <c r="O25" s="6">
        <v>0.38</v>
      </c>
      <c r="P25" s="6">
        <v>0.35</v>
      </c>
      <c r="Q25" s="6">
        <v>0.91</v>
      </c>
      <c r="R25" s="6">
        <v>0.75</v>
      </c>
      <c r="S25" s="6">
        <v>0.47</v>
      </c>
      <c r="T25" s="6">
        <v>0.45</v>
      </c>
      <c r="U25" s="6">
        <v>0.45</v>
      </c>
    </row>
    <row r="26" spans="1:21" x14ac:dyDescent="0.25">
      <c r="A26" s="4">
        <v>2011</v>
      </c>
      <c r="B26" s="6">
        <v>0.96</v>
      </c>
      <c r="C26" s="6">
        <v>0.79</v>
      </c>
      <c r="D26" s="6">
        <v>0.5</v>
      </c>
      <c r="E26" s="6">
        <v>0.48</v>
      </c>
      <c r="F26" s="6">
        <v>0.48</v>
      </c>
      <c r="K26" s="12"/>
      <c r="L26" s="4">
        <v>2011</v>
      </c>
      <c r="M26" s="5">
        <v>0.6</v>
      </c>
      <c r="N26" s="6">
        <v>0.44</v>
      </c>
      <c r="O26" s="6">
        <v>0.4</v>
      </c>
      <c r="P26" s="6">
        <v>0.37</v>
      </c>
      <c r="Q26" s="6">
        <v>0.96</v>
      </c>
      <c r="R26" s="6">
        <v>0.79</v>
      </c>
      <c r="S26" s="6">
        <v>0.5</v>
      </c>
      <c r="T26" s="6">
        <v>0.48</v>
      </c>
      <c r="U26" s="6">
        <v>0.48</v>
      </c>
    </row>
    <row r="27" spans="1:21" x14ac:dyDescent="0.25">
      <c r="A27" s="4">
        <v>2012</v>
      </c>
      <c r="B27" s="6">
        <v>0.94</v>
      </c>
      <c r="C27" s="6">
        <v>0.79</v>
      </c>
      <c r="D27" s="6">
        <v>0.48</v>
      </c>
      <c r="E27" s="6">
        <v>0.46</v>
      </c>
      <c r="F27" s="6">
        <v>0.46</v>
      </c>
      <c r="K27" s="12"/>
      <c r="L27" s="4">
        <v>2012</v>
      </c>
      <c r="M27" s="5">
        <v>0.64</v>
      </c>
      <c r="N27" s="6">
        <v>0.44</v>
      </c>
      <c r="O27" s="6">
        <v>0.41</v>
      </c>
      <c r="P27" s="6">
        <v>0.4</v>
      </c>
      <c r="Q27" s="6">
        <v>0.94</v>
      </c>
      <c r="R27" s="6">
        <v>0.79</v>
      </c>
      <c r="S27" s="6">
        <v>0.48</v>
      </c>
      <c r="T27" s="6">
        <v>0.46</v>
      </c>
      <c r="U27" s="6">
        <v>0.46</v>
      </c>
    </row>
    <row r="28" spans="1:21" x14ac:dyDescent="0.25">
      <c r="A28" s="4">
        <v>2013</v>
      </c>
      <c r="B28" s="6">
        <v>0.89</v>
      </c>
      <c r="C28" s="6">
        <v>0.73</v>
      </c>
      <c r="D28" s="6">
        <v>0.43</v>
      </c>
      <c r="E28" s="6">
        <v>0.41</v>
      </c>
      <c r="F28" s="6">
        <v>0.41</v>
      </c>
      <c r="K28" s="12"/>
      <c r="L28" s="4">
        <v>2013</v>
      </c>
      <c r="M28" s="5">
        <v>0.63</v>
      </c>
      <c r="N28" s="6">
        <v>0.42</v>
      </c>
      <c r="O28" s="6">
        <v>0.39</v>
      </c>
      <c r="P28" s="6">
        <v>0.38</v>
      </c>
      <c r="Q28" s="6">
        <v>0.89</v>
      </c>
      <c r="R28" s="6">
        <v>0.73</v>
      </c>
      <c r="S28" s="6">
        <v>0.43</v>
      </c>
      <c r="T28" s="6">
        <v>0.41</v>
      </c>
      <c r="U28" s="6">
        <v>0.41</v>
      </c>
    </row>
    <row r="29" spans="1:21" x14ac:dyDescent="0.25">
      <c r="A29" s="7">
        <v>2014</v>
      </c>
      <c r="B29" s="9">
        <v>0.89</v>
      </c>
      <c r="C29" s="9">
        <v>0.73</v>
      </c>
      <c r="D29" s="9">
        <v>0.44</v>
      </c>
      <c r="E29" s="9">
        <v>0.42</v>
      </c>
      <c r="F29" s="9">
        <v>0.42</v>
      </c>
      <c r="K29" s="12"/>
      <c r="L29" s="7">
        <v>2014</v>
      </c>
      <c r="M29" s="8">
        <v>0.56999999999999995</v>
      </c>
      <c r="N29" s="9">
        <v>0.39</v>
      </c>
      <c r="O29" s="9">
        <v>0.35</v>
      </c>
      <c r="P29" s="9">
        <v>0.35</v>
      </c>
      <c r="Q29" s="9">
        <v>0.89</v>
      </c>
      <c r="R29" s="9">
        <v>0.73</v>
      </c>
      <c r="S29" s="9">
        <v>0.44</v>
      </c>
      <c r="T29" s="9">
        <v>0.42</v>
      </c>
      <c r="U29" s="9">
        <v>0.42</v>
      </c>
    </row>
    <row r="30" spans="1:21" x14ac:dyDescent="0.25">
      <c r="A30" s="1">
        <v>2015</v>
      </c>
      <c r="B30" s="3">
        <v>0.88</v>
      </c>
      <c r="C30" s="3">
        <v>0.71</v>
      </c>
      <c r="D30" s="3">
        <v>0.42</v>
      </c>
      <c r="E30" s="3">
        <v>0.41</v>
      </c>
      <c r="F30" s="3">
        <v>0.41</v>
      </c>
      <c r="K30" s="12"/>
      <c r="L30" s="1">
        <v>2015</v>
      </c>
      <c r="M30" s="2">
        <v>0.59</v>
      </c>
      <c r="N30" s="3">
        <v>0.41</v>
      </c>
      <c r="O30" s="3">
        <v>0.37</v>
      </c>
      <c r="P30" s="3">
        <v>0.36</v>
      </c>
      <c r="Q30" s="3">
        <v>0.88</v>
      </c>
      <c r="R30" s="3">
        <v>0.71</v>
      </c>
      <c r="S30" s="3">
        <v>0.42</v>
      </c>
      <c r="T30" s="3">
        <v>0.41</v>
      </c>
      <c r="U30" s="3">
        <v>0.41</v>
      </c>
    </row>
    <row r="31" spans="1:21" ht="15" customHeight="1" x14ac:dyDescent="0.25">
      <c r="A31" s="4">
        <v>2016</v>
      </c>
      <c r="B31" s="6">
        <v>0.89</v>
      </c>
      <c r="C31" s="6">
        <v>0.72</v>
      </c>
      <c r="D31" s="6">
        <v>0.43</v>
      </c>
      <c r="E31" s="6">
        <v>0.42</v>
      </c>
      <c r="F31" s="6">
        <v>0.42</v>
      </c>
      <c r="K31" s="12"/>
      <c r="L31" s="4">
        <v>2016</v>
      </c>
      <c r="M31" s="5">
        <v>0.56999999999999995</v>
      </c>
      <c r="N31" s="6">
        <v>0.4</v>
      </c>
      <c r="O31" s="6">
        <v>0.35</v>
      </c>
      <c r="P31" s="6">
        <v>0.34</v>
      </c>
      <c r="Q31" s="6">
        <v>0.89</v>
      </c>
      <c r="R31" s="6">
        <v>0.72</v>
      </c>
      <c r="S31" s="6">
        <v>0.43</v>
      </c>
      <c r="T31" s="6">
        <v>0.42</v>
      </c>
      <c r="U31" s="6">
        <v>0.42</v>
      </c>
    </row>
    <row r="32" spans="1:21" x14ac:dyDescent="0.25">
      <c r="A32" s="4">
        <v>2017</v>
      </c>
      <c r="B32" s="6">
        <v>0.83</v>
      </c>
      <c r="C32" s="6">
        <v>0.68</v>
      </c>
      <c r="D32" s="6">
        <v>0.4</v>
      </c>
      <c r="E32" s="6">
        <v>0.39</v>
      </c>
      <c r="F32" s="6">
        <v>0.39</v>
      </c>
      <c r="K32" s="12"/>
      <c r="L32" s="4">
        <v>2017</v>
      </c>
      <c r="M32" s="5">
        <v>0.57999999999999996</v>
      </c>
      <c r="N32" s="6">
        <v>0.41</v>
      </c>
      <c r="O32" s="6">
        <v>0.36</v>
      </c>
      <c r="P32" s="6">
        <v>0.35</v>
      </c>
      <c r="Q32" s="6">
        <v>0.83</v>
      </c>
      <c r="R32" s="6">
        <v>0.68</v>
      </c>
      <c r="S32" s="6">
        <v>0.4</v>
      </c>
      <c r="T32" s="6">
        <v>0.39</v>
      </c>
      <c r="U32" s="6">
        <v>0.39</v>
      </c>
    </row>
    <row r="33" spans="1:21" x14ac:dyDescent="0.25">
      <c r="A33" s="4">
        <v>2018</v>
      </c>
      <c r="B33" s="6">
        <v>0.84</v>
      </c>
      <c r="C33" s="6">
        <v>0.65</v>
      </c>
      <c r="D33" s="6">
        <v>0.39</v>
      </c>
      <c r="E33" s="6">
        <v>0.39</v>
      </c>
      <c r="F33" s="6">
        <v>0.38</v>
      </c>
      <c r="K33" s="12"/>
      <c r="L33" s="4">
        <v>2018</v>
      </c>
      <c r="M33" s="5">
        <v>0.54</v>
      </c>
      <c r="N33" s="6">
        <v>0.39</v>
      </c>
      <c r="O33" s="6">
        <v>0.33</v>
      </c>
      <c r="P33" s="6">
        <v>0.32</v>
      </c>
      <c r="Q33" s="6">
        <v>0.84</v>
      </c>
      <c r="R33" s="6">
        <v>0.65</v>
      </c>
      <c r="S33" s="6">
        <v>0.39</v>
      </c>
      <c r="T33" s="6">
        <v>0.39</v>
      </c>
      <c r="U33" s="6">
        <v>0.38</v>
      </c>
    </row>
    <row r="34" spans="1:21" x14ac:dyDescent="0.25">
      <c r="A34" s="4">
        <v>2019</v>
      </c>
      <c r="B34" s="6">
        <v>0.9</v>
      </c>
      <c r="C34" s="6">
        <v>0.66</v>
      </c>
      <c r="D34" s="6">
        <v>0.41</v>
      </c>
      <c r="E34" s="6">
        <v>0.41</v>
      </c>
      <c r="F34" s="6">
        <v>0.41</v>
      </c>
      <c r="K34" s="12"/>
      <c r="L34" s="4">
        <v>2019</v>
      </c>
      <c r="M34" s="5">
        <v>0.56999999999999995</v>
      </c>
      <c r="N34" s="6">
        <v>0.42</v>
      </c>
      <c r="O34" s="6">
        <v>0.34</v>
      </c>
      <c r="P34" s="6">
        <v>0.32</v>
      </c>
      <c r="Q34" s="6">
        <v>0.9</v>
      </c>
      <c r="R34" s="6">
        <v>0.66</v>
      </c>
      <c r="S34" s="6">
        <v>0.41</v>
      </c>
      <c r="T34" s="6">
        <v>0.41</v>
      </c>
      <c r="U34" s="6">
        <v>0.41</v>
      </c>
    </row>
    <row r="35" spans="1:21" x14ac:dyDescent="0.25">
      <c r="A35" s="4">
        <v>2020</v>
      </c>
      <c r="B35" s="6">
        <v>1</v>
      </c>
      <c r="C35" s="6">
        <v>0.73</v>
      </c>
      <c r="D35" s="6">
        <v>0.5</v>
      </c>
      <c r="E35" s="6">
        <v>0.5</v>
      </c>
      <c r="F35" s="6">
        <v>0.5</v>
      </c>
      <c r="K35" s="12"/>
      <c r="L35" s="4">
        <v>2020</v>
      </c>
      <c r="M35" s="5">
        <v>0.63</v>
      </c>
      <c r="N35" s="6">
        <v>0.49</v>
      </c>
      <c r="O35" s="6">
        <v>0.39</v>
      </c>
      <c r="P35" s="6">
        <v>0.34</v>
      </c>
      <c r="Q35" s="6">
        <v>1</v>
      </c>
      <c r="R35" s="6">
        <v>0.73</v>
      </c>
      <c r="S35" s="6">
        <v>0.5</v>
      </c>
      <c r="T35" s="6">
        <v>0.5</v>
      </c>
      <c r="U35" s="6">
        <v>0.5</v>
      </c>
    </row>
    <row r="36" spans="1:21" x14ac:dyDescent="0.25">
      <c r="A36" s="4">
        <v>2021</v>
      </c>
      <c r="B36" s="6">
        <v>1.08</v>
      </c>
      <c r="C36" s="6">
        <v>0.82</v>
      </c>
      <c r="D36" s="6">
        <v>0.61</v>
      </c>
      <c r="E36" s="6">
        <v>0.61</v>
      </c>
      <c r="F36" s="6">
        <v>0.61</v>
      </c>
      <c r="K36" s="12"/>
      <c r="L36" s="4">
        <v>2021</v>
      </c>
      <c r="M36" s="5">
        <v>0.7</v>
      </c>
      <c r="N36" s="6">
        <v>0.57999999999999996</v>
      </c>
      <c r="O36" s="6">
        <v>0.47</v>
      </c>
      <c r="P36" s="6">
        <v>0.42</v>
      </c>
      <c r="Q36" s="6">
        <v>1.08</v>
      </c>
      <c r="R36" s="6">
        <v>0.82</v>
      </c>
      <c r="S36" s="6">
        <v>0.61</v>
      </c>
      <c r="T36" s="6">
        <v>0.61</v>
      </c>
      <c r="U36" s="6">
        <v>0.61</v>
      </c>
    </row>
    <row r="37" spans="1:21" x14ac:dyDescent="0.25">
      <c r="A37" s="4">
        <v>2022</v>
      </c>
      <c r="B37" s="6">
        <v>1.08</v>
      </c>
      <c r="C37" s="6">
        <v>0.82</v>
      </c>
      <c r="D37" s="6">
        <v>0.61</v>
      </c>
      <c r="E37" s="6">
        <v>0.61</v>
      </c>
      <c r="F37" s="6">
        <v>0.61</v>
      </c>
      <c r="K37" s="12"/>
      <c r="L37" s="4">
        <v>2022</v>
      </c>
      <c r="M37" s="5">
        <v>0.51</v>
      </c>
      <c r="N37" s="6">
        <v>0.43</v>
      </c>
      <c r="O37" s="6">
        <v>0.36</v>
      </c>
      <c r="P37" s="6">
        <v>0.32</v>
      </c>
      <c r="Q37" s="6">
        <v>1.08</v>
      </c>
      <c r="R37" s="6">
        <v>0.82</v>
      </c>
      <c r="S37" s="6">
        <v>0.61</v>
      </c>
      <c r="T37" s="6">
        <v>0.61</v>
      </c>
      <c r="U37" s="6">
        <v>0.61</v>
      </c>
    </row>
    <row r="38" spans="1:21" x14ac:dyDescent="0.25">
      <c r="A38" s="4">
        <v>2023</v>
      </c>
      <c r="B38" s="6">
        <v>1.05</v>
      </c>
      <c r="C38" s="6">
        <v>0.79</v>
      </c>
      <c r="D38" s="6">
        <v>0.57999999999999996</v>
      </c>
      <c r="E38" s="6">
        <v>0.56999999999999995</v>
      </c>
      <c r="F38" s="6">
        <v>0.56999999999999995</v>
      </c>
      <c r="K38" s="12"/>
      <c r="L38" s="4">
        <v>2023</v>
      </c>
      <c r="M38" s="5">
        <v>0.51</v>
      </c>
      <c r="N38" s="6">
        <v>0.43</v>
      </c>
      <c r="O38" s="6">
        <v>0.36</v>
      </c>
      <c r="P38" s="6">
        <v>0.32</v>
      </c>
      <c r="Q38" s="6">
        <v>1.05</v>
      </c>
      <c r="R38" s="6">
        <v>0.79</v>
      </c>
      <c r="S38" s="6">
        <v>0.57999999999999996</v>
      </c>
      <c r="T38" s="6">
        <v>0.56999999999999995</v>
      </c>
      <c r="U38" s="6">
        <v>0.56999999999999995</v>
      </c>
    </row>
    <row r="39" spans="1:21" x14ac:dyDescent="0.25">
      <c r="A39" s="4">
        <v>2024</v>
      </c>
      <c r="B39" s="6">
        <v>1.05</v>
      </c>
      <c r="C39" s="6">
        <v>0.79</v>
      </c>
      <c r="D39" s="6">
        <v>0.57999999999999996</v>
      </c>
      <c r="E39" s="6">
        <v>0.56999999999999995</v>
      </c>
      <c r="F39" s="6">
        <v>0.56999999999999995</v>
      </c>
      <c r="K39" s="12"/>
      <c r="L39" s="4">
        <v>2024</v>
      </c>
      <c r="M39" s="5">
        <v>0.57999999999999996</v>
      </c>
      <c r="N39" s="6">
        <v>0.48</v>
      </c>
      <c r="O39" s="6">
        <v>0.4</v>
      </c>
      <c r="P39" s="6">
        <v>0.36</v>
      </c>
      <c r="Q39" s="6">
        <v>1.05</v>
      </c>
      <c r="R39" s="6">
        <v>0.79</v>
      </c>
      <c r="S39" s="6">
        <v>0.57999999999999996</v>
      </c>
      <c r="T39" s="6">
        <v>0.56999999999999995</v>
      </c>
      <c r="U39" s="6">
        <v>0.56999999999999995</v>
      </c>
    </row>
    <row r="40" spans="1:21" x14ac:dyDescent="0.25">
      <c r="A40" s="7">
        <v>2025</v>
      </c>
      <c r="B40" s="9">
        <v>1.05</v>
      </c>
      <c r="C40" s="9">
        <v>0.79</v>
      </c>
      <c r="D40" s="9">
        <v>0.57999999999999996</v>
      </c>
      <c r="E40" s="9">
        <v>0.56999999999999995</v>
      </c>
      <c r="F40" s="9">
        <v>0.56999999999999995</v>
      </c>
      <c r="K40" s="12"/>
      <c r="L40" s="7">
        <v>2025</v>
      </c>
      <c r="M40" s="8">
        <v>0.57999999999999996</v>
      </c>
      <c r="N40" s="9">
        <v>0.48</v>
      </c>
      <c r="O40" s="9">
        <v>0.4</v>
      </c>
      <c r="P40" s="9">
        <v>0.36</v>
      </c>
      <c r="Q40" s="9">
        <v>1.05</v>
      </c>
      <c r="R40" s="9">
        <v>0.79</v>
      </c>
      <c r="S40" s="9">
        <v>0.57999999999999996</v>
      </c>
      <c r="T40" s="9">
        <v>0.56999999999999995</v>
      </c>
      <c r="U40" s="9">
        <v>0.56999999999999995</v>
      </c>
    </row>
    <row r="41" spans="1:21" x14ac:dyDescent="0.25">
      <c r="A41" s="4"/>
      <c r="B41" s="29"/>
      <c r="C41" s="10"/>
      <c r="D41" s="10"/>
      <c r="E41" s="10"/>
      <c r="F41" s="10"/>
      <c r="K41" s="12"/>
      <c r="L41" s="12"/>
      <c r="M41" s="5"/>
      <c r="N41" s="6"/>
      <c r="O41" s="6"/>
      <c r="P41" s="6"/>
      <c r="Q41" s="27"/>
      <c r="R41" s="6"/>
      <c r="S41" s="6"/>
      <c r="T41" s="6"/>
      <c r="U41" s="6"/>
    </row>
    <row r="42" spans="1:21" x14ac:dyDescent="0.25">
      <c r="A42" s="4"/>
      <c r="B42" s="29"/>
      <c r="C42" s="10"/>
      <c r="D42" s="10"/>
      <c r="E42" s="10"/>
      <c r="F42" s="10"/>
      <c r="K42" s="12"/>
      <c r="L42" s="12"/>
      <c r="M42" s="5"/>
      <c r="N42" s="6"/>
      <c r="O42" s="6"/>
      <c r="P42" s="6"/>
      <c r="Q42" s="27"/>
      <c r="R42" s="6"/>
      <c r="S42" s="6"/>
      <c r="T42" s="6"/>
      <c r="U42" s="6"/>
    </row>
    <row r="43" spans="1:21" x14ac:dyDescent="0.25">
      <c r="A43" s="4"/>
      <c r="B43" s="29"/>
      <c r="C43" s="10"/>
      <c r="D43" s="10"/>
      <c r="E43" s="10"/>
      <c r="F43" s="10"/>
      <c r="K43" s="12"/>
      <c r="L43" s="12"/>
      <c r="M43" s="5"/>
      <c r="N43" s="6"/>
      <c r="O43" s="6"/>
      <c r="P43" s="6"/>
      <c r="Q43" s="27"/>
      <c r="R43" s="6"/>
      <c r="S43" s="6"/>
      <c r="T43" s="6"/>
      <c r="U43" s="6"/>
    </row>
    <row r="44" spans="1:21" x14ac:dyDescent="0.25">
      <c r="A44" s="7"/>
      <c r="B44" s="29"/>
      <c r="C44" s="10"/>
      <c r="D44" s="10"/>
      <c r="E44" s="10"/>
      <c r="F44" s="10"/>
      <c r="K44" s="12"/>
      <c r="L44" s="12"/>
      <c r="M44" s="8"/>
      <c r="N44" s="9"/>
      <c r="O44" s="9"/>
      <c r="P44" s="9"/>
      <c r="Q44" s="28"/>
      <c r="R44" s="9"/>
      <c r="S44" s="9"/>
      <c r="T44" s="9"/>
      <c r="U44" s="9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5D47-27E2-4877-B73B-B35DD3EBCEF6}">
  <dimension ref="A1:F39"/>
  <sheetViews>
    <sheetView workbookViewId="0">
      <selection activeCell="B2" sqref="B2:F39"/>
    </sheetView>
  </sheetViews>
  <sheetFormatPr defaultRowHeight="15" x14ac:dyDescent="0.25"/>
  <sheetData>
    <row r="1" spans="1:6" x14ac:dyDescent="0.25"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s="13">
        <v>1987</v>
      </c>
      <c r="B2" s="36">
        <v>0</v>
      </c>
      <c r="C2" s="19">
        <v>0.4830583</v>
      </c>
      <c r="D2" s="20">
        <v>0.69817010000000002</v>
      </c>
      <c r="E2" s="20">
        <v>0.46406750000000002</v>
      </c>
      <c r="F2" s="20">
        <v>0.46406750000000002</v>
      </c>
    </row>
    <row r="3" spans="1:6" x14ac:dyDescent="0.25">
      <c r="A3" s="14">
        <v>1988</v>
      </c>
      <c r="B3" s="37">
        <v>0</v>
      </c>
      <c r="C3" s="21">
        <v>0.65761460000000005</v>
      </c>
      <c r="D3" s="22">
        <v>0.95045849999999998</v>
      </c>
      <c r="E3" s="22">
        <v>0.63176140000000003</v>
      </c>
      <c r="F3" s="22">
        <v>0.63176140000000003</v>
      </c>
    </row>
    <row r="4" spans="1:6" x14ac:dyDescent="0.25">
      <c r="A4" s="14">
        <v>1989</v>
      </c>
      <c r="B4" s="37">
        <v>0</v>
      </c>
      <c r="C4" s="21">
        <v>0.7239582</v>
      </c>
      <c r="D4" s="22">
        <v>1.0463457</v>
      </c>
      <c r="E4" s="22">
        <v>0.69549680000000003</v>
      </c>
      <c r="F4" s="22">
        <v>0.69549680000000003</v>
      </c>
    </row>
    <row r="5" spans="1:6" x14ac:dyDescent="0.25">
      <c r="A5" s="14">
        <v>1990</v>
      </c>
      <c r="B5" s="37">
        <v>0</v>
      </c>
      <c r="C5" s="21">
        <v>0.44113659999999999</v>
      </c>
      <c r="D5" s="22">
        <v>0.63758020000000004</v>
      </c>
      <c r="E5" s="22">
        <v>0.4237939</v>
      </c>
      <c r="F5" s="22">
        <v>0.4237939</v>
      </c>
    </row>
    <row r="6" spans="1:6" x14ac:dyDescent="0.25">
      <c r="A6" s="14">
        <v>1991</v>
      </c>
      <c r="B6" s="37">
        <v>0</v>
      </c>
      <c r="C6" s="21">
        <v>0.53229249999999995</v>
      </c>
      <c r="D6" s="22">
        <v>0.76932900000000004</v>
      </c>
      <c r="E6" s="22">
        <v>0.51136619999999999</v>
      </c>
      <c r="F6" s="22">
        <v>0.51136619999999999</v>
      </c>
    </row>
    <row r="7" spans="1:6" x14ac:dyDescent="0.25">
      <c r="A7" s="14">
        <v>1992</v>
      </c>
      <c r="B7" s="37">
        <v>0</v>
      </c>
      <c r="C7" s="21">
        <v>0.2231233</v>
      </c>
      <c r="D7" s="22">
        <v>0.32248290000000002</v>
      </c>
      <c r="E7" s="22">
        <v>0.2143515</v>
      </c>
      <c r="F7" s="22">
        <v>0.2143515</v>
      </c>
    </row>
    <row r="8" spans="1:6" x14ac:dyDescent="0.25">
      <c r="A8" s="14">
        <v>1993</v>
      </c>
      <c r="B8" s="37">
        <v>0</v>
      </c>
      <c r="C8" s="21">
        <v>0.45930349999999998</v>
      </c>
      <c r="D8" s="22">
        <v>0.66383700000000001</v>
      </c>
      <c r="E8" s="22">
        <v>0.44124659999999999</v>
      </c>
      <c r="F8" s="22">
        <v>0.44124659999999999</v>
      </c>
    </row>
    <row r="9" spans="1:6" x14ac:dyDescent="0.25">
      <c r="A9" s="14">
        <v>1994</v>
      </c>
      <c r="B9" s="37">
        <v>0</v>
      </c>
      <c r="C9" s="21">
        <v>0.4499628</v>
      </c>
      <c r="D9" s="22">
        <v>0.65033680000000005</v>
      </c>
      <c r="E9" s="22">
        <v>0.43227320000000002</v>
      </c>
      <c r="F9" s="22">
        <v>0.43227320000000002</v>
      </c>
    </row>
    <row r="10" spans="1:6" x14ac:dyDescent="0.25">
      <c r="A10" s="14">
        <v>1995</v>
      </c>
      <c r="B10" s="37">
        <v>0</v>
      </c>
      <c r="C10" s="21">
        <v>0.352935</v>
      </c>
      <c r="D10" s="22">
        <v>0.51010129999999998</v>
      </c>
      <c r="E10" s="22">
        <v>0.33905980000000002</v>
      </c>
      <c r="F10" s="22">
        <v>0.33905980000000002</v>
      </c>
    </row>
    <row r="11" spans="1:6" x14ac:dyDescent="0.25">
      <c r="A11" s="14">
        <v>1996</v>
      </c>
      <c r="B11" s="37">
        <v>0</v>
      </c>
      <c r="C11" s="21">
        <v>0.37656970000000001</v>
      </c>
      <c r="D11" s="22">
        <v>0.54426079999999999</v>
      </c>
      <c r="E11" s="22">
        <v>0.36176540000000001</v>
      </c>
      <c r="F11" s="22">
        <v>0.36176540000000001</v>
      </c>
    </row>
    <row r="12" spans="1:6" x14ac:dyDescent="0.25">
      <c r="A12" s="14">
        <v>1997</v>
      </c>
      <c r="B12" s="37">
        <v>0</v>
      </c>
      <c r="C12" s="21">
        <v>0.70023670000000005</v>
      </c>
      <c r="D12" s="22">
        <v>1.0120608</v>
      </c>
      <c r="E12" s="22">
        <v>0.67270790000000003</v>
      </c>
      <c r="F12" s="22">
        <v>0.67270790000000003</v>
      </c>
    </row>
    <row r="13" spans="1:6" x14ac:dyDescent="0.25">
      <c r="A13" s="14">
        <v>1998</v>
      </c>
      <c r="B13" s="37">
        <v>0</v>
      </c>
      <c r="C13" s="21">
        <v>0.99710140000000003</v>
      </c>
      <c r="D13" s="22">
        <v>1.4411231</v>
      </c>
      <c r="E13" s="22">
        <v>0.95790180000000003</v>
      </c>
      <c r="F13" s="22">
        <v>0.95790180000000003</v>
      </c>
    </row>
    <row r="14" spans="1:6" x14ac:dyDescent="0.25">
      <c r="A14" s="14">
        <v>1999</v>
      </c>
      <c r="B14" s="37">
        <v>0</v>
      </c>
      <c r="C14" s="21">
        <v>0.4814138</v>
      </c>
      <c r="D14" s="22">
        <v>0.69579340000000001</v>
      </c>
      <c r="E14" s="22">
        <v>0.4624877</v>
      </c>
      <c r="F14" s="22">
        <v>0.4624877</v>
      </c>
    </row>
    <row r="15" spans="1:6" x14ac:dyDescent="0.25">
      <c r="A15" s="14">
        <v>2000</v>
      </c>
      <c r="B15" s="37">
        <v>0</v>
      </c>
      <c r="C15" s="21">
        <v>0.39755249999999998</v>
      </c>
      <c r="D15" s="22">
        <v>0.57458759999999998</v>
      </c>
      <c r="E15" s="22">
        <v>0.38192330000000002</v>
      </c>
      <c r="F15" s="22">
        <v>0.38192330000000002</v>
      </c>
    </row>
    <row r="16" spans="1:6" x14ac:dyDescent="0.25">
      <c r="A16" s="14">
        <v>2001</v>
      </c>
      <c r="B16" s="37">
        <v>0</v>
      </c>
      <c r="C16" s="21">
        <v>0.3613421</v>
      </c>
      <c r="D16" s="22">
        <v>0.5222523</v>
      </c>
      <c r="E16" s="22">
        <v>0.34713650000000001</v>
      </c>
      <c r="F16" s="22">
        <v>0.34713650000000001</v>
      </c>
    </row>
    <row r="17" spans="1:6" x14ac:dyDescent="0.25">
      <c r="A17" s="14">
        <v>2002</v>
      </c>
      <c r="B17" s="37">
        <v>0</v>
      </c>
      <c r="C17" s="21">
        <v>0.23976239999999999</v>
      </c>
      <c r="D17" s="22">
        <v>0.3465316</v>
      </c>
      <c r="E17" s="22">
        <v>0.2303365</v>
      </c>
      <c r="F17" s="22">
        <v>0.2303365</v>
      </c>
    </row>
    <row r="18" spans="1:6" x14ac:dyDescent="0.25">
      <c r="A18" s="14">
        <v>2003</v>
      </c>
      <c r="B18" s="37">
        <v>0</v>
      </c>
      <c r="C18" s="21">
        <v>0.1465899</v>
      </c>
      <c r="D18" s="22">
        <v>0.21186820000000001</v>
      </c>
      <c r="E18" s="22">
        <v>0.1408269</v>
      </c>
      <c r="F18" s="22">
        <v>0.1408269</v>
      </c>
    </row>
    <row r="19" spans="1:6" x14ac:dyDescent="0.25">
      <c r="A19" s="14">
        <v>2004</v>
      </c>
      <c r="B19" s="37">
        <v>0</v>
      </c>
      <c r="C19" s="21">
        <v>0.1099863</v>
      </c>
      <c r="D19" s="22">
        <v>0.15896450000000001</v>
      </c>
      <c r="E19" s="22">
        <v>0.1056623</v>
      </c>
      <c r="F19" s="22">
        <v>0.1056623</v>
      </c>
    </row>
    <row r="20" spans="1:6" x14ac:dyDescent="0.25">
      <c r="A20" s="14">
        <v>2005</v>
      </c>
      <c r="B20" s="37">
        <v>0</v>
      </c>
      <c r="C20" s="21">
        <v>4.8581199999999998E-2</v>
      </c>
      <c r="D20" s="22">
        <v>7.0215E-2</v>
      </c>
      <c r="E20" s="22">
        <v>4.6671299999999999E-2</v>
      </c>
      <c r="F20" s="22">
        <v>4.6671299999999999E-2</v>
      </c>
    </row>
    <row r="21" spans="1:6" x14ac:dyDescent="0.25">
      <c r="A21" s="14">
        <v>2006</v>
      </c>
      <c r="B21" s="37">
        <v>0</v>
      </c>
      <c r="C21" s="21">
        <v>1.9832099999999998E-2</v>
      </c>
      <c r="D21" s="22">
        <v>2.8663500000000001E-2</v>
      </c>
      <c r="E21" s="22">
        <v>1.9052400000000001E-2</v>
      </c>
      <c r="F21" s="22">
        <v>1.9052400000000001E-2</v>
      </c>
    </row>
    <row r="22" spans="1:6" x14ac:dyDescent="0.25">
      <c r="A22" s="14">
        <v>2007</v>
      </c>
      <c r="B22" s="37">
        <v>0</v>
      </c>
      <c r="C22" s="21">
        <v>0.12947249999999999</v>
      </c>
      <c r="D22" s="22">
        <v>0.18712819999999999</v>
      </c>
      <c r="E22" s="22">
        <v>0.12438249999999999</v>
      </c>
      <c r="F22" s="22">
        <v>0.12438249999999999</v>
      </c>
    </row>
    <row r="23" spans="1:6" x14ac:dyDescent="0.25">
      <c r="A23" s="14">
        <v>2008</v>
      </c>
      <c r="B23" s="37">
        <v>0</v>
      </c>
      <c r="C23" s="21">
        <v>0.15553819999999999</v>
      </c>
      <c r="D23" s="22">
        <v>0.22480130000000001</v>
      </c>
      <c r="E23" s="22">
        <v>0.14942340000000001</v>
      </c>
      <c r="F23" s="22">
        <v>0.14942340000000001</v>
      </c>
    </row>
    <row r="24" spans="1:6" x14ac:dyDescent="0.25">
      <c r="A24" s="14">
        <v>2009</v>
      </c>
      <c r="B24" s="37">
        <v>0</v>
      </c>
      <c r="C24" s="21">
        <v>1.15967E-2</v>
      </c>
      <c r="D24" s="22">
        <v>1.6760799999999999E-2</v>
      </c>
      <c r="E24" s="22">
        <v>1.1140799999999999E-2</v>
      </c>
      <c r="F24" s="22">
        <v>1.1140799999999999E-2</v>
      </c>
    </row>
    <row r="25" spans="1:6" x14ac:dyDescent="0.25">
      <c r="A25" s="14">
        <v>2010</v>
      </c>
      <c r="B25" s="37">
        <v>0</v>
      </c>
      <c r="C25" s="21">
        <v>0.1357508</v>
      </c>
      <c r="D25" s="22">
        <v>0.1962023</v>
      </c>
      <c r="E25" s="22">
        <v>0.1304139</v>
      </c>
      <c r="F25" s="22">
        <v>0.1304139</v>
      </c>
    </row>
    <row r="26" spans="1:6" x14ac:dyDescent="0.25">
      <c r="A26" s="14">
        <v>2011</v>
      </c>
      <c r="B26" s="37">
        <v>0</v>
      </c>
      <c r="C26" s="21">
        <v>0.1277518</v>
      </c>
      <c r="D26" s="22">
        <v>0.18464120000000001</v>
      </c>
      <c r="E26" s="22">
        <v>0.1227294</v>
      </c>
      <c r="F26" s="22">
        <v>0.1227294</v>
      </c>
    </row>
    <row r="27" spans="1:6" x14ac:dyDescent="0.25">
      <c r="A27" s="14">
        <v>2012</v>
      </c>
      <c r="B27" s="37">
        <v>0</v>
      </c>
      <c r="C27" s="21">
        <v>6.4421099999999995E-2</v>
      </c>
      <c r="D27" s="22">
        <v>9.31086E-2</v>
      </c>
      <c r="E27" s="22">
        <v>6.1888400000000003E-2</v>
      </c>
      <c r="F27" s="22">
        <v>6.1888400000000003E-2</v>
      </c>
    </row>
    <row r="28" spans="1:6" x14ac:dyDescent="0.25">
      <c r="A28" s="14">
        <v>2013</v>
      </c>
      <c r="B28" s="37">
        <v>0</v>
      </c>
      <c r="C28" s="21">
        <v>3.0584099999999999E-2</v>
      </c>
      <c r="D28" s="22">
        <v>4.4203600000000003E-2</v>
      </c>
      <c r="E28" s="22">
        <v>2.93817E-2</v>
      </c>
      <c r="F28" s="22">
        <v>2.93817E-2</v>
      </c>
    </row>
    <row r="29" spans="1:6" x14ac:dyDescent="0.25">
      <c r="A29" s="14">
        <v>2014</v>
      </c>
      <c r="B29" s="37">
        <v>0</v>
      </c>
      <c r="C29" s="21">
        <v>0.10245070000000001</v>
      </c>
      <c r="D29" s="22">
        <v>0.14807329999999999</v>
      </c>
      <c r="E29" s="22">
        <v>9.8422999999999997E-2</v>
      </c>
      <c r="F29" s="22">
        <v>9.8422999999999997E-2</v>
      </c>
    </row>
    <row r="30" spans="1:6" x14ac:dyDescent="0.25">
      <c r="A30" s="15">
        <v>2015</v>
      </c>
      <c r="B30" s="38">
        <v>0</v>
      </c>
      <c r="C30" s="23">
        <v>0.1037315</v>
      </c>
      <c r="D30" s="24">
        <v>0.14992440000000001</v>
      </c>
      <c r="E30" s="24">
        <v>9.9653500000000006E-2</v>
      </c>
      <c r="F30" s="24">
        <v>9.9653500000000006E-2</v>
      </c>
    </row>
    <row r="31" spans="1:6" x14ac:dyDescent="0.25">
      <c r="A31" s="13">
        <v>2016</v>
      </c>
      <c r="B31" s="36">
        <v>0</v>
      </c>
      <c r="C31" s="19">
        <v>6.6616400000000006E-2</v>
      </c>
      <c r="D31" s="20">
        <v>9.6281500000000006E-2</v>
      </c>
      <c r="E31" s="20">
        <v>6.3997499999999999E-2</v>
      </c>
      <c r="F31" s="20">
        <v>6.3997499999999999E-2</v>
      </c>
    </row>
    <row r="32" spans="1:6" x14ac:dyDescent="0.25">
      <c r="A32" s="14">
        <v>2017</v>
      </c>
      <c r="B32" s="37">
        <v>0</v>
      </c>
      <c r="C32" s="21">
        <v>0.1367208</v>
      </c>
      <c r="D32" s="22">
        <v>0.19760430000000001</v>
      </c>
      <c r="E32" s="22">
        <v>0.13134580000000001</v>
      </c>
      <c r="F32" s="22">
        <v>0.13134580000000001</v>
      </c>
    </row>
    <row r="33" spans="1:6" x14ac:dyDescent="0.25">
      <c r="A33" s="14">
        <v>2018</v>
      </c>
      <c r="B33" s="37">
        <v>0</v>
      </c>
      <c r="C33" s="21">
        <v>0.1304922</v>
      </c>
      <c r="D33" s="22">
        <v>0.18860209999999999</v>
      </c>
      <c r="E33" s="22">
        <v>0.1253621</v>
      </c>
      <c r="F33" s="22">
        <v>0.1253621</v>
      </c>
    </row>
    <row r="34" spans="1:6" x14ac:dyDescent="0.25">
      <c r="A34" s="14">
        <v>2019</v>
      </c>
      <c r="B34" s="37">
        <v>0</v>
      </c>
      <c r="C34" s="21">
        <v>0.1401637</v>
      </c>
      <c r="D34" s="22">
        <v>0.20258029999999999</v>
      </c>
      <c r="E34" s="22">
        <v>0.13465340000000001</v>
      </c>
      <c r="F34" s="22">
        <v>0.13465340000000001</v>
      </c>
    </row>
    <row r="35" spans="1:6" x14ac:dyDescent="0.25">
      <c r="A35" s="14">
        <v>2020</v>
      </c>
      <c r="B35" s="37">
        <v>0</v>
      </c>
      <c r="C35" s="21">
        <v>0.36859609999999998</v>
      </c>
      <c r="D35" s="22">
        <v>0.53273649999999995</v>
      </c>
      <c r="E35" s="22">
        <v>0.35410520000000001</v>
      </c>
      <c r="F35" s="22">
        <v>0.35410520000000001</v>
      </c>
    </row>
    <row r="36" spans="1:6" x14ac:dyDescent="0.25">
      <c r="A36" s="14">
        <v>2021</v>
      </c>
      <c r="B36" s="37">
        <v>0</v>
      </c>
      <c r="C36" s="21">
        <v>0.1682389</v>
      </c>
      <c r="D36" s="22">
        <v>0.24315780000000001</v>
      </c>
      <c r="E36" s="22">
        <v>0.16162489999999999</v>
      </c>
      <c r="F36" s="22">
        <v>0.16162489999999999</v>
      </c>
    </row>
    <row r="37" spans="1:6" x14ac:dyDescent="0.25">
      <c r="A37" s="14">
        <v>2022</v>
      </c>
      <c r="B37" s="37">
        <v>0</v>
      </c>
      <c r="C37" s="21">
        <v>0.19927259999999999</v>
      </c>
      <c r="D37" s="22">
        <v>0.28801110000000002</v>
      </c>
      <c r="E37" s="22">
        <v>0.19143840000000001</v>
      </c>
      <c r="F37" s="22">
        <v>0.19143840000000001</v>
      </c>
    </row>
    <row r="38" spans="1:6" x14ac:dyDescent="0.25">
      <c r="A38" s="14">
        <v>2023</v>
      </c>
      <c r="B38" s="37">
        <v>0</v>
      </c>
      <c r="C38" s="21">
        <v>8.5971599999999995E-2</v>
      </c>
      <c r="D38" s="22">
        <v>0.1242558</v>
      </c>
      <c r="E38" s="22">
        <v>8.2591700000000004E-2</v>
      </c>
      <c r="F38" s="22">
        <v>8.2591700000000004E-2</v>
      </c>
    </row>
    <row r="39" spans="1:6" x14ac:dyDescent="0.25">
      <c r="A39" s="15">
        <v>2024</v>
      </c>
      <c r="B39" s="38">
        <v>0</v>
      </c>
      <c r="C39" s="23">
        <v>2.52543E-2</v>
      </c>
      <c r="D39" s="24">
        <v>3.6500400000000002E-2</v>
      </c>
      <c r="E39" s="24">
        <v>2.4261499999999998E-2</v>
      </c>
      <c r="F39" s="24">
        <v>2.4261499999999998E-2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AFCC-FB95-4B5D-8819-57248C49BB62}">
  <dimension ref="A1:O43"/>
  <sheetViews>
    <sheetView topLeftCell="A5" workbookViewId="0">
      <selection activeCell="B2" sqref="B2:F39"/>
    </sheetView>
  </sheetViews>
  <sheetFormatPr defaultRowHeight="15" x14ac:dyDescent="0.25"/>
  <sheetData>
    <row r="1" spans="1:1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H1" t="s">
        <v>21</v>
      </c>
    </row>
    <row r="2" spans="1:15" x14ac:dyDescent="0.25">
      <c r="A2" s="13">
        <v>1987</v>
      </c>
      <c r="B2">
        <v>87367057</v>
      </c>
      <c r="C2">
        <v>85187401</v>
      </c>
      <c r="D2">
        <v>5097980.4000000004</v>
      </c>
      <c r="E2">
        <v>353759.5</v>
      </c>
      <c r="F2">
        <v>213540.9</v>
      </c>
    </row>
    <row r="3" spans="1:15" x14ac:dyDescent="0.25">
      <c r="A3" s="14">
        <v>1988</v>
      </c>
      <c r="B3">
        <v>226883664</v>
      </c>
      <c r="C3">
        <v>29016800</v>
      </c>
      <c r="D3">
        <v>17156291.399999999</v>
      </c>
      <c r="E3">
        <v>1100724.6000000001</v>
      </c>
      <c r="F3">
        <v>192490.4</v>
      </c>
    </row>
    <row r="4" spans="1:15" x14ac:dyDescent="0.25">
      <c r="A4" s="14">
        <v>1989</v>
      </c>
      <c r="B4">
        <v>85685953</v>
      </c>
      <c r="C4">
        <v>70025682</v>
      </c>
      <c r="D4">
        <v>4934579.0999999996</v>
      </c>
      <c r="E4">
        <v>2976125.1</v>
      </c>
      <c r="F4">
        <v>372923.6</v>
      </c>
    </row>
    <row r="5" spans="1:15" x14ac:dyDescent="0.25">
      <c r="A5" s="14">
        <v>1990</v>
      </c>
      <c r="B5">
        <v>132153195</v>
      </c>
      <c r="C5">
        <v>26667206</v>
      </c>
      <c r="D5">
        <v>12180766.699999999</v>
      </c>
      <c r="E5">
        <v>822710.4</v>
      </c>
      <c r="F5">
        <v>919112.3</v>
      </c>
    </row>
    <row r="6" spans="1:15" x14ac:dyDescent="0.25">
      <c r="A6" s="14">
        <v>1991</v>
      </c>
      <c r="B6">
        <v>88951788</v>
      </c>
      <c r="C6">
        <v>39150642</v>
      </c>
      <c r="D6">
        <v>6177601</v>
      </c>
      <c r="E6">
        <v>3049730.1</v>
      </c>
      <c r="F6">
        <v>655765.19999999995</v>
      </c>
    </row>
    <row r="7" spans="1:15" x14ac:dyDescent="0.25">
      <c r="A7" s="14">
        <v>1992</v>
      </c>
      <c r="B7">
        <v>270989228</v>
      </c>
      <c r="C7">
        <v>24414930</v>
      </c>
      <c r="D7">
        <v>7927620.5</v>
      </c>
      <c r="E7">
        <v>1290043.6000000001</v>
      </c>
      <c r="F7">
        <v>1228473.7</v>
      </c>
      <c r="M7">
        <v>87367057</v>
      </c>
      <c r="N7">
        <v>85187401</v>
      </c>
      <c r="O7">
        <f>N7/M7</f>
        <v>0.97505174061202493</v>
      </c>
    </row>
    <row r="8" spans="1:15" x14ac:dyDescent="0.25">
      <c r="A8" s="14">
        <v>1993</v>
      </c>
      <c r="B8">
        <v>246973723</v>
      </c>
      <c r="C8">
        <v>73309564</v>
      </c>
      <c r="D8">
        <v>6265536.5</v>
      </c>
      <c r="E8">
        <v>2412087.9</v>
      </c>
      <c r="F8">
        <v>1103422.5</v>
      </c>
    </row>
    <row r="9" spans="1:15" x14ac:dyDescent="0.25">
      <c r="A9" s="14">
        <v>1994</v>
      </c>
      <c r="B9">
        <v>243823455</v>
      </c>
      <c r="C9">
        <v>65863227</v>
      </c>
      <c r="D9">
        <v>14625295.6</v>
      </c>
      <c r="E9">
        <v>1337658.7</v>
      </c>
      <c r="F9">
        <v>1166307.2</v>
      </c>
    </row>
    <row r="10" spans="1:15" x14ac:dyDescent="0.25">
      <c r="A10" s="14">
        <v>1995</v>
      </c>
      <c r="B10">
        <v>115730589</v>
      </c>
      <c r="C10">
        <v>66821469</v>
      </c>
      <c r="D10">
        <v>12378822.199999999</v>
      </c>
      <c r="E10">
        <v>2961377.2</v>
      </c>
      <c r="F10">
        <v>795711.9</v>
      </c>
    </row>
    <row r="11" spans="1:15" x14ac:dyDescent="0.25">
      <c r="A11" s="14">
        <v>1996</v>
      </c>
      <c r="B11">
        <v>1190610042</v>
      </c>
      <c r="C11">
        <v>37402728</v>
      </c>
      <c r="D11">
        <v>13721667.199999999</v>
      </c>
      <c r="E11">
        <v>2845817.9</v>
      </c>
      <c r="F11">
        <v>1217051.1000000001</v>
      </c>
    </row>
    <row r="12" spans="1:15" x14ac:dyDescent="0.25">
      <c r="A12" s="14">
        <v>1997</v>
      </c>
      <c r="B12">
        <v>56052844</v>
      </c>
      <c r="C12">
        <v>421326371</v>
      </c>
      <c r="D12">
        <v>7480103.5</v>
      </c>
      <c r="E12">
        <v>3088938.9</v>
      </c>
      <c r="F12">
        <v>1295511.8</v>
      </c>
    </row>
    <row r="13" spans="1:15" x14ac:dyDescent="0.25">
      <c r="A13" s="14">
        <v>1998</v>
      </c>
      <c r="B13">
        <v>90353610</v>
      </c>
      <c r="C13">
        <v>23714308</v>
      </c>
      <c r="D13">
        <v>64446563.100000001</v>
      </c>
      <c r="E13">
        <v>1131778</v>
      </c>
      <c r="F13">
        <v>1057311.8999999999</v>
      </c>
    </row>
    <row r="14" spans="1:15" x14ac:dyDescent="0.25">
      <c r="A14" s="14">
        <v>1999</v>
      </c>
      <c r="B14">
        <v>210789248</v>
      </c>
      <c r="C14">
        <v>35211156</v>
      </c>
      <c r="D14">
        <v>2625597.4</v>
      </c>
      <c r="E14">
        <v>6643115.0999999996</v>
      </c>
      <c r="F14">
        <v>424852.8</v>
      </c>
    </row>
    <row r="15" spans="1:15" x14ac:dyDescent="0.25">
      <c r="A15" s="14">
        <v>2000</v>
      </c>
      <c r="B15">
        <v>173493905</v>
      </c>
      <c r="C15">
        <v>78945795</v>
      </c>
      <c r="D15">
        <v>5623325</v>
      </c>
      <c r="E15">
        <v>502940.6</v>
      </c>
      <c r="F15">
        <v>1928417.7</v>
      </c>
    </row>
    <row r="16" spans="1:15" x14ac:dyDescent="0.25">
      <c r="A16" s="14">
        <v>2001</v>
      </c>
      <c r="B16">
        <v>140939318</v>
      </c>
      <c r="C16">
        <v>60153570</v>
      </c>
      <c r="D16">
        <v>11682215.1</v>
      </c>
      <c r="E16">
        <v>1033244.5</v>
      </c>
      <c r="F16">
        <v>715538.8</v>
      </c>
    </row>
    <row r="17" spans="1:6" x14ac:dyDescent="0.25">
      <c r="A17" s="14">
        <v>2002</v>
      </c>
      <c r="B17">
        <v>26245606</v>
      </c>
      <c r="C17">
        <v>47960484</v>
      </c>
      <c r="D17">
        <v>8636997.5</v>
      </c>
      <c r="E17">
        <v>2026710.5</v>
      </c>
      <c r="F17">
        <v>430744.3</v>
      </c>
    </row>
    <row r="18" spans="1:6" x14ac:dyDescent="0.25">
      <c r="A18" s="14">
        <v>2003</v>
      </c>
      <c r="B18">
        <v>75079047</v>
      </c>
      <c r="C18">
        <v>9274570</v>
      </c>
      <c r="D18">
        <v>7863328.7999999998</v>
      </c>
      <c r="E18">
        <v>1809447.3</v>
      </c>
      <c r="F18">
        <v>651460.30000000005</v>
      </c>
    </row>
    <row r="19" spans="1:6" x14ac:dyDescent="0.25">
      <c r="A19" s="14">
        <v>2004</v>
      </c>
      <c r="B19">
        <v>66654630</v>
      </c>
      <c r="C19">
        <v>27658208</v>
      </c>
      <c r="D19">
        <v>1804429.3</v>
      </c>
      <c r="E19">
        <v>2060940.7</v>
      </c>
      <c r="F19">
        <v>788429.2</v>
      </c>
    </row>
    <row r="20" spans="1:6" x14ac:dyDescent="0.25">
      <c r="A20" s="14">
        <v>2005</v>
      </c>
      <c r="B20">
        <v>48150030</v>
      </c>
      <c r="C20">
        <v>24617950</v>
      </c>
      <c r="D20">
        <v>5643382.2000000002</v>
      </c>
      <c r="E20">
        <v>529420</v>
      </c>
      <c r="F20">
        <v>1012155.3</v>
      </c>
    </row>
    <row r="21" spans="1:6" x14ac:dyDescent="0.25">
      <c r="A21" s="14">
        <v>2006</v>
      </c>
      <c r="B21">
        <v>115604687</v>
      </c>
      <c r="C21">
        <v>17633240</v>
      </c>
      <c r="D21">
        <v>5380082.2999999998</v>
      </c>
      <c r="E21">
        <v>1855955.4</v>
      </c>
      <c r="F21">
        <v>605881.9</v>
      </c>
    </row>
    <row r="22" spans="1:6" x14ac:dyDescent="0.25">
      <c r="A22" s="14">
        <v>2007</v>
      </c>
      <c r="B22">
        <v>78381957</v>
      </c>
      <c r="C22">
        <v>41424666</v>
      </c>
      <c r="D22">
        <v>3901844.4</v>
      </c>
      <c r="E22">
        <v>1881511</v>
      </c>
      <c r="F22">
        <v>995107.9</v>
      </c>
    </row>
    <row r="23" spans="1:6" x14ac:dyDescent="0.25">
      <c r="A23" s="14">
        <v>2008</v>
      </c>
      <c r="B23">
        <v>95675193</v>
      </c>
      <c r="C23">
        <v>29364734</v>
      </c>
      <c r="D23">
        <v>8541292.1999999993</v>
      </c>
      <c r="E23">
        <v>1190545.7</v>
      </c>
      <c r="F23">
        <v>1061362.1000000001</v>
      </c>
    </row>
    <row r="24" spans="1:6" x14ac:dyDescent="0.25">
      <c r="A24" s="14">
        <v>2009</v>
      </c>
      <c r="B24">
        <v>247827901</v>
      </c>
      <c r="C24">
        <v>38268434</v>
      </c>
      <c r="D24">
        <v>6418582</v>
      </c>
      <c r="E24">
        <v>2726694.3</v>
      </c>
      <c r="F24">
        <v>858829.8</v>
      </c>
    </row>
    <row r="25" spans="1:6" x14ac:dyDescent="0.25">
      <c r="A25" s="14">
        <v>2010</v>
      </c>
      <c r="B25">
        <v>9774446</v>
      </c>
      <c r="C25">
        <v>103349132</v>
      </c>
      <c r="D25">
        <v>10539615.300000001</v>
      </c>
      <c r="E25">
        <v>2609887.4</v>
      </c>
      <c r="F25">
        <v>1594557.5</v>
      </c>
    </row>
    <row r="26" spans="1:6" x14ac:dyDescent="0.25">
      <c r="A26" s="14">
        <v>2011</v>
      </c>
      <c r="B26">
        <v>5450249</v>
      </c>
      <c r="C26">
        <v>3953551</v>
      </c>
      <c r="D26">
        <v>24481509.300000001</v>
      </c>
      <c r="E26">
        <v>3523198</v>
      </c>
      <c r="F26">
        <v>1620159.5</v>
      </c>
    </row>
    <row r="27" spans="1:6" x14ac:dyDescent="0.25">
      <c r="A27" s="14">
        <v>2012</v>
      </c>
      <c r="B27">
        <v>76753643</v>
      </c>
      <c r="C27">
        <v>2092645</v>
      </c>
      <c r="D27">
        <v>864376.9</v>
      </c>
      <c r="E27">
        <v>7893412.5999999996</v>
      </c>
      <c r="F27">
        <v>1891801.9</v>
      </c>
    </row>
    <row r="28" spans="1:6" x14ac:dyDescent="0.25">
      <c r="A28" s="14">
        <v>2013</v>
      </c>
      <c r="B28">
        <v>140844620</v>
      </c>
      <c r="C28">
        <v>29905384</v>
      </c>
      <c r="D28">
        <v>468903.9</v>
      </c>
      <c r="E28">
        <v>311416</v>
      </c>
      <c r="F28">
        <v>3841122.9</v>
      </c>
    </row>
    <row r="29" spans="1:6" x14ac:dyDescent="0.25">
      <c r="A29" s="14">
        <v>2014</v>
      </c>
      <c r="B29">
        <v>167406409</v>
      </c>
      <c r="C29">
        <v>58069097</v>
      </c>
      <c r="D29">
        <v>7460298.4000000004</v>
      </c>
      <c r="E29">
        <v>191310.4</v>
      </c>
      <c r="F29">
        <v>1819307.7</v>
      </c>
    </row>
    <row r="30" spans="1:6" x14ac:dyDescent="0.25">
      <c r="A30" s="15">
        <v>2015</v>
      </c>
      <c r="B30">
        <v>4679808</v>
      </c>
      <c r="C30">
        <v>68913134</v>
      </c>
      <c r="D30">
        <v>14290227.300000001</v>
      </c>
      <c r="E30">
        <v>2806159.3</v>
      </c>
      <c r="F30">
        <v>846171.4</v>
      </c>
    </row>
    <row r="31" spans="1:6" x14ac:dyDescent="0.25">
      <c r="A31" s="13">
        <v>2016</v>
      </c>
      <c r="B31">
        <v>813352946</v>
      </c>
      <c r="C31">
        <v>1943544</v>
      </c>
      <c r="D31">
        <v>16775356.5</v>
      </c>
      <c r="E31">
        <v>5346626.4000000004</v>
      </c>
      <c r="F31">
        <v>1524631.7</v>
      </c>
    </row>
    <row r="32" spans="1:6" x14ac:dyDescent="0.25">
      <c r="A32" s="14">
        <v>2017</v>
      </c>
      <c r="B32">
        <v>20003223</v>
      </c>
      <c r="C32">
        <v>334407556</v>
      </c>
      <c r="D32">
        <v>500476.4</v>
      </c>
      <c r="E32">
        <v>6610071</v>
      </c>
      <c r="F32">
        <v>2986938.9</v>
      </c>
    </row>
    <row r="33" spans="1:6" x14ac:dyDescent="0.25">
      <c r="A33" s="14">
        <v>2018</v>
      </c>
      <c r="B33">
        <v>273141268</v>
      </c>
      <c r="C33">
        <v>8680936</v>
      </c>
      <c r="D33">
        <v>82427683.200000003</v>
      </c>
      <c r="E33">
        <v>184015</v>
      </c>
      <c r="F33">
        <v>3977214.3</v>
      </c>
    </row>
    <row r="34" spans="1:6" x14ac:dyDescent="0.25">
      <c r="A34" s="14">
        <v>2019</v>
      </c>
      <c r="B34">
        <v>459823307</v>
      </c>
      <c r="C34">
        <v>118242523</v>
      </c>
      <c r="D34">
        <v>2314522.7000000002</v>
      </c>
      <c r="E34">
        <v>31391158.800000001</v>
      </c>
      <c r="F34">
        <v>1812815.2</v>
      </c>
    </row>
    <row r="35" spans="1:6" x14ac:dyDescent="0.25">
      <c r="A35" s="14">
        <v>2020</v>
      </c>
      <c r="B35">
        <v>176864587</v>
      </c>
      <c r="C35">
        <v>187680673</v>
      </c>
      <c r="D35">
        <v>30132774.5</v>
      </c>
      <c r="E35">
        <v>820472.3</v>
      </c>
      <c r="F35">
        <v>13752855.699999999</v>
      </c>
    </row>
    <row r="36" spans="1:6" x14ac:dyDescent="0.25">
      <c r="A36" s="14">
        <v>2021</v>
      </c>
      <c r="B36">
        <v>56349390</v>
      </c>
      <c r="C36">
        <v>65360541</v>
      </c>
      <c r="D36">
        <v>33469979</v>
      </c>
      <c r="E36">
        <v>6560831.0999999996</v>
      </c>
      <c r="F36">
        <v>4384530.4000000004</v>
      </c>
    </row>
    <row r="37" spans="1:6" x14ac:dyDescent="0.25">
      <c r="A37" s="14">
        <v>2022</v>
      </c>
      <c r="B37">
        <v>31824216</v>
      </c>
      <c r="C37">
        <v>19109357</v>
      </c>
      <c r="D37">
        <v>12049065.6</v>
      </c>
      <c r="E37">
        <v>7989419.0999999996</v>
      </c>
      <c r="F37">
        <v>3235933.2</v>
      </c>
    </row>
    <row r="38" spans="1:6" x14ac:dyDescent="0.25">
      <c r="A38" s="14">
        <v>2023</v>
      </c>
      <c r="B38">
        <v>13219976</v>
      </c>
      <c r="C38">
        <v>10792314</v>
      </c>
      <c r="D38">
        <v>4123740.1</v>
      </c>
      <c r="E38">
        <v>3187956.2</v>
      </c>
      <c r="F38">
        <v>3540365.1</v>
      </c>
    </row>
    <row r="39" spans="1:6" x14ac:dyDescent="0.25">
      <c r="A39" s="15">
        <v>2024</v>
      </c>
      <c r="B39">
        <v>18042494</v>
      </c>
      <c r="C39">
        <v>4613460</v>
      </c>
      <c r="D39">
        <v>2688956</v>
      </c>
      <c r="E39">
        <v>1331819.2</v>
      </c>
      <c r="F39">
        <v>2475324.9</v>
      </c>
    </row>
    <row r="40" spans="1:6" x14ac:dyDescent="0.25">
      <c r="A40" s="14"/>
    </row>
    <row r="41" spans="1:6" x14ac:dyDescent="0.25">
      <c r="A41" s="14"/>
    </row>
    <row r="42" spans="1:6" x14ac:dyDescent="0.25">
      <c r="A42" s="14"/>
    </row>
    <row r="43" spans="1:6" x14ac:dyDescent="0.25">
      <c r="A43" s="1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1B8C-A59C-418C-B219-55EB83D21D6B}">
  <dimension ref="A1:Q44"/>
  <sheetViews>
    <sheetView topLeftCell="A6" workbookViewId="0">
      <selection activeCell="B2" sqref="B2:F40"/>
    </sheetView>
  </sheetViews>
  <sheetFormatPr defaultRowHeight="15" x14ac:dyDescent="0.25"/>
  <sheetData>
    <row r="1" spans="1:17" x14ac:dyDescent="0.25">
      <c r="B1">
        <v>0</v>
      </c>
      <c r="C1">
        <v>1</v>
      </c>
      <c r="D1">
        <v>2</v>
      </c>
      <c r="E1">
        <v>3</v>
      </c>
      <c r="F1">
        <v>4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s="1">
        <v>1987</v>
      </c>
      <c r="B2" s="25">
        <f>M2/1000</f>
        <v>3.0299999999999997E-3</v>
      </c>
      <c r="C2" s="25">
        <f t="shared" ref="C2:F2" si="0">N2/1000</f>
        <v>1.323E-2</v>
      </c>
      <c r="D2" s="25">
        <f t="shared" si="0"/>
        <v>2.7010000000000003E-2</v>
      </c>
      <c r="E2" s="25">
        <f t="shared" si="0"/>
        <v>2.1399999999999999E-2</v>
      </c>
      <c r="F2" s="25">
        <f t="shared" si="0"/>
        <v>1.9850000000000003E-2</v>
      </c>
      <c r="H2" s="1">
        <v>1987</v>
      </c>
      <c r="I2" s="3">
        <v>5.64</v>
      </c>
      <c r="J2" s="3">
        <v>13.02</v>
      </c>
      <c r="K2" s="3">
        <v>27.07</v>
      </c>
      <c r="L2" s="3">
        <v>43.68</v>
      </c>
      <c r="M2" s="3">
        <v>3.03</v>
      </c>
      <c r="N2" s="3">
        <v>13.23</v>
      </c>
      <c r="O2" s="3">
        <v>27.01</v>
      </c>
      <c r="P2" s="3">
        <v>21.4</v>
      </c>
      <c r="Q2" s="3">
        <v>19.850000000000001</v>
      </c>
    </row>
    <row r="3" spans="1:17" x14ac:dyDescent="0.25">
      <c r="A3" s="4">
        <v>1988</v>
      </c>
      <c r="B3" s="25">
        <f t="shared" ref="B3:B40" si="1">M3/1000</f>
        <v>3.0299999999999997E-3</v>
      </c>
      <c r="C3" s="25">
        <f t="shared" ref="C3:C40" si="2">N3/1000</f>
        <v>1.323E-2</v>
      </c>
      <c r="D3" s="25">
        <f t="shared" ref="D3:D40" si="3">O3/1000</f>
        <v>2.7269999999999999E-2</v>
      </c>
      <c r="E3" s="25">
        <f t="shared" ref="E3:E40" si="4">P3/1000</f>
        <v>2.6170000000000002E-2</v>
      </c>
      <c r="F3" s="25">
        <f t="shared" ref="F3:F40" si="5">Q3/1000</f>
        <v>3.9030000000000002E-2</v>
      </c>
      <c r="H3" s="4">
        <v>1988</v>
      </c>
      <c r="I3" s="6">
        <v>5.64</v>
      </c>
      <c r="J3" s="6">
        <v>13.05</v>
      </c>
      <c r="K3" s="6">
        <v>27.2</v>
      </c>
      <c r="L3" s="6">
        <v>40.729999999999997</v>
      </c>
      <c r="M3" s="6">
        <v>3.03</v>
      </c>
      <c r="N3" s="6">
        <v>13.23</v>
      </c>
      <c r="O3" s="6">
        <v>27.27</v>
      </c>
      <c r="P3" s="6">
        <v>26.17</v>
      </c>
      <c r="Q3" s="6">
        <v>39.03</v>
      </c>
    </row>
    <row r="4" spans="1:17" x14ac:dyDescent="0.25">
      <c r="A4" s="4">
        <v>1989</v>
      </c>
      <c r="B4" s="25">
        <f t="shared" si="1"/>
        <v>5.0000000000000001E-3</v>
      </c>
      <c r="C4" s="25">
        <f t="shared" si="2"/>
        <v>8.9999999999999993E-3</v>
      </c>
      <c r="D4" s="25">
        <f t="shared" si="3"/>
        <v>1.5820000000000001E-2</v>
      </c>
      <c r="E4" s="25">
        <f t="shared" si="4"/>
        <v>1.7000000000000001E-2</v>
      </c>
      <c r="F4" s="25">
        <f t="shared" si="5"/>
        <v>1.9010000000000003E-2</v>
      </c>
      <c r="H4" s="4">
        <v>1989</v>
      </c>
      <c r="I4" s="6">
        <v>6.2</v>
      </c>
      <c r="J4" s="6">
        <v>14</v>
      </c>
      <c r="K4" s="6">
        <v>16.3</v>
      </c>
      <c r="L4" s="6">
        <v>18.010000000000002</v>
      </c>
      <c r="M4" s="6">
        <v>5</v>
      </c>
      <c r="N4" s="6">
        <v>9</v>
      </c>
      <c r="O4" s="6">
        <v>15.82</v>
      </c>
      <c r="P4" s="6">
        <v>17</v>
      </c>
      <c r="Q4" s="6">
        <v>19.010000000000002</v>
      </c>
    </row>
    <row r="5" spans="1:17" x14ac:dyDescent="0.25">
      <c r="A5" s="4">
        <v>1990</v>
      </c>
      <c r="B5" s="25">
        <f t="shared" si="1"/>
        <v>3.0299999999999997E-3</v>
      </c>
      <c r="C5" s="25">
        <f t="shared" si="2"/>
        <v>1.3140000000000001E-2</v>
      </c>
      <c r="D5" s="25">
        <f t="shared" si="3"/>
        <v>2.7120000000000002E-2</v>
      </c>
      <c r="E5" s="25">
        <f t="shared" si="4"/>
        <v>3.5209999999999998E-2</v>
      </c>
      <c r="F5" s="25">
        <f t="shared" si="5"/>
        <v>4.2759999999999999E-2</v>
      </c>
      <c r="H5" s="4">
        <v>1990</v>
      </c>
      <c r="I5" s="6">
        <v>5.63</v>
      </c>
      <c r="J5" s="6">
        <v>13.04</v>
      </c>
      <c r="K5" s="6">
        <v>27.16</v>
      </c>
      <c r="L5" s="6">
        <v>44.02</v>
      </c>
      <c r="M5" s="6">
        <v>3.03</v>
      </c>
      <c r="N5" s="6">
        <v>13.14</v>
      </c>
      <c r="O5" s="6">
        <v>27.12</v>
      </c>
      <c r="P5" s="6">
        <v>35.21</v>
      </c>
      <c r="Q5" s="6">
        <v>42.76</v>
      </c>
    </row>
    <row r="6" spans="1:17" x14ac:dyDescent="0.25">
      <c r="A6" s="4">
        <v>1991</v>
      </c>
      <c r="B6" s="25">
        <f t="shared" si="1"/>
        <v>3.4100000000000003E-3</v>
      </c>
      <c r="C6" s="25">
        <f t="shared" si="2"/>
        <v>9.1799999999999989E-3</v>
      </c>
      <c r="D6" s="25">
        <f t="shared" si="3"/>
        <v>1.4749999999999999E-2</v>
      </c>
      <c r="E6" s="25">
        <f t="shared" si="4"/>
        <v>1.5380000000000001E-2</v>
      </c>
      <c r="F6" s="25">
        <f t="shared" si="5"/>
        <v>4.3999999999999997E-2</v>
      </c>
      <c r="H6" s="4">
        <v>1991</v>
      </c>
      <c r="I6" s="6">
        <v>7.44</v>
      </c>
      <c r="J6" s="6">
        <v>14.34</v>
      </c>
      <c r="K6" s="6">
        <v>22.29</v>
      </c>
      <c r="L6" s="6">
        <v>30.6</v>
      </c>
      <c r="M6" s="6">
        <v>3.41</v>
      </c>
      <c r="N6" s="6">
        <v>9.18</v>
      </c>
      <c r="O6" s="6">
        <v>14.75</v>
      </c>
      <c r="P6" s="6">
        <v>15.38</v>
      </c>
      <c r="Q6" s="6">
        <v>44</v>
      </c>
    </row>
    <row r="7" spans="1:17" x14ac:dyDescent="0.25">
      <c r="A7" s="4">
        <v>1992</v>
      </c>
      <c r="B7" s="25">
        <f t="shared" si="1"/>
        <v>5.47E-3</v>
      </c>
      <c r="C7" s="25">
        <f t="shared" si="2"/>
        <v>9.7899999999999984E-3</v>
      </c>
      <c r="D7" s="25">
        <f t="shared" si="3"/>
        <v>1.685E-2</v>
      </c>
      <c r="E7" s="25">
        <f t="shared" si="4"/>
        <v>2.0039999999999999E-2</v>
      </c>
      <c r="F7" s="25">
        <f t="shared" si="5"/>
        <v>2.2579999999999999E-2</v>
      </c>
      <c r="H7" s="4">
        <v>1992</v>
      </c>
      <c r="I7" s="6">
        <v>5.51</v>
      </c>
      <c r="J7" s="6">
        <v>10.89</v>
      </c>
      <c r="K7" s="6">
        <v>18.48</v>
      </c>
      <c r="L7" s="6">
        <v>29.85</v>
      </c>
      <c r="M7" s="6">
        <v>5.47</v>
      </c>
      <c r="N7" s="6">
        <v>9.7899999999999991</v>
      </c>
      <c r="O7" s="6">
        <v>16.850000000000001</v>
      </c>
      <c r="P7" s="6">
        <v>20.04</v>
      </c>
      <c r="Q7" s="6">
        <v>22.58</v>
      </c>
    </row>
    <row r="8" spans="1:17" x14ac:dyDescent="0.25">
      <c r="A8" s="4">
        <v>1993</v>
      </c>
      <c r="B8" s="25">
        <f t="shared" si="1"/>
        <v>3.5200000000000001E-3</v>
      </c>
      <c r="C8" s="25">
        <f t="shared" si="2"/>
        <v>9.470000000000001E-3</v>
      </c>
      <c r="D8" s="25">
        <f t="shared" si="3"/>
        <v>3.3759999999999998E-2</v>
      </c>
      <c r="E8" s="25">
        <f t="shared" si="4"/>
        <v>4.333E-2</v>
      </c>
      <c r="F8" s="25">
        <f t="shared" si="5"/>
        <v>4.5740000000000003E-2</v>
      </c>
      <c r="H8" s="4">
        <v>1993</v>
      </c>
      <c r="I8" s="6">
        <v>5.52</v>
      </c>
      <c r="J8" s="6">
        <v>19.579999999999998</v>
      </c>
      <c r="K8" s="6">
        <v>20.56</v>
      </c>
      <c r="L8" s="6">
        <v>25.13</v>
      </c>
      <c r="M8" s="6">
        <v>3.52</v>
      </c>
      <c r="N8" s="6">
        <v>9.4700000000000006</v>
      </c>
      <c r="O8" s="6">
        <v>33.76</v>
      </c>
      <c r="P8" s="6">
        <v>43.33</v>
      </c>
      <c r="Q8" s="6">
        <v>45.74</v>
      </c>
    </row>
    <row r="9" spans="1:17" x14ac:dyDescent="0.25">
      <c r="A9" s="4">
        <v>1994</v>
      </c>
      <c r="B9" s="25">
        <f t="shared" si="1"/>
        <v>3.63E-3</v>
      </c>
      <c r="C9" s="25">
        <f t="shared" si="2"/>
        <v>8.4000000000000012E-3</v>
      </c>
      <c r="D9" s="25">
        <f t="shared" si="3"/>
        <v>2.5989999999999999E-2</v>
      </c>
      <c r="E9" s="25">
        <f t="shared" si="4"/>
        <v>4.3540000000000002E-2</v>
      </c>
      <c r="F9" s="25">
        <f t="shared" si="5"/>
        <v>3.125E-2</v>
      </c>
      <c r="H9" s="4">
        <v>1994</v>
      </c>
      <c r="I9" s="6">
        <v>5.63</v>
      </c>
      <c r="J9" s="6">
        <v>14</v>
      </c>
      <c r="K9" s="6">
        <v>18.41</v>
      </c>
      <c r="L9" s="6">
        <v>21.85</v>
      </c>
      <c r="M9" s="6">
        <v>3.63</v>
      </c>
      <c r="N9" s="6">
        <v>8.4</v>
      </c>
      <c r="O9" s="6">
        <v>25.99</v>
      </c>
      <c r="P9" s="6">
        <v>43.54</v>
      </c>
      <c r="Q9" s="6">
        <v>31.25</v>
      </c>
    </row>
    <row r="10" spans="1:17" x14ac:dyDescent="0.25">
      <c r="A10" s="4">
        <v>1995</v>
      </c>
      <c r="B10" s="25">
        <f t="shared" si="1"/>
        <v>5.0699999999999999E-3</v>
      </c>
      <c r="C10" s="25">
        <f t="shared" si="2"/>
        <v>1.4080000000000001E-2</v>
      </c>
      <c r="D10" s="25">
        <f t="shared" si="3"/>
        <v>1.993E-2</v>
      </c>
      <c r="E10" s="25">
        <f t="shared" si="4"/>
        <v>2.7829999999999997E-2</v>
      </c>
      <c r="F10" s="25">
        <f t="shared" si="5"/>
        <v>4.2779999999999999E-2</v>
      </c>
      <c r="H10" s="4">
        <v>1995</v>
      </c>
      <c r="I10" s="6">
        <v>5.07</v>
      </c>
      <c r="J10" s="6">
        <v>11.93</v>
      </c>
      <c r="K10" s="6">
        <v>22.65</v>
      </c>
      <c r="L10" s="6">
        <v>21.85</v>
      </c>
      <c r="M10" s="6">
        <v>5.07</v>
      </c>
      <c r="N10" s="6">
        <v>14.08</v>
      </c>
      <c r="O10" s="6">
        <v>19.93</v>
      </c>
      <c r="P10" s="6">
        <v>27.83</v>
      </c>
      <c r="Q10" s="6">
        <v>42.78</v>
      </c>
    </row>
    <row r="11" spans="1:17" x14ac:dyDescent="0.25">
      <c r="A11" s="4">
        <v>1996</v>
      </c>
      <c r="B11" s="25">
        <f t="shared" si="1"/>
        <v>2.99E-3</v>
      </c>
      <c r="C11" s="25">
        <f t="shared" si="2"/>
        <v>5.7199999999999994E-3</v>
      </c>
      <c r="D11" s="25">
        <f t="shared" si="3"/>
        <v>2.3210000000000001E-2</v>
      </c>
      <c r="E11" s="25">
        <f t="shared" si="4"/>
        <v>3.0890000000000001E-2</v>
      </c>
      <c r="F11" s="25">
        <f t="shared" si="5"/>
        <v>4.4479999999999999E-2</v>
      </c>
      <c r="H11" s="4">
        <v>1996</v>
      </c>
      <c r="I11" s="6">
        <v>7.54</v>
      </c>
      <c r="J11" s="6">
        <v>12.59</v>
      </c>
      <c r="K11" s="6">
        <v>30.23</v>
      </c>
      <c r="L11" s="6">
        <v>43.49</v>
      </c>
      <c r="M11" s="6">
        <v>2.99</v>
      </c>
      <c r="N11" s="6">
        <v>5.72</v>
      </c>
      <c r="O11" s="6">
        <v>23.21</v>
      </c>
      <c r="P11" s="6">
        <v>30.89</v>
      </c>
      <c r="Q11" s="6">
        <v>44.48</v>
      </c>
    </row>
    <row r="12" spans="1:17" x14ac:dyDescent="0.25">
      <c r="A12" s="4">
        <v>1997</v>
      </c>
      <c r="B12" s="25">
        <f t="shared" si="1"/>
        <v>1.81E-3</v>
      </c>
      <c r="C12" s="25">
        <f t="shared" si="2"/>
        <v>5.3200000000000001E-3</v>
      </c>
      <c r="D12" s="25">
        <f t="shared" si="3"/>
        <v>1.856E-2</v>
      </c>
      <c r="E12" s="25">
        <f t="shared" si="4"/>
        <v>2.6190000000000001E-2</v>
      </c>
      <c r="F12" s="25">
        <f t="shared" si="5"/>
        <v>2.564E-2</v>
      </c>
      <c r="H12" s="4">
        <v>1997</v>
      </c>
      <c r="I12" s="6">
        <v>4.66</v>
      </c>
      <c r="J12" s="6">
        <v>9.9700000000000006</v>
      </c>
      <c r="K12" s="6">
        <v>24.28</v>
      </c>
      <c r="L12" s="6">
        <v>43.23</v>
      </c>
      <c r="M12" s="6">
        <v>1.81</v>
      </c>
      <c r="N12" s="6">
        <v>5.32</v>
      </c>
      <c r="O12" s="6">
        <v>18.559999999999999</v>
      </c>
      <c r="P12" s="6">
        <v>26.19</v>
      </c>
      <c r="Q12" s="6">
        <v>25.64</v>
      </c>
    </row>
    <row r="13" spans="1:17" x14ac:dyDescent="0.25">
      <c r="A13" s="4">
        <v>1998</v>
      </c>
      <c r="B13" s="25">
        <f t="shared" si="1"/>
        <v>2.63E-3</v>
      </c>
      <c r="C13" s="25">
        <f t="shared" si="2"/>
        <v>5.5300000000000002E-3</v>
      </c>
      <c r="D13" s="25">
        <f t="shared" si="3"/>
        <v>1.5460000000000002E-2</v>
      </c>
      <c r="E13" s="25">
        <f t="shared" si="4"/>
        <v>2.0399999999999998E-2</v>
      </c>
      <c r="F13" s="25">
        <f t="shared" si="5"/>
        <v>3.2670000000000005E-2</v>
      </c>
      <c r="H13" s="4">
        <v>1998</v>
      </c>
      <c r="I13" s="6">
        <v>5.31</v>
      </c>
      <c r="J13" s="6">
        <v>9.0500000000000007</v>
      </c>
      <c r="K13" s="6">
        <v>13.91</v>
      </c>
      <c r="L13" s="6">
        <v>29.26</v>
      </c>
      <c r="M13" s="6">
        <v>2.63</v>
      </c>
      <c r="N13" s="6">
        <v>5.53</v>
      </c>
      <c r="O13" s="6">
        <v>15.46</v>
      </c>
      <c r="P13" s="6">
        <v>20.399999999999999</v>
      </c>
      <c r="Q13" s="6">
        <v>32.67</v>
      </c>
    </row>
    <row r="14" spans="1:17" x14ac:dyDescent="0.25">
      <c r="A14" s="4">
        <v>1999</v>
      </c>
      <c r="B14" s="25">
        <f t="shared" si="1"/>
        <v>3.0499999999999998E-3</v>
      </c>
      <c r="C14" s="25">
        <f t="shared" si="2"/>
        <v>9.859999999999999E-3</v>
      </c>
      <c r="D14" s="25">
        <f t="shared" si="3"/>
        <v>1.6050000000000002E-2</v>
      </c>
      <c r="E14" s="25">
        <f t="shared" si="4"/>
        <v>1.984E-2</v>
      </c>
      <c r="F14" s="25">
        <f t="shared" si="5"/>
        <v>3.4070000000000003E-2</v>
      </c>
      <c r="H14" s="4">
        <v>1999</v>
      </c>
      <c r="I14" s="6">
        <v>6.77</v>
      </c>
      <c r="J14" s="6">
        <v>9.16</v>
      </c>
      <c r="K14" s="6">
        <v>14.27</v>
      </c>
      <c r="L14" s="6">
        <v>34.26</v>
      </c>
      <c r="M14" s="6">
        <v>3.05</v>
      </c>
      <c r="N14" s="6">
        <v>9.86</v>
      </c>
      <c r="O14" s="6">
        <v>16.05</v>
      </c>
      <c r="P14" s="6">
        <v>19.84</v>
      </c>
      <c r="Q14" s="6">
        <v>34.07</v>
      </c>
    </row>
    <row r="15" spans="1:17" x14ac:dyDescent="0.25">
      <c r="A15" s="4">
        <v>2000</v>
      </c>
      <c r="B15" s="25">
        <f t="shared" si="1"/>
        <v>3.5999999999999999E-3</v>
      </c>
      <c r="C15" s="25">
        <f t="shared" si="2"/>
        <v>9.1699999999999993E-3</v>
      </c>
      <c r="D15" s="25">
        <f t="shared" si="3"/>
        <v>1.9870000000000002E-2</v>
      </c>
      <c r="E15" s="25">
        <f t="shared" si="4"/>
        <v>2.579E-2</v>
      </c>
      <c r="F15" s="25">
        <f t="shared" si="5"/>
        <v>3.1690000000000003E-2</v>
      </c>
      <c r="H15" s="4">
        <v>2000</v>
      </c>
      <c r="I15" s="6">
        <v>7.09</v>
      </c>
      <c r="J15" s="6">
        <v>8.6999999999999993</v>
      </c>
      <c r="K15" s="6">
        <v>12.22</v>
      </c>
      <c r="L15" s="6">
        <v>25.17</v>
      </c>
      <c r="M15" s="6">
        <v>3.6</v>
      </c>
      <c r="N15" s="6">
        <v>9.17</v>
      </c>
      <c r="O15" s="6">
        <v>19.87</v>
      </c>
      <c r="P15" s="6">
        <v>25.79</v>
      </c>
      <c r="Q15" s="6">
        <v>31.69</v>
      </c>
    </row>
    <row r="16" spans="1:17" x14ac:dyDescent="0.25">
      <c r="A16" s="4">
        <v>2001</v>
      </c>
      <c r="B16" s="25">
        <f t="shared" si="1"/>
        <v>3.32E-3</v>
      </c>
      <c r="C16" s="25">
        <f t="shared" si="2"/>
        <v>5.8700000000000002E-3</v>
      </c>
      <c r="D16" s="25">
        <f t="shared" si="3"/>
        <v>2.2579999999999999E-2</v>
      </c>
      <c r="E16" s="25">
        <f t="shared" si="4"/>
        <v>3.1850000000000003E-2</v>
      </c>
      <c r="F16" s="25">
        <f t="shared" si="5"/>
        <v>4.5569999999999999E-2</v>
      </c>
      <c r="H16" s="4">
        <v>2001</v>
      </c>
      <c r="I16" s="6">
        <v>5.81</v>
      </c>
      <c r="J16" s="6">
        <v>14.06</v>
      </c>
      <c r="K16" s="6">
        <v>18.89</v>
      </c>
      <c r="L16" s="6">
        <v>30.65</v>
      </c>
      <c r="M16" s="6">
        <v>3.32</v>
      </c>
      <c r="N16" s="6">
        <v>5.87</v>
      </c>
      <c r="O16" s="6">
        <v>22.58</v>
      </c>
      <c r="P16" s="6">
        <v>31.85</v>
      </c>
      <c r="Q16" s="6">
        <v>45.57</v>
      </c>
    </row>
    <row r="17" spans="1:17" x14ac:dyDescent="0.25">
      <c r="A17" s="4">
        <v>2002</v>
      </c>
      <c r="B17" s="25">
        <f t="shared" si="1"/>
        <v>3.5999999999999999E-3</v>
      </c>
      <c r="C17" s="25">
        <f t="shared" si="2"/>
        <v>9.1699999999999993E-3</v>
      </c>
      <c r="D17" s="25">
        <f t="shared" si="3"/>
        <v>1.9870000000000002E-2</v>
      </c>
      <c r="E17" s="25">
        <f t="shared" si="4"/>
        <v>2.579E-2</v>
      </c>
      <c r="F17" s="25">
        <f t="shared" si="5"/>
        <v>3.1690000000000003E-2</v>
      </c>
      <c r="H17" s="4">
        <v>2002</v>
      </c>
      <c r="I17" s="6">
        <v>7.95</v>
      </c>
      <c r="J17" s="6">
        <v>11.3</v>
      </c>
      <c r="K17" s="6">
        <v>17.399999999999999</v>
      </c>
      <c r="L17" s="6">
        <v>34.17</v>
      </c>
      <c r="M17" s="6">
        <v>3.6</v>
      </c>
      <c r="N17" s="6">
        <v>9.17</v>
      </c>
      <c r="O17" s="6">
        <v>19.87</v>
      </c>
      <c r="P17" s="6">
        <v>25.79</v>
      </c>
      <c r="Q17" s="6">
        <v>31.69</v>
      </c>
    </row>
    <row r="18" spans="1:17" x14ac:dyDescent="0.25">
      <c r="A18" s="4">
        <v>2003</v>
      </c>
      <c r="B18" s="25">
        <f t="shared" si="1"/>
        <v>2.8E-3</v>
      </c>
      <c r="C18" s="25">
        <f t="shared" si="2"/>
        <v>4.79E-3</v>
      </c>
      <c r="D18" s="25">
        <f t="shared" si="3"/>
        <v>2.384E-2</v>
      </c>
      <c r="E18" s="25">
        <f t="shared" si="4"/>
        <v>2.4649999999999998E-2</v>
      </c>
      <c r="F18" s="25">
        <f t="shared" si="5"/>
        <v>3.0300000000000001E-2</v>
      </c>
      <c r="H18" s="4">
        <v>2003</v>
      </c>
      <c r="I18" s="6">
        <v>4.57</v>
      </c>
      <c r="J18" s="6">
        <v>13.5</v>
      </c>
      <c r="K18" s="6">
        <v>20.52</v>
      </c>
      <c r="L18" s="6">
        <v>30.01</v>
      </c>
      <c r="M18" s="6">
        <v>2.8</v>
      </c>
      <c r="N18" s="6">
        <v>4.79</v>
      </c>
      <c r="O18" s="6">
        <v>23.84</v>
      </c>
      <c r="P18" s="6">
        <v>24.65</v>
      </c>
      <c r="Q18" s="6">
        <v>30.3</v>
      </c>
    </row>
    <row r="19" spans="1:17" x14ac:dyDescent="0.25">
      <c r="A19" s="4">
        <v>2004</v>
      </c>
      <c r="B19" s="25">
        <f t="shared" si="1"/>
        <v>3.3799999999999998E-3</v>
      </c>
      <c r="C19" s="25">
        <f t="shared" si="2"/>
        <v>4.8700000000000002E-3</v>
      </c>
      <c r="D19" s="25">
        <f t="shared" si="3"/>
        <v>1.017E-2</v>
      </c>
      <c r="E19" s="25">
        <f t="shared" si="4"/>
        <v>2.5999999999999999E-2</v>
      </c>
      <c r="F19" s="25">
        <f t="shared" si="5"/>
        <v>1.6219999999999998E-2</v>
      </c>
      <c r="H19" s="4">
        <v>2004</v>
      </c>
      <c r="I19" s="6">
        <v>5.62</v>
      </c>
      <c r="J19" s="6">
        <v>9.06</v>
      </c>
      <c r="K19" s="6">
        <v>15.06</v>
      </c>
      <c r="L19" s="6">
        <v>22.72</v>
      </c>
      <c r="M19" s="6">
        <v>3.38</v>
      </c>
      <c r="N19" s="6">
        <v>4.87</v>
      </c>
      <c r="O19" s="6">
        <v>10.17</v>
      </c>
      <c r="P19" s="6">
        <v>26</v>
      </c>
      <c r="Q19" s="6">
        <v>16.22</v>
      </c>
    </row>
    <row r="20" spans="1:17" x14ac:dyDescent="0.25">
      <c r="A20" s="4">
        <v>2005</v>
      </c>
      <c r="B20" s="25">
        <f t="shared" si="1"/>
        <v>3.5999999999999999E-3</v>
      </c>
      <c r="C20" s="25">
        <f t="shared" si="2"/>
        <v>9.1699999999999993E-3</v>
      </c>
      <c r="D20" s="25">
        <f t="shared" si="3"/>
        <v>1.9870000000000002E-2</v>
      </c>
      <c r="E20" s="25">
        <f t="shared" si="4"/>
        <v>2.579E-2</v>
      </c>
      <c r="F20" s="25">
        <f t="shared" si="5"/>
        <v>3.1690000000000003E-2</v>
      </c>
      <c r="H20" s="4">
        <v>2005</v>
      </c>
      <c r="I20" s="6">
        <v>6.98</v>
      </c>
      <c r="J20" s="6">
        <v>16.16</v>
      </c>
      <c r="K20" s="6">
        <v>21.23</v>
      </c>
      <c r="L20" s="6">
        <v>27.8</v>
      </c>
      <c r="M20" s="6">
        <v>3.6</v>
      </c>
      <c r="N20" s="6">
        <v>9.17</v>
      </c>
      <c r="O20" s="6">
        <v>19.87</v>
      </c>
      <c r="P20" s="6">
        <v>25.79</v>
      </c>
      <c r="Q20" s="6">
        <v>31.69</v>
      </c>
    </row>
    <row r="21" spans="1:17" x14ac:dyDescent="0.25">
      <c r="A21" s="4">
        <v>2006</v>
      </c>
      <c r="B21" s="25">
        <f t="shared" si="1"/>
        <v>3.5999999999999999E-3</v>
      </c>
      <c r="C21" s="25">
        <f t="shared" si="2"/>
        <v>9.1699999999999993E-3</v>
      </c>
      <c r="D21" s="25">
        <f t="shared" si="3"/>
        <v>1.9870000000000002E-2</v>
      </c>
      <c r="E21" s="25">
        <f t="shared" si="4"/>
        <v>2.579E-2</v>
      </c>
      <c r="F21" s="25">
        <f t="shared" si="5"/>
        <v>3.1690000000000003E-2</v>
      </c>
      <c r="H21" s="4">
        <v>2006</v>
      </c>
      <c r="I21" s="6">
        <v>6.94</v>
      </c>
      <c r="J21" s="6">
        <v>13.5</v>
      </c>
      <c r="K21" s="6">
        <v>16.23</v>
      </c>
      <c r="L21" s="6">
        <v>35.03</v>
      </c>
      <c r="M21" s="6">
        <v>3.6</v>
      </c>
      <c r="N21" s="6">
        <v>9.17</v>
      </c>
      <c r="O21" s="6">
        <v>19.87</v>
      </c>
      <c r="P21" s="6">
        <v>25.79</v>
      </c>
      <c r="Q21" s="6">
        <v>31.69</v>
      </c>
    </row>
    <row r="22" spans="1:17" x14ac:dyDescent="0.25">
      <c r="A22" s="4">
        <v>2007</v>
      </c>
      <c r="B22" s="25">
        <f t="shared" si="1"/>
        <v>3.5999999999999999E-3</v>
      </c>
      <c r="C22" s="25">
        <f t="shared" si="2"/>
        <v>9.1699999999999993E-3</v>
      </c>
      <c r="D22" s="25">
        <f t="shared" si="3"/>
        <v>1.9870000000000002E-2</v>
      </c>
      <c r="E22" s="25">
        <f t="shared" si="4"/>
        <v>2.579E-2</v>
      </c>
      <c r="F22" s="25">
        <f t="shared" si="5"/>
        <v>3.1690000000000003E-2</v>
      </c>
      <c r="H22" s="4">
        <v>2007</v>
      </c>
      <c r="I22" s="6">
        <v>8.19</v>
      </c>
      <c r="J22" s="6">
        <v>19.73</v>
      </c>
      <c r="K22" s="6">
        <v>28.06</v>
      </c>
      <c r="L22" s="6">
        <v>41.72</v>
      </c>
      <c r="M22" s="6">
        <v>3.6</v>
      </c>
      <c r="N22" s="6">
        <v>9.17</v>
      </c>
      <c r="O22" s="6">
        <v>19.87</v>
      </c>
      <c r="P22" s="6">
        <v>25.79</v>
      </c>
      <c r="Q22" s="6">
        <v>31.69</v>
      </c>
    </row>
    <row r="23" spans="1:17" x14ac:dyDescent="0.25">
      <c r="A23" s="4">
        <v>2008</v>
      </c>
      <c r="B23" s="25">
        <f t="shared" si="1"/>
        <v>3.5999999999999999E-3</v>
      </c>
      <c r="C23" s="25">
        <f t="shared" si="2"/>
        <v>9.1699999999999993E-3</v>
      </c>
      <c r="D23" s="25">
        <f t="shared" si="3"/>
        <v>1.9870000000000002E-2</v>
      </c>
      <c r="E23" s="25">
        <f t="shared" si="4"/>
        <v>2.579E-2</v>
      </c>
      <c r="F23" s="25">
        <f t="shared" si="5"/>
        <v>3.1690000000000003E-2</v>
      </c>
      <c r="H23" s="4">
        <v>2008</v>
      </c>
      <c r="I23" s="6">
        <v>8.74</v>
      </c>
      <c r="J23" s="6">
        <v>17.760000000000002</v>
      </c>
      <c r="K23" s="6">
        <v>25.46</v>
      </c>
      <c r="L23" s="6">
        <v>33.200000000000003</v>
      </c>
      <c r="M23" s="6">
        <v>3.6</v>
      </c>
      <c r="N23" s="6">
        <v>9.17</v>
      </c>
      <c r="O23" s="6">
        <v>19.87</v>
      </c>
      <c r="P23" s="6">
        <v>25.79</v>
      </c>
      <c r="Q23" s="6">
        <v>31.69</v>
      </c>
    </row>
    <row r="24" spans="1:17" x14ac:dyDescent="0.25">
      <c r="A24" s="4">
        <v>2009</v>
      </c>
      <c r="B24" s="25">
        <f t="shared" si="1"/>
        <v>3.5999999999999999E-3</v>
      </c>
      <c r="C24" s="25">
        <f t="shared" si="2"/>
        <v>9.1699999999999993E-3</v>
      </c>
      <c r="D24" s="25">
        <f t="shared" si="3"/>
        <v>1.9870000000000002E-2</v>
      </c>
      <c r="E24" s="25">
        <f t="shared" si="4"/>
        <v>2.579E-2</v>
      </c>
      <c r="F24" s="25">
        <f t="shared" si="5"/>
        <v>3.1690000000000003E-2</v>
      </c>
      <c r="H24" s="4">
        <v>2009</v>
      </c>
      <c r="I24" s="6">
        <v>5.87</v>
      </c>
      <c r="J24" s="6">
        <v>8.16</v>
      </c>
      <c r="K24" s="6">
        <v>15.08</v>
      </c>
      <c r="L24" s="6">
        <v>17.78</v>
      </c>
      <c r="M24" s="6">
        <v>3.6</v>
      </c>
      <c r="N24" s="6">
        <v>9.17</v>
      </c>
      <c r="O24" s="6">
        <v>19.87</v>
      </c>
      <c r="P24" s="6">
        <v>25.79</v>
      </c>
      <c r="Q24" s="6">
        <v>31.69</v>
      </c>
    </row>
    <row r="25" spans="1:17" x14ac:dyDescent="0.25">
      <c r="A25" s="4">
        <v>2010</v>
      </c>
      <c r="B25" s="25">
        <f t="shared" si="1"/>
        <v>3.5999999999999999E-3</v>
      </c>
      <c r="C25" s="25">
        <f t="shared" si="2"/>
        <v>9.1699999999999993E-3</v>
      </c>
      <c r="D25" s="25">
        <f t="shared" si="3"/>
        <v>1.9870000000000002E-2</v>
      </c>
      <c r="E25" s="25">
        <f t="shared" si="4"/>
        <v>2.579E-2</v>
      </c>
      <c r="F25" s="25">
        <f t="shared" si="5"/>
        <v>3.1690000000000003E-2</v>
      </c>
      <c r="H25" s="4">
        <v>2010</v>
      </c>
      <c r="I25" s="6">
        <v>8.3699999999999992</v>
      </c>
      <c r="J25" s="6">
        <v>22.17</v>
      </c>
      <c r="K25" s="6">
        <v>23.35</v>
      </c>
      <c r="L25" s="6">
        <v>29.45</v>
      </c>
      <c r="M25" s="6">
        <v>3.6</v>
      </c>
      <c r="N25" s="6">
        <v>9.17</v>
      </c>
      <c r="O25" s="6">
        <v>19.87</v>
      </c>
      <c r="P25" s="6">
        <v>25.79</v>
      </c>
      <c r="Q25" s="6">
        <v>31.69</v>
      </c>
    </row>
    <row r="26" spans="1:17" x14ac:dyDescent="0.25">
      <c r="A26" s="4">
        <v>2011</v>
      </c>
      <c r="B26" s="25">
        <f t="shared" si="1"/>
        <v>3.5999999999999999E-3</v>
      </c>
      <c r="C26" s="25">
        <f t="shared" si="2"/>
        <v>9.1699999999999993E-3</v>
      </c>
      <c r="D26" s="25">
        <f t="shared" si="3"/>
        <v>1.9870000000000002E-2</v>
      </c>
      <c r="E26" s="25">
        <f t="shared" si="4"/>
        <v>2.579E-2</v>
      </c>
      <c r="F26" s="25">
        <f t="shared" si="5"/>
        <v>3.1690000000000003E-2</v>
      </c>
      <c r="H26" s="4">
        <v>2011</v>
      </c>
      <c r="I26" s="6">
        <v>9.16</v>
      </c>
      <c r="J26" s="6">
        <v>14.87</v>
      </c>
      <c r="K26" s="6">
        <v>26.01</v>
      </c>
      <c r="L26" s="6">
        <v>34.31</v>
      </c>
      <c r="M26" s="6">
        <v>3.6</v>
      </c>
      <c r="N26" s="6">
        <v>9.17</v>
      </c>
      <c r="O26" s="6">
        <v>19.87</v>
      </c>
      <c r="P26" s="6">
        <v>25.79</v>
      </c>
      <c r="Q26" s="6">
        <v>31.69</v>
      </c>
    </row>
    <row r="27" spans="1:17" x14ac:dyDescent="0.25">
      <c r="A27" s="4">
        <v>2012</v>
      </c>
      <c r="B27" s="25">
        <f t="shared" si="1"/>
        <v>3.5999999999999999E-3</v>
      </c>
      <c r="C27" s="25">
        <f t="shared" si="2"/>
        <v>9.1699999999999993E-3</v>
      </c>
      <c r="D27" s="25">
        <f t="shared" si="3"/>
        <v>1.9870000000000002E-2</v>
      </c>
      <c r="E27" s="25">
        <f t="shared" si="4"/>
        <v>2.579E-2</v>
      </c>
      <c r="F27" s="25">
        <f t="shared" si="5"/>
        <v>3.1690000000000003E-2</v>
      </c>
      <c r="H27" s="4">
        <v>2012</v>
      </c>
      <c r="I27" s="6">
        <v>7.42</v>
      </c>
      <c r="J27" s="6">
        <v>15.03</v>
      </c>
      <c r="K27" s="6">
        <v>26.43</v>
      </c>
      <c r="L27" s="6">
        <v>35.159999999999997</v>
      </c>
      <c r="M27" s="6">
        <v>3.6</v>
      </c>
      <c r="N27" s="6">
        <v>9.17</v>
      </c>
      <c r="O27" s="6">
        <v>19.87</v>
      </c>
      <c r="P27" s="6">
        <v>25.79</v>
      </c>
      <c r="Q27" s="6">
        <v>31.69</v>
      </c>
    </row>
    <row r="28" spans="1:17" x14ac:dyDescent="0.25">
      <c r="A28" s="4">
        <v>2013</v>
      </c>
      <c r="B28" s="25">
        <f t="shared" si="1"/>
        <v>3.5999999999999999E-3</v>
      </c>
      <c r="C28" s="25">
        <f t="shared" si="2"/>
        <v>9.1699999999999993E-3</v>
      </c>
      <c r="D28" s="25">
        <f t="shared" si="3"/>
        <v>1.9870000000000002E-2</v>
      </c>
      <c r="E28" s="25">
        <f t="shared" si="4"/>
        <v>2.579E-2</v>
      </c>
      <c r="F28" s="25">
        <f t="shared" si="5"/>
        <v>3.1690000000000003E-2</v>
      </c>
      <c r="H28" s="4">
        <v>2013</v>
      </c>
      <c r="I28" s="6">
        <v>10.9</v>
      </c>
      <c r="J28" s="6">
        <v>14.69</v>
      </c>
      <c r="K28" s="6">
        <v>17.510000000000002</v>
      </c>
      <c r="L28" s="6">
        <v>28.65</v>
      </c>
      <c r="M28" s="6">
        <v>3.6</v>
      </c>
      <c r="N28" s="6">
        <v>9.17</v>
      </c>
      <c r="O28" s="6">
        <v>19.87</v>
      </c>
      <c r="P28" s="6">
        <v>25.79</v>
      </c>
      <c r="Q28" s="6">
        <v>31.69</v>
      </c>
    </row>
    <row r="29" spans="1:17" x14ac:dyDescent="0.25">
      <c r="A29" s="7">
        <v>2014</v>
      </c>
      <c r="B29" s="25">
        <f t="shared" si="1"/>
        <v>3.5999999999999999E-3</v>
      </c>
      <c r="C29" s="25">
        <f t="shared" si="2"/>
        <v>9.1699999999999993E-3</v>
      </c>
      <c r="D29" s="25">
        <f t="shared" si="3"/>
        <v>1.9870000000000002E-2</v>
      </c>
      <c r="E29" s="25">
        <f t="shared" si="4"/>
        <v>2.579E-2</v>
      </c>
      <c r="F29" s="25">
        <f t="shared" si="5"/>
        <v>3.1690000000000003E-2</v>
      </c>
      <c r="H29" s="7">
        <v>2014</v>
      </c>
      <c r="I29" s="9">
        <v>12.24</v>
      </c>
      <c r="J29" s="9">
        <v>15.91</v>
      </c>
      <c r="K29" s="9">
        <v>19.100000000000001</v>
      </c>
      <c r="L29" s="9">
        <v>36.26</v>
      </c>
      <c r="M29" s="9">
        <v>3.6</v>
      </c>
      <c r="N29" s="9">
        <v>9.17</v>
      </c>
      <c r="O29" s="9">
        <v>19.87</v>
      </c>
      <c r="P29" s="9">
        <v>25.79</v>
      </c>
      <c r="Q29" s="9">
        <v>31.69</v>
      </c>
    </row>
    <row r="30" spans="1:17" x14ac:dyDescent="0.25">
      <c r="A30" s="1">
        <v>2015</v>
      </c>
      <c r="B30" s="25">
        <f t="shared" si="1"/>
        <v>3.5999999999999999E-3</v>
      </c>
      <c r="C30" s="25">
        <f t="shared" si="2"/>
        <v>9.1699999999999993E-3</v>
      </c>
      <c r="D30" s="25">
        <f t="shared" si="3"/>
        <v>1.9870000000000002E-2</v>
      </c>
      <c r="E30" s="25">
        <f t="shared" si="4"/>
        <v>2.579E-2</v>
      </c>
      <c r="F30" s="25">
        <f t="shared" si="5"/>
        <v>3.1690000000000003E-2</v>
      </c>
      <c r="H30" s="1">
        <v>2015</v>
      </c>
      <c r="I30" s="2">
        <v>9.35</v>
      </c>
      <c r="J30" s="3">
        <v>17.79</v>
      </c>
      <c r="K30" s="3">
        <v>27.89</v>
      </c>
      <c r="L30" s="3">
        <v>39.46</v>
      </c>
      <c r="M30" s="3">
        <v>3.6</v>
      </c>
      <c r="N30" s="3">
        <v>9.17</v>
      </c>
      <c r="O30" s="3">
        <v>19.87</v>
      </c>
      <c r="P30" s="3">
        <v>25.79</v>
      </c>
      <c r="Q30" s="3">
        <v>31.69</v>
      </c>
    </row>
    <row r="31" spans="1:17" x14ac:dyDescent="0.25">
      <c r="A31" s="4">
        <v>2016</v>
      </c>
      <c r="B31" s="25">
        <f t="shared" si="1"/>
        <v>3.5999999999999999E-3</v>
      </c>
      <c r="C31" s="25">
        <f t="shared" si="2"/>
        <v>9.1699999999999993E-3</v>
      </c>
      <c r="D31" s="25">
        <f t="shared" si="3"/>
        <v>1.9870000000000002E-2</v>
      </c>
      <c r="E31" s="25">
        <f t="shared" si="4"/>
        <v>2.579E-2</v>
      </c>
      <c r="F31" s="25">
        <f t="shared" si="5"/>
        <v>3.1690000000000003E-2</v>
      </c>
      <c r="H31" s="4">
        <v>2016</v>
      </c>
      <c r="I31" s="5">
        <v>5.5</v>
      </c>
      <c r="J31" s="6">
        <v>12.98</v>
      </c>
      <c r="K31" s="6">
        <v>23.9</v>
      </c>
      <c r="L31" s="6">
        <v>38.36</v>
      </c>
      <c r="M31" s="6">
        <v>3.6</v>
      </c>
      <c r="N31" s="6">
        <v>9.17</v>
      </c>
      <c r="O31" s="6">
        <v>19.87</v>
      </c>
      <c r="P31" s="6">
        <v>25.79</v>
      </c>
      <c r="Q31" s="6">
        <v>31.69</v>
      </c>
    </row>
    <row r="32" spans="1:17" x14ac:dyDescent="0.25">
      <c r="A32" s="4">
        <v>2017</v>
      </c>
      <c r="B32" s="25">
        <f t="shared" si="1"/>
        <v>3.5999999999999999E-3</v>
      </c>
      <c r="C32" s="25">
        <f t="shared" si="2"/>
        <v>9.1699999999999993E-3</v>
      </c>
      <c r="D32" s="25">
        <f t="shared" si="3"/>
        <v>1.9870000000000002E-2</v>
      </c>
      <c r="E32" s="25">
        <f t="shared" si="4"/>
        <v>2.579E-2</v>
      </c>
      <c r="F32" s="25">
        <f t="shared" si="5"/>
        <v>3.1690000000000003E-2</v>
      </c>
      <c r="H32" s="4">
        <v>2017</v>
      </c>
      <c r="I32" s="5">
        <v>7.81</v>
      </c>
      <c r="J32" s="6">
        <v>14.52</v>
      </c>
      <c r="K32" s="6">
        <v>21.31</v>
      </c>
      <c r="L32" s="6">
        <v>39.28</v>
      </c>
      <c r="M32" s="6">
        <v>3.6</v>
      </c>
      <c r="N32" s="6">
        <v>9.17</v>
      </c>
      <c r="O32" s="6">
        <v>19.87</v>
      </c>
      <c r="P32" s="6">
        <v>25.79</v>
      </c>
      <c r="Q32" s="6">
        <v>31.69</v>
      </c>
    </row>
    <row r="33" spans="1:17" x14ac:dyDescent="0.25">
      <c r="A33" s="4">
        <v>2018</v>
      </c>
      <c r="B33" s="25">
        <f t="shared" si="1"/>
        <v>3.5999999999999999E-3</v>
      </c>
      <c r="C33" s="25">
        <f t="shared" si="2"/>
        <v>9.1699999999999993E-3</v>
      </c>
      <c r="D33" s="25">
        <f t="shared" si="3"/>
        <v>1.9870000000000002E-2</v>
      </c>
      <c r="E33" s="25">
        <f t="shared" si="4"/>
        <v>2.579E-2</v>
      </c>
      <c r="F33" s="25">
        <f t="shared" si="5"/>
        <v>3.1690000000000003E-2</v>
      </c>
      <c r="H33" s="4">
        <v>2018</v>
      </c>
      <c r="I33" s="5">
        <v>4.5999999999999996</v>
      </c>
      <c r="J33" s="6">
        <v>9.81</v>
      </c>
      <c r="K33" s="6">
        <v>16.28</v>
      </c>
      <c r="L33" s="6">
        <v>26.86</v>
      </c>
      <c r="M33" s="6">
        <v>3.6</v>
      </c>
      <c r="N33" s="6">
        <v>9.17</v>
      </c>
      <c r="O33" s="6">
        <v>19.87</v>
      </c>
      <c r="P33" s="6">
        <v>25.79</v>
      </c>
      <c r="Q33" s="6">
        <v>31.69</v>
      </c>
    </row>
    <row r="34" spans="1:17" x14ac:dyDescent="0.25">
      <c r="A34" s="4">
        <v>2019</v>
      </c>
      <c r="B34" s="25">
        <f t="shared" si="1"/>
        <v>3.5999999999999999E-3</v>
      </c>
      <c r="C34" s="25">
        <f t="shared" si="2"/>
        <v>9.1699999999999993E-3</v>
      </c>
      <c r="D34" s="25">
        <f t="shared" si="3"/>
        <v>1.9870000000000002E-2</v>
      </c>
      <c r="E34" s="25">
        <f t="shared" si="4"/>
        <v>2.579E-2</v>
      </c>
      <c r="F34" s="25">
        <f t="shared" si="5"/>
        <v>3.1690000000000003E-2</v>
      </c>
      <c r="H34" s="4">
        <v>2019</v>
      </c>
      <c r="I34" s="5">
        <v>8.9499999999999993</v>
      </c>
      <c r="J34" s="6">
        <v>11.52</v>
      </c>
      <c r="K34" s="6">
        <v>16.190000000000001</v>
      </c>
      <c r="L34" s="6">
        <v>24.44</v>
      </c>
      <c r="M34" s="6">
        <v>3.6</v>
      </c>
      <c r="N34" s="6">
        <v>9.17</v>
      </c>
      <c r="O34" s="6">
        <v>19.87</v>
      </c>
      <c r="P34" s="6">
        <v>25.79</v>
      </c>
      <c r="Q34" s="6">
        <v>31.69</v>
      </c>
    </row>
    <row r="35" spans="1:17" x14ac:dyDescent="0.25">
      <c r="A35" s="4">
        <v>2020</v>
      </c>
      <c r="B35" s="25">
        <f t="shared" si="1"/>
        <v>3.5999999999999999E-3</v>
      </c>
      <c r="C35" s="25">
        <f t="shared" si="2"/>
        <v>9.1699999999999993E-3</v>
      </c>
      <c r="D35" s="25">
        <f t="shared" si="3"/>
        <v>1.9870000000000002E-2</v>
      </c>
      <c r="E35" s="25">
        <f t="shared" si="4"/>
        <v>2.579E-2</v>
      </c>
      <c r="F35" s="25">
        <f t="shared" si="5"/>
        <v>3.1690000000000003E-2</v>
      </c>
      <c r="H35" s="4">
        <v>2020</v>
      </c>
      <c r="I35" s="5">
        <v>9.0500000000000007</v>
      </c>
      <c r="J35" s="6">
        <v>16.53</v>
      </c>
      <c r="K35" s="6">
        <v>23.36</v>
      </c>
      <c r="L35" s="6">
        <v>27.62</v>
      </c>
      <c r="M35" s="6">
        <v>3.6</v>
      </c>
      <c r="N35" s="6">
        <v>9.17</v>
      </c>
      <c r="O35" s="6">
        <v>19.87</v>
      </c>
      <c r="P35" s="6">
        <v>25.79</v>
      </c>
      <c r="Q35" s="6">
        <v>31.69</v>
      </c>
    </row>
    <row r="36" spans="1:17" x14ac:dyDescent="0.25">
      <c r="A36" s="4">
        <v>2021</v>
      </c>
      <c r="B36" s="25">
        <f t="shared" si="1"/>
        <v>3.5999999999999999E-3</v>
      </c>
      <c r="C36" s="25">
        <f t="shared" si="2"/>
        <v>9.1699999999999993E-3</v>
      </c>
      <c r="D36" s="25">
        <f t="shared" si="3"/>
        <v>1.9870000000000002E-2</v>
      </c>
      <c r="E36" s="25">
        <f t="shared" si="4"/>
        <v>2.579E-2</v>
      </c>
      <c r="F36" s="25">
        <f t="shared" si="5"/>
        <v>3.1690000000000003E-2</v>
      </c>
      <c r="H36" s="4">
        <v>2021</v>
      </c>
      <c r="I36" s="5">
        <v>7.66</v>
      </c>
      <c r="J36" s="6">
        <v>14.1</v>
      </c>
      <c r="K36" s="6">
        <v>19.39</v>
      </c>
      <c r="L36" s="6">
        <v>25.97</v>
      </c>
      <c r="M36" s="6">
        <v>3.6</v>
      </c>
      <c r="N36" s="6">
        <v>9.17</v>
      </c>
      <c r="O36" s="6">
        <v>19.87</v>
      </c>
      <c r="P36" s="6">
        <v>25.79</v>
      </c>
      <c r="Q36" s="6">
        <v>31.69</v>
      </c>
    </row>
    <row r="37" spans="1:17" x14ac:dyDescent="0.25">
      <c r="A37" s="4">
        <v>2022</v>
      </c>
      <c r="B37" s="25">
        <f t="shared" si="1"/>
        <v>3.5999999999999999E-3</v>
      </c>
      <c r="C37" s="25">
        <f t="shared" si="2"/>
        <v>9.1699999999999993E-3</v>
      </c>
      <c r="D37" s="25">
        <f t="shared" si="3"/>
        <v>1.9870000000000002E-2</v>
      </c>
      <c r="E37" s="25">
        <f t="shared" si="4"/>
        <v>2.579E-2</v>
      </c>
      <c r="F37" s="25">
        <f t="shared" si="5"/>
        <v>3.1690000000000003E-2</v>
      </c>
      <c r="H37" s="4">
        <v>2022</v>
      </c>
      <c r="I37" s="5">
        <v>7.66</v>
      </c>
      <c r="J37" s="6">
        <v>14.1</v>
      </c>
      <c r="K37" s="6">
        <v>19.39</v>
      </c>
      <c r="L37" s="6">
        <v>25.97</v>
      </c>
      <c r="M37" s="6">
        <v>3.6</v>
      </c>
      <c r="N37" s="6">
        <v>9.17</v>
      </c>
      <c r="O37" s="6">
        <v>19.87</v>
      </c>
      <c r="P37" s="6">
        <v>25.79</v>
      </c>
      <c r="Q37" s="6">
        <v>31.69</v>
      </c>
    </row>
    <row r="38" spans="1:17" x14ac:dyDescent="0.25">
      <c r="A38" s="4">
        <v>2023</v>
      </c>
      <c r="B38" s="25">
        <f t="shared" si="1"/>
        <v>3.8700000000000002E-3</v>
      </c>
      <c r="C38" s="25">
        <f t="shared" si="2"/>
        <v>9.4399999999999987E-3</v>
      </c>
      <c r="D38" s="25">
        <f t="shared" si="3"/>
        <v>2.0590000000000001E-2</v>
      </c>
      <c r="E38" s="25">
        <f t="shared" si="4"/>
        <v>2.503E-2</v>
      </c>
      <c r="F38" s="25">
        <f t="shared" si="5"/>
        <v>3.1390000000000001E-2</v>
      </c>
      <c r="H38" s="4">
        <v>2023</v>
      </c>
      <c r="I38" s="5">
        <v>9.2799999999999994</v>
      </c>
      <c r="J38" s="6">
        <v>15.52</v>
      </c>
      <c r="K38" s="6">
        <v>20.04</v>
      </c>
      <c r="L38" s="6">
        <v>26.81</v>
      </c>
      <c r="M38" s="6">
        <v>3.87</v>
      </c>
      <c r="N38" s="6">
        <v>9.44</v>
      </c>
      <c r="O38" s="6">
        <v>20.59</v>
      </c>
      <c r="P38" s="6">
        <v>25.03</v>
      </c>
      <c r="Q38" s="6">
        <v>31.39</v>
      </c>
    </row>
    <row r="39" spans="1:17" x14ac:dyDescent="0.25">
      <c r="A39" s="4">
        <v>2024</v>
      </c>
      <c r="B39" s="25">
        <f t="shared" si="1"/>
        <v>2.5200000000000001E-3</v>
      </c>
      <c r="C39" s="25">
        <f t="shared" si="2"/>
        <v>6.11E-3</v>
      </c>
      <c r="D39" s="25">
        <f t="shared" si="3"/>
        <v>1.3390000000000001E-2</v>
      </c>
      <c r="E39" s="25">
        <f t="shared" si="4"/>
        <v>1.6289999999999999E-2</v>
      </c>
      <c r="F39" s="25">
        <f t="shared" si="5"/>
        <v>2.0329999999999997E-2</v>
      </c>
      <c r="H39" s="4">
        <v>2024</v>
      </c>
      <c r="I39" s="5">
        <v>6.76</v>
      </c>
      <c r="J39" s="6">
        <v>14.02</v>
      </c>
      <c r="K39" s="6">
        <v>16.670000000000002</v>
      </c>
      <c r="L39" s="6">
        <v>20.79</v>
      </c>
      <c r="M39" s="6">
        <v>2.52</v>
      </c>
      <c r="N39" s="6">
        <v>6.11</v>
      </c>
      <c r="O39" s="6">
        <v>13.39</v>
      </c>
      <c r="P39" s="6">
        <v>16.29</v>
      </c>
      <c r="Q39" s="6">
        <v>20.329999999999998</v>
      </c>
    </row>
    <row r="40" spans="1:17" x14ac:dyDescent="0.25">
      <c r="A40" s="7">
        <v>2025</v>
      </c>
      <c r="B40" s="25">
        <f t="shared" si="1"/>
        <v>3.4399999999999999E-3</v>
      </c>
      <c r="C40" s="25">
        <f t="shared" si="2"/>
        <v>8.6199999999999992E-3</v>
      </c>
      <c r="D40" s="25">
        <f t="shared" si="3"/>
        <v>1.8720000000000001E-2</v>
      </c>
      <c r="E40" s="25">
        <f t="shared" si="4"/>
        <v>2.3739999999999997E-2</v>
      </c>
      <c r="F40" s="25">
        <f t="shared" si="5"/>
        <v>2.9360000000000001E-2</v>
      </c>
      <c r="H40" s="7">
        <v>2025</v>
      </c>
      <c r="I40" s="8">
        <v>8.08</v>
      </c>
      <c r="J40" s="9">
        <v>14.85</v>
      </c>
      <c r="K40" s="9">
        <v>19.77</v>
      </c>
      <c r="L40" s="9">
        <v>25.43</v>
      </c>
      <c r="M40" s="9">
        <v>3.44</v>
      </c>
      <c r="N40" s="9">
        <v>8.6199999999999992</v>
      </c>
      <c r="O40" s="9">
        <v>18.72</v>
      </c>
      <c r="P40" s="9">
        <v>23.74</v>
      </c>
      <c r="Q40" s="9">
        <v>29.36</v>
      </c>
    </row>
    <row r="41" spans="1:17" x14ac:dyDescent="0.25">
      <c r="A41" s="4"/>
      <c r="B41" s="25"/>
      <c r="C41" s="25"/>
      <c r="D41" s="25"/>
      <c r="E41" s="25"/>
      <c r="F41" s="25"/>
      <c r="H41" s="4"/>
      <c r="I41" s="5"/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 s="4"/>
      <c r="B42" s="25"/>
      <c r="C42" s="25"/>
      <c r="D42" s="25"/>
      <c r="E42" s="25"/>
      <c r="F42" s="25"/>
      <c r="H42" s="4"/>
      <c r="I42" s="5"/>
      <c r="J42" s="6"/>
      <c r="K42" s="6"/>
      <c r="L42" s="6"/>
      <c r="M42" s="6"/>
      <c r="N42" s="6"/>
      <c r="O42" s="6"/>
      <c r="P42" s="6"/>
      <c r="Q42" s="6"/>
    </row>
    <row r="43" spans="1:17" x14ac:dyDescent="0.25">
      <c r="A43" s="4"/>
      <c r="B43" s="25"/>
      <c r="C43" s="25"/>
      <c r="D43" s="25"/>
      <c r="E43" s="25"/>
      <c r="F43" s="25"/>
      <c r="H43" s="4"/>
      <c r="I43" s="5"/>
      <c r="J43" s="6"/>
      <c r="K43" s="6"/>
      <c r="L43" s="6"/>
      <c r="M43" s="6"/>
      <c r="N43" s="6"/>
      <c r="O43" s="6"/>
      <c r="P43" s="6"/>
      <c r="Q43" s="6"/>
    </row>
    <row r="44" spans="1:17" x14ac:dyDescent="0.25">
      <c r="A44" s="7"/>
      <c r="B44" s="25"/>
      <c r="C44" s="25"/>
      <c r="D44" s="25"/>
      <c r="E44" s="25"/>
      <c r="F44" s="25"/>
      <c r="H44" s="7"/>
      <c r="I44" s="8"/>
      <c r="J44" s="9"/>
      <c r="K44" s="9"/>
      <c r="L44" s="9"/>
      <c r="M44" s="9"/>
      <c r="N44" s="9"/>
      <c r="O44" s="9"/>
      <c r="P44" s="9"/>
      <c r="Q44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B643-59D3-4073-AF3C-F5D7C23B8E75}">
  <dimension ref="A1:R59"/>
  <sheetViews>
    <sheetView topLeftCell="A6" workbookViewId="0">
      <selection activeCell="B2" sqref="B2:F40"/>
    </sheetView>
  </sheetViews>
  <sheetFormatPr defaultRowHeight="15" x14ac:dyDescent="0.25"/>
  <sheetData>
    <row r="1" spans="1:18" x14ac:dyDescent="0.25">
      <c r="B1">
        <v>0</v>
      </c>
      <c r="C1">
        <v>1</v>
      </c>
      <c r="D1">
        <v>2</v>
      </c>
      <c r="E1">
        <v>3</v>
      </c>
      <c r="F1">
        <v>4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</row>
    <row r="2" spans="1:18" x14ac:dyDescent="0.25">
      <c r="A2" s="1">
        <v>1987</v>
      </c>
      <c r="B2" s="1">
        <v>0</v>
      </c>
      <c r="C2" s="3">
        <v>0.04</v>
      </c>
      <c r="D2" s="3">
        <v>0.77</v>
      </c>
      <c r="E2" s="3">
        <v>0.97</v>
      </c>
      <c r="F2" s="1">
        <v>1</v>
      </c>
      <c r="I2" s="1">
        <v>1987</v>
      </c>
      <c r="J2" s="2">
        <v>0.04</v>
      </c>
      <c r="K2" s="3">
        <v>0.77</v>
      </c>
      <c r="L2" s="3">
        <v>0.97</v>
      </c>
      <c r="M2" s="1">
        <v>1</v>
      </c>
      <c r="N2" s="1">
        <v>0</v>
      </c>
      <c r="O2" s="3">
        <v>0.04</v>
      </c>
      <c r="P2" s="3">
        <v>0.77</v>
      </c>
      <c r="Q2" s="3">
        <v>0.97</v>
      </c>
      <c r="R2" s="1">
        <v>1</v>
      </c>
    </row>
    <row r="3" spans="1:18" x14ac:dyDescent="0.25">
      <c r="A3" s="4">
        <v>1988</v>
      </c>
      <c r="B3" s="4">
        <v>0</v>
      </c>
      <c r="C3" s="6">
        <v>0.04</v>
      </c>
      <c r="D3" s="6">
        <v>0.77</v>
      </c>
      <c r="E3" s="6">
        <v>0.97</v>
      </c>
      <c r="F3" s="4">
        <v>1</v>
      </c>
      <c r="I3" s="4">
        <v>1988</v>
      </c>
      <c r="J3" s="5">
        <v>0.04</v>
      </c>
      <c r="K3" s="6">
        <v>0.77</v>
      </c>
      <c r="L3" s="6">
        <v>0.97</v>
      </c>
      <c r="M3" s="4">
        <v>1</v>
      </c>
      <c r="N3" s="4">
        <v>0</v>
      </c>
      <c r="O3" s="6">
        <v>0.04</v>
      </c>
      <c r="P3" s="6">
        <v>0.77</v>
      </c>
      <c r="Q3" s="6">
        <v>0.97</v>
      </c>
      <c r="R3" s="4">
        <v>1</v>
      </c>
    </row>
    <row r="4" spans="1:18" x14ac:dyDescent="0.25">
      <c r="A4" s="4">
        <v>1989</v>
      </c>
      <c r="B4" s="4">
        <v>0</v>
      </c>
      <c r="C4" s="6">
        <v>0.04</v>
      </c>
      <c r="D4" s="6">
        <v>0.77</v>
      </c>
      <c r="E4" s="6">
        <v>0.97</v>
      </c>
      <c r="F4" s="4">
        <v>1</v>
      </c>
      <c r="I4" s="4">
        <v>1989</v>
      </c>
      <c r="J4" s="5">
        <v>0.04</v>
      </c>
      <c r="K4" s="6">
        <v>0.77</v>
      </c>
      <c r="L4" s="6">
        <v>0.97</v>
      </c>
      <c r="M4" s="4">
        <v>1</v>
      </c>
      <c r="N4" s="4">
        <v>0</v>
      </c>
      <c r="O4" s="6">
        <v>0.04</v>
      </c>
      <c r="P4" s="6">
        <v>0.77</v>
      </c>
      <c r="Q4" s="6">
        <v>0.97</v>
      </c>
      <c r="R4" s="4">
        <v>1</v>
      </c>
    </row>
    <row r="5" spans="1:18" x14ac:dyDescent="0.25">
      <c r="A5" s="4">
        <v>1990</v>
      </c>
      <c r="B5" s="4">
        <v>0</v>
      </c>
      <c r="C5" s="6">
        <v>0.04</v>
      </c>
      <c r="D5" s="6">
        <v>0.77</v>
      </c>
      <c r="E5" s="6">
        <v>0.97</v>
      </c>
      <c r="F5" s="4">
        <v>1</v>
      </c>
      <c r="I5" s="4">
        <v>1990</v>
      </c>
      <c r="J5" s="5">
        <v>0.04</v>
      </c>
      <c r="K5" s="6">
        <v>0.77</v>
      </c>
      <c r="L5" s="6">
        <v>0.97</v>
      </c>
      <c r="M5" s="4">
        <v>1</v>
      </c>
      <c r="N5" s="4">
        <v>0</v>
      </c>
      <c r="O5" s="6">
        <v>0.04</v>
      </c>
      <c r="P5" s="6">
        <v>0.77</v>
      </c>
      <c r="Q5" s="6">
        <v>0.97</v>
      </c>
      <c r="R5" s="4">
        <v>1</v>
      </c>
    </row>
    <row r="6" spans="1:18" x14ac:dyDescent="0.25">
      <c r="A6" s="4">
        <v>1991</v>
      </c>
      <c r="B6" s="4">
        <v>0</v>
      </c>
      <c r="C6" s="6">
        <v>0.04</v>
      </c>
      <c r="D6" s="6">
        <v>0.77</v>
      </c>
      <c r="E6" s="6">
        <v>0.97</v>
      </c>
      <c r="F6" s="4">
        <v>1</v>
      </c>
      <c r="I6" s="4">
        <v>1991</v>
      </c>
      <c r="J6" s="5">
        <v>0.04</v>
      </c>
      <c r="K6" s="6">
        <v>0.77</v>
      </c>
      <c r="L6" s="6">
        <v>0.97</v>
      </c>
      <c r="M6" s="4">
        <v>1</v>
      </c>
      <c r="N6" s="4">
        <v>0</v>
      </c>
      <c r="O6" s="6">
        <v>0.04</v>
      </c>
      <c r="P6" s="6">
        <v>0.77</v>
      </c>
      <c r="Q6" s="6">
        <v>0.97</v>
      </c>
      <c r="R6" s="4">
        <v>1</v>
      </c>
    </row>
    <row r="7" spans="1:18" x14ac:dyDescent="0.25">
      <c r="A7" s="4">
        <v>1992</v>
      </c>
      <c r="B7" s="4">
        <v>0</v>
      </c>
      <c r="C7" s="6">
        <v>0.04</v>
      </c>
      <c r="D7" s="6">
        <v>0.77</v>
      </c>
      <c r="E7" s="6">
        <v>0.97</v>
      </c>
      <c r="F7" s="4">
        <v>1</v>
      </c>
      <c r="I7" s="4">
        <v>1992</v>
      </c>
      <c r="J7" s="5">
        <v>0.04</v>
      </c>
      <c r="K7" s="6">
        <v>0.77</v>
      </c>
      <c r="L7" s="6">
        <v>0.97</v>
      </c>
      <c r="M7" s="4">
        <v>1</v>
      </c>
      <c r="N7" s="4">
        <v>0</v>
      </c>
      <c r="O7" s="6">
        <v>0.04</v>
      </c>
      <c r="P7" s="6">
        <v>0.77</v>
      </c>
      <c r="Q7" s="6">
        <v>0.97</v>
      </c>
      <c r="R7" s="4">
        <v>1</v>
      </c>
    </row>
    <row r="8" spans="1:18" x14ac:dyDescent="0.25">
      <c r="A8" s="4">
        <v>1993</v>
      </c>
      <c r="B8" s="4">
        <v>0</v>
      </c>
      <c r="C8" s="6">
        <v>0.04</v>
      </c>
      <c r="D8" s="6">
        <v>0.77</v>
      </c>
      <c r="E8" s="6">
        <v>0.97</v>
      </c>
      <c r="F8" s="4">
        <v>1</v>
      </c>
      <c r="I8" s="4">
        <v>1993</v>
      </c>
      <c r="J8" s="5">
        <v>0.04</v>
      </c>
      <c r="K8" s="6">
        <v>0.77</v>
      </c>
      <c r="L8" s="6">
        <v>0.97</v>
      </c>
      <c r="M8" s="4">
        <v>1</v>
      </c>
      <c r="N8" s="4">
        <v>0</v>
      </c>
      <c r="O8" s="6">
        <v>0.04</v>
      </c>
      <c r="P8" s="6">
        <v>0.77</v>
      </c>
      <c r="Q8" s="6">
        <v>0.97</v>
      </c>
      <c r="R8" s="4">
        <v>1</v>
      </c>
    </row>
    <row r="9" spans="1:18" x14ac:dyDescent="0.25">
      <c r="A9" s="4">
        <v>1994</v>
      </c>
      <c r="B9" s="4">
        <v>0</v>
      </c>
      <c r="C9" s="6">
        <v>0.04</v>
      </c>
      <c r="D9" s="6">
        <v>0.77</v>
      </c>
      <c r="E9" s="6">
        <v>0.97</v>
      </c>
      <c r="F9" s="4">
        <v>1</v>
      </c>
      <c r="I9" s="4">
        <v>1994</v>
      </c>
      <c r="J9" s="5">
        <v>0.04</v>
      </c>
      <c r="K9" s="6">
        <v>0.77</v>
      </c>
      <c r="L9" s="6">
        <v>0.97</v>
      </c>
      <c r="M9" s="4">
        <v>1</v>
      </c>
      <c r="N9" s="4">
        <v>0</v>
      </c>
      <c r="O9" s="6">
        <v>0.04</v>
      </c>
      <c r="P9" s="6">
        <v>0.77</v>
      </c>
      <c r="Q9" s="6">
        <v>0.97</v>
      </c>
      <c r="R9" s="4">
        <v>1</v>
      </c>
    </row>
    <row r="10" spans="1:18" x14ac:dyDescent="0.25">
      <c r="A10" s="4">
        <v>1995</v>
      </c>
      <c r="B10" s="4">
        <v>0</v>
      </c>
      <c r="C10" s="6">
        <v>0.04</v>
      </c>
      <c r="D10" s="6">
        <v>0.77</v>
      </c>
      <c r="E10" s="6">
        <v>0.97</v>
      </c>
      <c r="F10" s="4">
        <v>1</v>
      </c>
      <c r="I10" s="4">
        <v>1995</v>
      </c>
      <c r="J10" s="5">
        <v>0.04</v>
      </c>
      <c r="K10" s="6">
        <v>0.77</v>
      </c>
      <c r="L10" s="6">
        <v>0.97</v>
      </c>
      <c r="M10" s="4">
        <v>1</v>
      </c>
      <c r="N10" s="4">
        <v>0</v>
      </c>
      <c r="O10" s="6">
        <v>0.04</v>
      </c>
      <c r="P10" s="6">
        <v>0.77</v>
      </c>
      <c r="Q10" s="6">
        <v>0.97</v>
      </c>
      <c r="R10" s="4">
        <v>1</v>
      </c>
    </row>
    <row r="11" spans="1:18" x14ac:dyDescent="0.25">
      <c r="A11" s="4">
        <v>1996</v>
      </c>
      <c r="B11" s="4">
        <v>0</v>
      </c>
      <c r="C11" s="6">
        <v>0.04</v>
      </c>
      <c r="D11" s="6">
        <v>0.77</v>
      </c>
      <c r="E11" s="6">
        <v>0.97</v>
      </c>
      <c r="F11" s="4">
        <v>1</v>
      </c>
      <c r="I11" s="4">
        <v>1996</v>
      </c>
      <c r="J11" s="5">
        <v>0.04</v>
      </c>
      <c r="K11" s="6">
        <v>0.77</v>
      </c>
      <c r="L11" s="6">
        <v>0.97</v>
      </c>
      <c r="M11" s="4">
        <v>1</v>
      </c>
      <c r="N11" s="4">
        <v>0</v>
      </c>
      <c r="O11" s="6">
        <v>0.04</v>
      </c>
      <c r="P11" s="6">
        <v>0.77</v>
      </c>
      <c r="Q11" s="6">
        <v>0.97</v>
      </c>
      <c r="R11" s="4">
        <v>1</v>
      </c>
    </row>
    <row r="12" spans="1:18" x14ac:dyDescent="0.25">
      <c r="A12" s="4">
        <v>1997</v>
      </c>
      <c r="B12" s="4">
        <v>0</v>
      </c>
      <c r="C12" s="6">
        <v>0.04</v>
      </c>
      <c r="D12" s="6">
        <v>0.77</v>
      </c>
      <c r="E12" s="6">
        <v>0.97</v>
      </c>
      <c r="F12" s="4">
        <v>1</v>
      </c>
      <c r="I12" s="4">
        <v>1997</v>
      </c>
      <c r="J12" s="5">
        <v>0.04</v>
      </c>
      <c r="K12" s="6">
        <v>0.77</v>
      </c>
      <c r="L12" s="6">
        <v>0.97</v>
      </c>
      <c r="M12" s="4">
        <v>1</v>
      </c>
      <c r="N12" s="4">
        <v>0</v>
      </c>
      <c r="O12" s="6">
        <v>0.04</v>
      </c>
      <c r="P12" s="6">
        <v>0.77</v>
      </c>
      <c r="Q12" s="6">
        <v>0.97</v>
      </c>
      <c r="R12" s="4">
        <v>1</v>
      </c>
    </row>
    <row r="13" spans="1:18" x14ac:dyDescent="0.25">
      <c r="A13" s="4">
        <v>1998</v>
      </c>
      <c r="B13" s="4">
        <v>0</v>
      </c>
      <c r="C13" s="6">
        <v>0.04</v>
      </c>
      <c r="D13" s="6">
        <v>0.77</v>
      </c>
      <c r="E13" s="6">
        <v>0.97</v>
      </c>
      <c r="F13" s="4">
        <v>1</v>
      </c>
      <c r="I13" s="4">
        <v>1998</v>
      </c>
      <c r="J13" s="5">
        <v>0.04</v>
      </c>
      <c r="K13" s="6">
        <v>0.77</v>
      </c>
      <c r="L13" s="6">
        <v>0.97</v>
      </c>
      <c r="M13" s="4">
        <v>1</v>
      </c>
      <c r="N13" s="4">
        <v>0</v>
      </c>
      <c r="O13" s="6">
        <v>0.04</v>
      </c>
      <c r="P13" s="6">
        <v>0.77</v>
      </c>
      <c r="Q13" s="6">
        <v>0.97</v>
      </c>
      <c r="R13" s="4">
        <v>1</v>
      </c>
    </row>
    <row r="14" spans="1:18" x14ac:dyDescent="0.25">
      <c r="A14" s="4">
        <v>1999</v>
      </c>
      <c r="B14" s="4">
        <v>0</v>
      </c>
      <c r="C14" s="6">
        <v>0.04</v>
      </c>
      <c r="D14" s="6">
        <v>0.77</v>
      </c>
      <c r="E14" s="6">
        <v>0.97</v>
      </c>
      <c r="F14" s="4">
        <v>1</v>
      </c>
      <c r="I14" s="4">
        <v>1999</v>
      </c>
      <c r="J14" s="5">
        <v>0.04</v>
      </c>
      <c r="K14" s="6">
        <v>0.77</v>
      </c>
      <c r="L14" s="6">
        <v>0.97</v>
      </c>
      <c r="M14" s="4">
        <v>1</v>
      </c>
      <c r="N14" s="4">
        <v>0</v>
      </c>
      <c r="O14" s="6">
        <v>0.04</v>
      </c>
      <c r="P14" s="6">
        <v>0.77</v>
      </c>
      <c r="Q14" s="6">
        <v>0.97</v>
      </c>
      <c r="R14" s="4">
        <v>1</v>
      </c>
    </row>
    <row r="15" spans="1:18" x14ac:dyDescent="0.25">
      <c r="A15" s="4">
        <v>2000</v>
      </c>
      <c r="B15" s="4">
        <v>0</v>
      </c>
      <c r="C15" s="6">
        <v>0.04</v>
      </c>
      <c r="D15" s="6">
        <v>0.77</v>
      </c>
      <c r="E15" s="6">
        <v>0.97</v>
      </c>
      <c r="F15" s="4">
        <v>1</v>
      </c>
      <c r="I15" s="4">
        <v>2000</v>
      </c>
      <c r="J15" s="5">
        <v>0.04</v>
      </c>
      <c r="K15" s="6">
        <v>0.77</v>
      </c>
      <c r="L15" s="6">
        <v>0.97</v>
      </c>
      <c r="M15" s="4">
        <v>1</v>
      </c>
      <c r="N15" s="4">
        <v>0</v>
      </c>
      <c r="O15" s="6">
        <v>0.04</v>
      </c>
      <c r="P15" s="6">
        <v>0.77</v>
      </c>
      <c r="Q15" s="6">
        <v>0.97</v>
      </c>
      <c r="R15" s="4">
        <v>1</v>
      </c>
    </row>
    <row r="16" spans="1:18" x14ac:dyDescent="0.25">
      <c r="A16" s="4">
        <v>2001</v>
      </c>
      <c r="B16" s="4">
        <v>0</v>
      </c>
      <c r="C16" s="6">
        <v>0.04</v>
      </c>
      <c r="D16" s="6">
        <v>0.77</v>
      </c>
      <c r="E16" s="6">
        <v>0.97</v>
      </c>
      <c r="F16" s="4">
        <v>1</v>
      </c>
      <c r="I16" s="4">
        <v>2001</v>
      </c>
      <c r="J16" s="5">
        <v>0.04</v>
      </c>
      <c r="K16" s="6">
        <v>0.77</v>
      </c>
      <c r="L16" s="6">
        <v>0.97</v>
      </c>
      <c r="M16" s="4">
        <v>1</v>
      </c>
      <c r="N16" s="4">
        <v>0</v>
      </c>
      <c r="O16" s="6">
        <v>0.04</v>
      </c>
      <c r="P16" s="6">
        <v>0.77</v>
      </c>
      <c r="Q16" s="6">
        <v>0.97</v>
      </c>
      <c r="R16" s="4">
        <v>1</v>
      </c>
    </row>
    <row r="17" spans="1:18" x14ac:dyDescent="0.25">
      <c r="A17" s="4">
        <v>2002</v>
      </c>
      <c r="B17" s="4">
        <v>0</v>
      </c>
      <c r="C17" s="6">
        <v>0.04</v>
      </c>
      <c r="D17" s="6">
        <v>0.77</v>
      </c>
      <c r="E17" s="6">
        <v>0.97</v>
      </c>
      <c r="F17" s="4">
        <v>1</v>
      </c>
      <c r="I17" s="4">
        <v>2002</v>
      </c>
      <c r="J17" s="5">
        <v>0.04</v>
      </c>
      <c r="K17" s="6">
        <v>0.77</v>
      </c>
      <c r="L17" s="6">
        <v>0.97</v>
      </c>
      <c r="M17" s="4">
        <v>1</v>
      </c>
      <c r="N17" s="4">
        <v>0</v>
      </c>
      <c r="O17" s="6">
        <v>0.04</v>
      </c>
      <c r="P17" s="6">
        <v>0.77</v>
      </c>
      <c r="Q17" s="6">
        <v>0.97</v>
      </c>
      <c r="R17" s="4">
        <v>1</v>
      </c>
    </row>
    <row r="18" spans="1:18" x14ac:dyDescent="0.25">
      <c r="A18" s="4">
        <v>2003</v>
      </c>
      <c r="B18" s="4">
        <v>0</v>
      </c>
      <c r="C18" s="6">
        <v>0.04</v>
      </c>
      <c r="D18" s="6">
        <v>0.77</v>
      </c>
      <c r="E18" s="6">
        <v>0.97</v>
      </c>
      <c r="F18" s="4">
        <v>1</v>
      </c>
      <c r="I18" s="4">
        <v>2003</v>
      </c>
      <c r="J18" s="5">
        <v>0.04</v>
      </c>
      <c r="K18" s="6">
        <v>0.77</v>
      </c>
      <c r="L18" s="6">
        <v>0.97</v>
      </c>
      <c r="M18" s="4">
        <v>1</v>
      </c>
      <c r="N18" s="4">
        <v>0</v>
      </c>
      <c r="O18" s="6">
        <v>0.04</v>
      </c>
      <c r="P18" s="6">
        <v>0.77</v>
      </c>
      <c r="Q18" s="6">
        <v>0.97</v>
      </c>
      <c r="R18" s="4">
        <v>1</v>
      </c>
    </row>
    <row r="19" spans="1:18" x14ac:dyDescent="0.25">
      <c r="A19" s="4">
        <v>2004</v>
      </c>
      <c r="B19" s="4">
        <v>0</v>
      </c>
      <c r="C19" s="6">
        <v>0.04</v>
      </c>
      <c r="D19" s="6">
        <v>0.77</v>
      </c>
      <c r="E19" s="6">
        <v>0.97</v>
      </c>
      <c r="F19" s="4">
        <v>1</v>
      </c>
      <c r="I19" s="4">
        <v>2004</v>
      </c>
      <c r="J19" s="5">
        <v>0.04</v>
      </c>
      <c r="K19" s="6">
        <v>0.77</v>
      </c>
      <c r="L19" s="6">
        <v>0.97</v>
      </c>
      <c r="M19" s="4">
        <v>1</v>
      </c>
      <c r="N19" s="4">
        <v>0</v>
      </c>
      <c r="O19" s="6">
        <v>0.04</v>
      </c>
      <c r="P19" s="6">
        <v>0.77</v>
      </c>
      <c r="Q19" s="6">
        <v>0.97</v>
      </c>
      <c r="R19" s="4">
        <v>1</v>
      </c>
    </row>
    <row r="20" spans="1:18" x14ac:dyDescent="0.25">
      <c r="A20" s="4">
        <v>2005</v>
      </c>
      <c r="B20" s="4">
        <v>0</v>
      </c>
      <c r="C20" s="6">
        <v>0.04</v>
      </c>
      <c r="D20" s="6">
        <v>0.77</v>
      </c>
      <c r="E20" s="6">
        <v>0.97</v>
      </c>
      <c r="F20" s="4">
        <v>1</v>
      </c>
      <c r="I20" s="4">
        <v>2005</v>
      </c>
      <c r="J20" s="5">
        <v>0.04</v>
      </c>
      <c r="K20" s="6">
        <v>0.77</v>
      </c>
      <c r="L20" s="6">
        <v>0.97</v>
      </c>
      <c r="M20" s="4">
        <v>1</v>
      </c>
      <c r="N20" s="4">
        <v>0</v>
      </c>
      <c r="O20" s="6">
        <v>0.04</v>
      </c>
      <c r="P20" s="6">
        <v>0.77</v>
      </c>
      <c r="Q20" s="6">
        <v>0.97</v>
      </c>
      <c r="R20" s="4">
        <v>1</v>
      </c>
    </row>
    <row r="21" spans="1:18" x14ac:dyDescent="0.25">
      <c r="A21" s="4">
        <v>2006</v>
      </c>
      <c r="B21" s="4">
        <v>0</v>
      </c>
      <c r="C21" s="6">
        <v>0.04</v>
      </c>
      <c r="D21" s="6">
        <v>0.77</v>
      </c>
      <c r="E21" s="6">
        <v>0.97</v>
      </c>
      <c r="F21" s="4">
        <v>1</v>
      </c>
      <c r="I21" s="4">
        <v>2006</v>
      </c>
      <c r="J21" s="5">
        <v>0.04</v>
      </c>
      <c r="K21" s="6">
        <v>0.77</v>
      </c>
      <c r="L21" s="6">
        <v>0.97</v>
      </c>
      <c r="M21" s="4">
        <v>1</v>
      </c>
      <c r="N21" s="4">
        <v>0</v>
      </c>
      <c r="O21" s="6">
        <v>0.04</v>
      </c>
      <c r="P21" s="6">
        <v>0.77</v>
      </c>
      <c r="Q21" s="6">
        <v>0.97</v>
      </c>
      <c r="R21" s="4">
        <v>1</v>
      </c>
    </row>
    <row r="22" spans="1:18" x14ac:dyDescent="0.25">
      <c r="A22" s="4">
        <v>2007</v>
      </c>
      <c r="B22" s="4">
        <v>0</v>
      </c>
      <c r="C22" s="6">
        <v>0.04</v>
      </c>
      <c r="D22" s="6">
        <v>0.77</v>
      </c>
      <c r="E22" s="6">
        <v>0.97</v>
      </c>
      <c r="F22" s="4">
        <v>1</v>
      </c>
      <c r="I22" s="4">
        <v>2007</v>
      </c>
      <c r="J22" s="5">
        <v>0.04</v>
      </c>
      <c r="K22" s="6">
        <v>0.77</v>
      </c>
      <c r="L22" s="6">
        <v>0.97</v>
      </c>
      <c r="M22" s="4">
        <v>1</v>
      </c>
      <c r="N22" s="4">
        <v>0</v>
      </c>
      <c r="O22" s="6">
        <v>0.04</v>
      </c>
      <c r="P22" s="6">
        <v>0.77</v>
      </c>
      <c r="Q22" s="6">
        <v>0.97</v>
      </c>
      <c r="R22" s="4">
        <v>1</v>
      </c>
    </row>
    <row r="23" spans="1:18" x14ac:dyDescent="0.25">
      <c r="A23" s="4">
        <v>2008</v>
      </c>
      <c r="B23" s="4">
        <v>0</v>
      </c>
      <c r="C23" s="6">
        <v>0.04</v>
      </c>
      <c r="D23" s="6">
        <v>0.77</v>
      </c>
      <c r="E23" s="6">
        <v>0.97</v>
      </c>
      <c r="F23" s="4">
        <v>1</v>
      </c>
      <c r="I23" s="4">
        <v>2008</v>
      </c>
      <c r="J23" s="5">
        <v>0.04</v>
      </c>
      <c r="K23" s="6">
        <v>0.77</v>
      </c>
      <c r="L23" s="6">
        <v>0.97</v>
      </c>
      <c r="M23" s="4">
        <v>1</v>
      </c>
      <c r="N23" s="4">
        <v>0</v>
      </c>
      <c r="O23" s="6">
        <v>0.04</v>
      </c>
      <c r="P23" s="6">
        <v>0.77</v>
      </c>
      <c r="Q23" s="6">
        <v>0.97</v>
      </c>
      <c r="R23" s="4">
        <v>1</v>
      </c>
    </row>
    <row r="24" spans="1:18" x14ac:dyDescent="0.25">
      <c r="A24" s="4">
        <v>2009</v>
      </c>
      <c r="B24" s="4">
        <v>0</v>
      </c>
      <c r="C24" s="6">
        <v>0.04</v>
      </c>
      <c r="D24" s="6">
        <v>0.77</v>
      </c>
      <c r="E24" s="6">
        <v>0.97</v>
      </c>
      <c r="F24" s="4">
        <v>1</v>
      </c>
      <c r="I24" s="4">
        <v>2009</v>
      </c>
      <c r="J24" s="5">
        <v>0.04</v>
      </c>
      <c r="K24" s="6">
        <v>0.77</v>
      </c>
      <c r="L24" s="6">
        <v>0.97</v>
      </c>
      <c r="M24" s="4">
        <v>1</v>
      </c>
      <c r="N24" s="4">
        <v>0</v>
      </c>
      <c r="O24" s="6">
        <v>0.04</v>
      </c>
      <c r="P24" s="6">
        <v>0.77</v>
      </c>
      <c r="Q24" s="6">
        <v>0.97</v>
      </c>
      <c r="R24" s="4">
        <v>1</v>
      </c>
    </row>
    <row r="25" spans="1:18" x14ac:dyDescent="0.25">
      <c r="A25" s="4">
        <v>2010</v>
      </c>
      <c r="B25" s="4">
        <v>0</v>
      </c>
      <c r="C25" s="6">
        <v>0.04</v>
      </c>
      <c r="D25" s="6">
        <v>0.77</v>
      </c>
      <c r="E25" s="6">
        <v>0.97</v>
      </c>
      <c r="F25" s="4">
        <v>1</v>
      </c>
      <c r="I25" s="4">
        <v>2010</v>
      </c>
      <c r="J25" s="5">
        <v>0.04</v>
      </c>
      <c r="K25" s="6">
        <v>0.77</v>
      </c>
      <c r="L25" s="6">
        <v>0.97</v>
      </c>
      <c r="M25" s="4">
        <v>1</v>
      </c>
      <c r="N25" s="4">
        <v>0</v>
      </c>
      <c r="O25" s="6">
        <v>0.04</v>
      </c>
      <c r="P25" s="6">
        <v>0.77</v>
      </c>
      <c r="Q25" s="6">
        <v>0.97</v>
      </c>
      <c r="R25" s="4">
        <v>1</v>
      </c>
    </row>
    <row r="26" spans="1:18" x14ac:dyDescent="0.25">
      <c r="A26" s="4">
        <v>2011</v>
      </c>
      <c r="B26" s="4">
        <v>0</v>
      </c>
      <c r="C26" s="6">
        <v>0.04</v>
      </c>
      <c r="D26" s="6">
        <v>0.77</v>
      </c>
      <c r="E26" s="6">
        <v>0.97</v>
      </c>
      <c r="F26" s="4">
        <v>1</v>
      </c>
      <c r="I26" s="4">
        <v>2011</v>
      </c>
      <c r="J26" s="5">
        <v>0.04</v>
      </c>
      <c r="K26" s="6">
        <v>0.77</v>
      </c>
      <c r="L26" s="6">
        <v>0.97</v>
      </c>
      <c r="M26" s="4">
        <v>1</v>
      </c>
      <c r="N26" s="4">
        <v>0</v>
      </c>
      <c r="O26" s="6">
        <v>0.04</v>
      </c>
      <c r="P26" s="6">
        <v>0.77</v>
      </c>
      <c r="Q26" s="6">
        <v>0.97</v>
      </c>
      <c r="R26" s="4">
        <v>1</v>
      </c>
    </row>
    <row r="27" spans="1:18" x14ac:dyDescent="0.25">
      <c r="A27" s="4">
        <v>2012</v>
      </c>
      <c r="B27" s="4">
        <v>0</v>
      </c>
      <c r="C27" s="6">
        <v>0.04</v>
      </c>
      <c r="D27" s="6">
        <v>0.65</v>
      </c>
      <c r="E27" s="6">
        <v>0.97</v>
      </c>
      <c r="F27" s="4">
        <v>1</v>
      </c>
      <c r="I27" s="4">
        <v>2012</v>
      </c>
      <c r="J27" s="5">
        <v>0.04</v>
      </c>
      <c r="K27" s="6">
        <v>0.65</v>
      </c>
      <c r="L27" s="6">
        <v>0.97</v>
      </c>
      <c r="M27" s="4">
        <v>1</v>
      </c>
      <c r="N27" s="4">
        <v>0</v>
      </c>
      <c r="O27" s="6">
        <v>0.04</v>
      </c>
      <c r="P27" s="6">
        <v>0.65</v>
      </c>
      <c r="Q27" s="6">
        <v>0.97</v>
      </c>
      <c r="R27" s="4">
        <v>1</v>
      </c>
    </row>
    <row r="28" spans="1:18" x14ac:dyDescent="0.25">
      <c r="A28" s="4">
        <v>2013</v>
      </c>
      <c r="B28" s="4">
        <v>0</v>
      </c>
      <c r="C28" s="6">
        <v>0.03</v>
      </c>
      <c r="D28" s="6">
        <v>0.7</v>
      </c>
      <c r="E28" s="6">
        <v>0.99</v>
      </c>
      <c r="F28" s="4">
        <v>1</v>
      </c>
      <c r="I28" s="4">
        <v>2013</v>
      </c>
      <c r="J28" s="5">
        <v>0.03</v>
      </c>
      <c r="K28" s="6">
        <v>0.7</v>
      </c>
      <c r="L28" s="6">
        <v>0.99</v>
      </c>
      <c r="M28" s="4">
        <v>1</v>
      </c>
      <c r="N28" s="4">
        <v>0</v>
      </c>
      <c r="O28" s="6">
        <v>0.03</v>
      </c>
      <c r="P28" s="6">
        <v>0.7</v>
      </c>
      <c r="Q28" s="6">
        <v>0.99</v>
      </c>
      <c r="R28" s="4">
        <v>1</v>
      </c>
    </row>
    <row r="29" spans="1:18" x14ac:dyDescent="0.25">
      <c r="A29" s="7">
        <v>2014</v>
      </c>
      <c r="B29" s="7">
        <v>0</v>
      </c>
      <c r="C29" s="9">
        <v>0.03</v>
      </c>
      <c r="D29" s="9">
        <v>0.78</v>
      </c>
      <c r="E29" s="9">
        <v>0.99</v>
      </c>
      <c r="F29" s="7">
        <v>1</v>
      </c>
      <c r="I29" s="7">
        <v>2014</v>
      </c>
      <c r="J29" s="8">
        <v>0.03</v>
      </c>
      <c r="K29" s="9">
        <v>0.78</v>
      </c>
      <c r="L29" s="9">
        <v>0.99</v>
      </c>
      <c r="M29" s="7">
        <v>1</v>
      </c>
      <c r="N29" s="7">
        <v>0</v>
      </c>
      <c r="O29" s="9">
        <v>0.03</v>
      </c>
      <c r="P29" s="9">
        <v>0.78</v>
      </c>
      <c r="Q29" s="9">
        <v>0.99</v>
      </c>
      <c r="R29" s="7">
        <v>1</v>
      </c>
    </row>
    <row r="30" spans="1:18" x14ac:dyDescent="0.25">
      <c r="A30" s="1">
        <v>2015</v>
      </c>
      <c r="B30" s="1">
        <v>0</v>
      </c>
      <c r="C30" s="3">
        <v>0.03</v>
      </c>
      <c r="D30" s="3">
        <v>0.78</v>
      </c>
      <c r="E30" s="3">
        <v>0.99</v>
      </c>
      <c r="F30" s="1">
        <v>1</v>
      </c>
      <c r="I30" s="1">
        <v>2015</v>
      </c>
      <c r="J30" s="2">
        <v>0.03</v>
      </c>
      <c r="K30" s="3">
        <v>0.78</v>
      </c>
      <c r="L30" s="3">
        <v>0.99</v>
      </c>
      <c r="M30" s="1">
        <v>1</v>
      </c>
      <c r="N30" s="1">
        <v>0</v>
      </c>
      <c r="O30" s="3">
        <v>0.03</v>
      </c>
      <c r="P30" s="3">
        <v>0.78</v>
      </c>
      <c r="Q30" s="3">
        <v>0.99</v>
      </c>
      <c r="R30" s="1">
        <v>1</v>
      </c>
    </row>
    <row r="31" spans="1:18" x14ac:dyDescent="0.25">
      <c r="A31" s="4">
        <v>2016</v>
      </c>
      <c r="B31" s="4">
        <v>0</v>
      </c>
      <c r="C31" s="6">
        <v>0.02</v>
      </c>
      <c r="D31" s="6">
        <v>0.73</v>
      </c>
      <c r="E31" s="6">
        <v>0.99</v>
      </c>
      <c r="F31" s="4">
        <v>1</v>
      </c>
      <c r="I31" s="4">
        <v>2016</v>
      </c>
      <c r="J31" s="5">
        <v>0.02</v>
      </c>
      <c r="K31" s="6">
        <v>0.73</v>
      </c>
      <c r="L31" s="6">
        <v>0.99</v>
      </c>
      <c r="M31" s="4">
        <v>1</v>
      </c>
      <c r="N31" s="4">
        <v>0</v>
      </c>
      <c r="O31" s="6">
        <v>0.02</v>
      </c>
      <c r="P31" s="6">
        <v>0.73</v>
      </c>
      <c r="Q31" s="6">
        <v>0.99</v>
      </c>
      <c r="R31" s="4">
        <v>1</v>
      </c>
    </row>
    <row r="32" spans="1:18" x14ac:dyDescent="0.25">
      <c r="A32" s="4">
        <v>2017</v>
      </c>
      <c r="B32" s="4">
        <v>0</v>
      </c>
      <c r="C32" s="6">
        <v>0.02</v>
      </c>
      <c r="D32" s="6">
        <v>0.7</v>
      </c>
      <c r="E32" s="6">
        <v>0.97</v>
      </c>
      <c r="F32" s="4">
        <v>1</v>
      </c>
      <c r="I32" s="4">
        <v>2017</v>
      </c>
      <c r="J32" s="5">
        <v>0.02</v>
      </c>
      <c r="K32" s="6">
        <v>0.7</v>
      </c>
      <c r="L32" s="6">
        <v>0.97</v>
      </c>
      <c r="M32" s="4">
        <v>1</v>
      </c>
      <c r="N32" s="4">
        <v>0</v>
      </c>
      <c r="O32" s="6">
        <v>0.02</v>
      </c>
      <c r="P32" s="6">
        <v>0.7</v>
      </c>
      <c r="Q32" s="6">
        <v>0.97</v>
      </c>
      <c r="R32" s="4">
        <v>1</v>
      </c>
    </row>
    <row r="33" spans="1:18" x14ac:dyDescent="0.25">
      <c r="A33" s="4">
        <v>2018</v>
      </c>
      <c r="B33" s="4">
        <v>0</v>
      </c>
      <c r="C33" s="6">
        <v>0.02</v>
      </c>
      <c r="D33" s="6">
        <v>0.71</v>
      </c>
      <c r="E33" s="6">
        <v>0.95</v>
      </c>
      <c r="F33" s="4">
        <v>1</v>
      </c>
      <c r="I33" s="4">
        <v>2018</v>
      </c>
      <c r="J33" s="5">
        <v>0.02</v>
      </c>
      <c r="K33" s="6">
        <v>0.71</v>
      </c>
      <c r="L33" s="6">
        <v>0.95</v>
      </c>
      <c r="M33" s="4">
        <v>1</v>
      </c>
      <c r="N33" s="4">
        <v>0</v>
      </c>
      <c r="O33" s="6">
        <v>0.02</v>
      </c>
      <c r="P33" s="6">
        <v>0.71</v>
      </c>
      <c r="Q33" s="6">
        <v>0.95</v>
      </c>
      <c r="R33" s="4">
        <v>1</v>
      </c>
    </row>
    <row r="34" spans="1:18" x14ac:dyDescent="0.25">
      <c r="A34" s="4">
        <v>2019</v>
      </c>
      <c r="B34" s="4">
        <v>0</v>
      </c>
      <c r="C34" s="6">
        <v>0.03</v>
      </c>
      <c r="D34" s="6">
        <v>0.66</v>
      </c>
      <c r="E34" s="6">
        <v>0.93</v>
      </c>
      <c r="F34" s="4">
        <v>1</v>
      </c>
      <c r="I34" s="4">
        <v>2019</v>
      </c>
      <c r="J34" s="5">
        <v>0.03</v>
      </c>
      <c r="K34" s="6">
        <v>0.66</v>
      </c>
      <c r="L34" s="6">
        <v>0.93</v>
      </c>
      <c r="M34" s="4">
        <v>1</v>
      </c>
      <c r="N34" s="4">
        <v>0</v>
      </c>
      <c r="O34" s="6">
        <v>0.03</v>
      </c>
      <c r="P34" s="6">
        <v>0.66</v>
      </c>
      <c r="Q34" s="6">
        <v>0.93</v>
      </c>
      <c r="R34" s="4">
        <v>1</v>
      </c>
    </row>
    <row r="35" spans="1:18" x14ac:dyDescent="0.25">
      <c r="A35" s="4">
        <v>2020</v>
      </c>
      <c r="B35" s="4">
        <v>0</v>
      </c>
      <c r="C35" s="6">
        <v>0.05</v>
      </c>
      <c r="D35" s="6">
        <v>0.68</v>
      </c>
      <c r="E35" s="6">
        <v>0.93</v>
      </c>
      <c r="F35" s="4">
        <v>1</v>
      </c>
      <c r="I35" s="4">
        <v>2020</v>
      </c>
      <c r="J35" s="5">
        <v>0.05</v>
      </c>
      <c r="K35" s="6">
        <v>0.68</v>
      </c>
      <c r="L35" s="6">
        <v>0.93</v>
      </c>
      <c r="M35" s="4">
        <v>1</v>
      </c>
      <c r="N35" s="4">
        <v>0</v>
      </c>
      <c r="O35" s="6">
        <v>0.05</v>
      </c>
      <c r="P35" s="6">
        <v>0.68</v>
      </c>
      <c r="Q35" s="6">
        <v>0.93</v>
      </c>
      <c r="R35" s="4">
        <v>1</v>
      </c>
    </row>
    <row r="36" spans="1:18" x14ac:dyDescent="0.25">
      <c r="A36" s="4">
        <v>2021</v>
      </c>
      <c r="B36" s="4">
        <v>0</v>
      </c>
      <c r="C36" s="6">
        <v>0.05</v>
      </c>
      <c r="D36" s="6">
        <v>0.68</v>
      </c>
      <c r="E36" s="6">
        <v>0.93</v>
      </c>
      <c r="F36" s="4">
        <v>1</v>
      </c>
      <c r="I36" s="4">
        <v>2021</v>
      </c>
      <c r="J36" s="5">
        <v>0.05</v>
      </c>
      <c r="K36" s="6">
        <v>0.68</v>
      </c>
      <c r="L36" s="6">
        <v>0.93</v>
      </c>
      <c r="M36" s="4">
        <v>1</v>
      </c>
      <c r="N36" s="4">
        <v>0</v>
      </c>
      <c r="O36" s="6">
        <v>0.05</v>
      </c>
      <c r="P36" s="6">
        <v>0.68</v>
      </c>
      <c r="Q36" s="6">
        <v>0.93</v>
      </c>
      <c r="R36" s="4">
        <v>1</v>
      </c>
    </row>
    <row r="37" spans="1:18" x14ac:dyDescent="0.25">
      <c r="A37" s="4">
        <v>2022</v>
      </c>
      <c r="B37" s="4">
        <v>0</v>
      </c>
      <c r="C37" s="6">
        <v>0.05</v>
      </c>
      <c r="D37" s="6">
        <v>0.75</v>
      </c>
      <c r="E37" s="6">
        <v>0.94</v>
      </c>
      <c r="F37" s="4">
        <v>1</v>
      </c>
      <c r="I37" s="4">
        <v>2022</v>
      </c>
      <c r="J37" s="5">
        <v>0.05</v>
      </c>
      <c r="K37" s="6">
        <v>0.75</v>
      </c>
      <c r="L37" s="6">
        <v>0.94</v>
      </c>
      <c r="M37" s="4">
        <v>1</v>
      </c>
      <c r="N37" s="4">
        <v>0</v>
      </c>
      <c r="O37" s="6">
        <v>0.05</v>
      </c>
      <c r="P37" s="6">
        <v>0.75</v>
      </c>
      <c r="Q37" s="6">
        <v>0.94</v>
      </c>
      <c r="R37" s="4">
        <v>1</v>
      </c>
    </row>
    <row r="38" spans="1:18" x14ac:dyDescent="0.25">
      <c r="A38" s="4">
        <v>2023</v>
      </c>
      <c r="B38" s="4">
        <v>0</v>
      </c>
      <c r="C38" s="6">
        <v>0.05</v>
      </c>
      <c r="D38" s="6">
        <v>0.78</v>
      </c>
      <c r="E38" s="6">
        <v>0.95</v>
      </c>
      <c r="F38" s="4">
        <v>1</v>
      </c>
      <c r="I38" s="4">
        <v>2023</v>
      </c>
      <c r="J38" s="5">
        <v>0.05</v>
      </c>
      <c r="K38" s="6">
        <v>0.78</v>
      </c>
      <c r="L38" s="6">
        <v>0.95</v>
      </c>
      <c r="M38" s="4">
        <v>1</v>
      </c>
      <c r="N38" s="4">
        <v>0</v>
      </c>
      <c r="O38" s="6">
        <v>0.05</v>
      </c>
      <c r="P38" s="6">
        <v>0.78</v>
      </c>
      <c r="Q38" s="6">
        <v>0.95</v>
      </c>
      <c r="R38" s="4">
        <v>1</v>
      </c>
    </row>
    <row r="39" spans="1:18" x14ac:dyDescent="0.25">
      <c r="A39" s="4">
        <v>2024</v>
      </c>
      <c r="B39" s="4">
        <v>0</v>
      </c>
      <c r="C39" s="6">
        <v>7.0000000000000007E-2</v>
      </c>
      <c r="D39" s="6">
        <v>0.84</v>
      </c>
      <c r="E39" s="6">
        <v>0.98</v>
      </c>
      <c r="F39" s="4">
        <v>1</v>
      </c>
      <c r="I39" s="4">
        <v>2024</v>
      </c>
      <c r="J39" s="5">
        <v>7.0000000000000007E-2</v>
      </c>
      <c r="K39" s="6">
        <v>0.84</v>
      </c>
      <c r="L39" s="6">
        <v>0.98</v>
      </c>
      <c r="M39" s="4">
        <v>1</v>
      </c>
      <c r="N39" s="4">
        <v>0</v>
      </c>
      <c r="O39" s="6">
        <v>7.0000000000000007E-2</v>
      </c>
      <c r="P39" s="6">
        <v>0.84</v>
      </c>
      <c r="Q39" s="6">
        <v>0.98</v>
      </c>
      <c r="R39" s="4">
        <v>1</v>
      </c>
    </row>
    <row r="40" spans="1:18" x14ac:dyDescent="0.25">
      <c r="A40" s="7">
        <v>2025</v>
      </c>
      <c r="B40" s="7">
        <v>0</v>
      </c>
      <c r="C40" s="9">
        <v>7.0000000000000007E-2</v>
      </c>
      <c r="D40" s="9">
        <v>0.84</v>
      </c>
      <c r="E40" s="9">
        <v>0.98</v>
      </c>
      <c r="F40" s="7">
        <v>1</v>
      </c>
      <c r="I40" s="7">
        <v>2025</v>
      </c>
      <c r="J40" s="8">
        <v>7.0000000000000007E-2</v>
      </c>
      <c r="K40" s="9">
        <v>0.84</v>
      </c>
      <c r="L40" s="9">
        <v>0.98</v>
      </c>
      <c r="M40" s="7">
        <v>1</v>
      </c>
      <c r="N40" s="7">
        <v>0</v>
      </c>
      <c r="O40" s="9">
        <v>7.0000000000000007E-2</v>
      </c>
      <c r="P40" s="9">
        <v>0.84</v>
      </c>
      <c r="Q40" s="9">
        <v>0.98</v>
      </c>
      <c r="R40" s="7">
        <v>1</v>
      </c>
    </row>
    <row r="41" spans="1:18" x14ac:dyDescent="0.25">
      <c r="A41" s="4"/>
      <c r="B41" s="4"/>
      <c r="C41" s="6"/>
      <c r="D41" s="6"/>
      <c r="E41" s="6"/>
      <c r="F41" s="6"/>
      <c r="I41" s="4"/>
      <c r="J41" s="5"/>
      <c r="K41" s="6"/>
      <c r="L41" s="6"/>
      <c r="M41" s="6"/>
      <c r="N41" s="4"/>
      <c r="O41" s="6"/>
      <c r="P41" s="6"/>
      <c r="Q41" s="6"/>
      <c r="R41" s="6"/>
    </row>
    <row r="42" spans="1:18" x14ac:dyDescent="0.25">
      <c r="A42" s="4"/>
      <c r="B42" s="4"/>
      <c r="C42" s="6"/>
      <c r="D42" s="6"/>
      <c r="E42" s="6"/>
      <c r="F42" s="6"/>
      <c r="I42" s="4"/>
      <c r="J42" s="5"/>
      <c r="K42" s="6"/>
      <c r="L42" s="6"/>
      <c r="M42" s="6"/>
      <c r="N42" s="4"/>
      <c r="O42" s="6"/>
      <c r="P42" s="6"/>
      <c r="Q42" s="6"/>
      <c r="R42" s="6"/>
    </row>
    <row r="43" spans="1:18" x14ac:dyDescent="0.25">
      <c r="A43" s="4"/>
      <c r="B43" s="4"/>
      <c r="C43" s="6"/>
      <c r="D43" s="6"/>
      <c r="E43" s="6"/>
      <c r="F43" s="6"/>
      <c r="I43" s="4"/>
      <c r="J43" s="5"/>
      <c r="K43" s="6"/>
      <c r="L43" s="6"/>
      <c r="M43" s="6"/>
      <c r="N43" s="4"/>
      <c r="O43" s="6"/>
      <c r="P43" s="6"/>
      <c r="Q43" s="6"/>
      <c r="R43" s="6"/>
    </row>
    <row r="44" spans="1:18" x14ac:dyDescent="0.25">
      <c r="A44" s="7"/>
      <c r="B44" s="7"/>
      <c r="C44" s="9"/>
      <c r="D44" s="9"/>
      <c r="E44" s="9"/>
      <c r="F44" s="9"/>
      <c r="I44" s="7"/>
      <c r="J44" s="8"/>
      <c r="K44" s="9"/>
      <c r="L44" s="9"/>
      <c r="M44" s="9"/>
      <c r="N44" s="7"/>
      <c r="O44" s="9"/>
      <c r="P44" s="9"/>
      <c r="Q44" s="9"/>
      <c r="R44" s="9"/>
    </row>
    <row r="45" spans="1:18" x14ac:dyDescent="0.25">
      <c r="A45" s="1"/>
      <c r="B45" s="2"/>
      <c r="C45" s="3"/>
      <c r="D45" s="3"/>
      <c r="E45" s="3"/>
      <c r="F45" s="1"/>
    </row>
    <row r="46" spans="1:18" x14ac:dyDescent="0.25">
      <c r="A46" s="4"/>
      <c r="B46" s="5"/>
      <c r="C46" s="6"/>
      <c r="D46" s="6"/>
      <c r="E46" s="6"/>
      <c r="F46" s="4"/>
    </row>
    <row r="47" spans="1:18" x14ac:dyDescent="0.25">
      <c r="A47" s="4"/>
      <c r="B47" s="5"/>
      <c r="C47" s="6"/>
      <c r="D47" s="6"/>
      <c r="E47" s="6"/>
      <c r="F47" s="4"/>
    </row>
    <row r="48" spans="1:18" x14ac:dyDescent="0.25">
      <c r="A48" s="4"/>
      <c r="B48" s="5"/>
      <c r="C48" s="6"/>
      <c r="D48" s="6"/>
      <c r="E48" s="6"/>
      <c r="F48" s="4"/>
    </row>
    <row r="49" spans="1:6" x14ac:dyDescent="0.25">
      <c r="A49" s="4"/>
      <c r="B49" s="5"/>
      <c r="C49" s="6"/>
      <c r="D49" s="6"/>
      <c r="E49" s="6"/>
      <c r="F49" s="4"/>
    </row>
    <row r="50" spans="1:6" x14ac:dyDescent="0.25">
      <c r="A50" s="4"/>
      <c r="B50" s="5"/>
      <c r="C50" s="6"/>
      <c r="D50" s="6"/>
      <c r="E50" s="6"/>
      <c r="F50" s="4"/>
    </row>
    <row r="51" spans="1:6" x14ac:dyDescent="0.25">
      <c r="A51" s="4"/>
      <c r="B51" s="5"/>
      <c r="C51" s="6"/>
      <c r="D51" s="6"/>
      <c r="E51" s="6"/>
      <c r="F51" s="4"/>
    </row>
    <row r="52" spans="1:6" x14ac:dyDescent="0.25">
      <c r="A52" s="4"/>
      <c r="B52" s="5"/>
      <c r="C52" s="6"/>
      <c r="D52" s="6"/>
      <c r="E52" s="6"/>
      <c r="F52" s="4"/>
    </row>
    <row r="53" spans="1:6" x14ac:dyDescent="0.25">
      <c r="A53" s="4"/>
      <c r="B53" s="5"/>
      <c r="C53" s="6"/>
      <c r="D53" s="6"/>
      <c r="E53" s="6"/>
      <c r="F53" s="4"/>
    </row>
    <row r="54" spans="1:6" x14ac:dyDescent="0.25">
      <c r="A54" s="4"/>
      <c r="B54" s="5"/>
      <c r="C54" s="6"/>
      <c r="D54" s="6"/>
      <c r="E54" s="6"/>
      <c r="F54" s="4"/>
    </row>
    <row r="55" spans="1:6" x14ac:dyDescent="0.25">
      <c r="A55" s="4"/>
      <c r="B55" s="5"/>
      <c r="C55" s="6"/>
      <c r="D55" s="6"/>
      <c r="E55" s="6"/>
      <c r="F55" s="4"/>
    </row>
    <row r="56" spans="1:6" x14ac:dyDescent="0.25">
      <c r="A56" s="4"/>
      <c r="B56" s="5"/>
      <c r="C56" s="6"/>
      <c r="D56" s="6"/>
      <c r="E56" s="6"/>
      <c r="F56" s="4"/>
    </row>
    <row r="57" spans="1:6" x14ac:dyDescent="0.25">
      <c r="A57" s="4"/>
      <c r="B57" s="5"/>
      <c r="C57" s="6"/>
      <c r="D57" s="6"/>
      <c r="E57" s="6"/>
      <c r="F57" s="4"/>
    </row>
    <row r="58" spans="1:6" x14ac:dyDescent="0.25">
      <c r="A58" s="4"/>
      <c r="B58" s="5"/>
      <c r="C58" s="6"/>
      <c r="D58" s="6"/>
      <c r="E58" s="6"/>
      <c r="F58" s="4"/>
    </row>
    <row r="59" spans="1:6" x14ac:dyDescent="0.25">
      <c r="A59" s="7"/>
      <c r="B59" s="8"/>
      <c r="C59" s="9"/>
      <c r="D59" s="9"/>
      <c r="E59" s="9"/>
      <c r="F59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ABBE-B873-4149-86CD-7BD60E853696}">
  <dimension ref="A1:U44"/>
  <sheetViews>
    <sheetView workbookViewId="0">
      <selection activeCell="B2" sqref="B2:F33"/>
    </sheetView>
  </sheetViews>
  <sheetFormatPr defaultRowHeight="15" x14ac:dyDescent="0.25"/>
  <sheetData>
    <row r="1" spans="1:21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</row>
    <row r="2" spans="1:21" x14ac:dyDescent="0.25">
      <c r="A2" s="1">
        <v>1993</v>
      </c>
      <c r="B2" s="3">
        <v>0.99</v>
      </c>
      <c r="C2" s="3">
        <v>0.74</v>
      </c>
      <c r="D2" s="3">
        <v>0.46</v>
      </c>
      <c r="E2" s="3">
        <v>0.46</v>
      </c>
      <c r="F2" s="3">
        <v>0.44</v>
      </c>
      <c r="G2" s="10"/>
      <c r="K2" s="12"/>
      <c r="L2" s="1">
        <v>1993</v>
      </c>
      <c r="M2" s="2">
        <v>0.61</v>
      </c>
      <c r="N2" s="3">
        <v>0.49</v>
      </c>
      <c r="O2" s="26">
        <v>0.4</v>
      </c>
      <c r="P2" s="3">
        <v>0.36</v>
      </c>
      <c r="Q2" s="3">
        <v>0.99</v>
      </c>
      <c r="R2" s="3">
        <v>0.74</v>
      </c>
      <c r="S2" s="3">
        <v>0.46</v>
      </c>
      <c r="T2" s="3">
        <v>0.46</v>
      </c>
      <c r="U2" s="3">
        <v>0.44</v>
      </c>
    </row>
    <row r="3" spans="1:21" x14ac:dyDescent="0.25">
      <c r="A3" s="4">
        <v>1994</v>
      </c>
      <c r="B3" s="6">
        <v>0.99</v>
      </c>
      <c r="C3" s="6">
        <v>0.74</v>
      </c>
      <c r="D3" s="6">
        <v>0.46</v>
      </c>
      <c r="E3" s="6">
        <v>0.46</v>
      </c>
      <c r="F3" s="6">
        <v>0.44</v>
      </c>
      <c r="K3" s="12"/>
      <c r="L3" s="4">
        <v>1994</v>
      </c>
      <c r="M3" s="5">
        <v>0.61</v>
      </c>
      <c r="N3" s="6">
        <v>0.49</v>
      </c>
      <c r="O3" s="27">
        <v>0.4</v>
      </c>
      <c r="P3" s="6">
        <v>0.36</v>
      </c>
      <c r="Q3" s="6">
        <v>0.99</v>
      </c>
      <c r="R3" s="6">
        <v>0.74</v>
      </c>
      <c r="S3" s="6">
        <v>0.46</v>
      </c>
      <c r="T3" s="6">
        <v>0.46</v>
      </c>
      <c r="U3" s="6">
        <v>0.44</v>
      </c>
    </row>
    <row r="4" spans="1:21" x14ac:dyDescent="0.25">
      <c r="A4" s="4">
        <v>1995</v>
      </c>
      <c r="B4" s="6">
        <v>0.99</v>
      </c>
      <c r="C4" s="6">
        <v>0.74</v>
      </c>
      <c r="D4" s="6">
        <v>0.46</v>
      </c>
      <c r="E4" s="6">
        <v>0.46</v>
      </c>
      <c r="F4" s="6">
        <v>0.44</v>
      </c>
      <c r="K4" s="12"/>
      <c r="L4" s="4">
        <v>1995</v>
      </c>
      <c r="M4" s="5">
        <v>0.61</v>
      </c>
      <c r="N4" s="6">
        <v>0.49</v>
      </c>
      <c r="O4" s="27">
        <v>0.4</v>
      </c>
      <c r="P4" s="6">
        <v>0.36</v>
      </c>
      <c r="Q4" s="6">
        <v>0.99</v>
      </c>
      <c r="R4" s="6">
        <v>0.74</v>
      </c>
      <c r="S4" s="6">
        <v>0.46</v>
      </c>
      <c r="T4" s="6">
        <v>0.46</v>
      </c>
      <c r="U4" s="6">
        <v>0.44</v>
      </c>
    </row>
    <row r="5" spans="1:21" x14ac:dyDescent="0.25">
      <c r="A5" s="4">
        <v>1996</v>
      </c>
      <c r="B5" s="6">
        <v>0.99</v>
      </c>
      <c r="C5" s="6">
        <v>0.74</v>
      </c>
      <c r="D5" s="6">
        <v>0.46</v>
      </c>
      <c r="E5" s="6">
        <v>0.46</v>
      </c>
      <c r="F5" s="6">
        <v>0.44</v>
      </c>
      <c r="K5" s="12"/>
      <c r="L5" s="4">
        <v>1996</v>
      </c>
      <c r="M5" s="5">
        <v>0.61</v>
      </c>
      <c r="N5" s="6">
        <v>0.49</v>
      </c>
      <c r="O5" s="27">
        <v>0.4</v>
      </c>
      <c r="P5" s="6">
        <v>0.36</v>
      </c>
      <c r="Q5" s="6">
        <v>0.99</v>
      </c>
      <c r="R5" s="6">
        <v>0.74</v>
      </c>
      <c r="S5" s="6">
        <v>0.46</v>
      </c>
      <c r="T5" s="6">
        <v>0.46</v>
      </c>
      <c r="U5" s="6">
        <v>0.44</v>
      </c>
    </row>
    <row r="6" spans="1:21" x14ac:dyDescent="0.25">
      <c r="A6" s="4">
        <v>1997</v>
      </c>
      <c r="B6" s="6">
        <v>0.99</v>
      </c>
      <c r="C6" s="6">
        <v>0.74</v>
      </c>
      <c r="D6" s="6">
        <v>0.46</v>
      </c>
      <c r="E6" s="6">
        <v>0.46</v>
      </c>
      <c r="F6" s="6">
        <v>0.44</v>
      </c>
      <c r="K6" s="12"/>
      <c r="L6" s="4">
        <v>1997</v>
      </c>
      <c r="M6" s="5">
        <v>0.61</v>
      </c>
      <c r="N6" s="6">
        <v>0.49</v>
      </c>
      <c r="O6" s="27">
        <v>0.4</v>
      </c>
      <c r="P6" s="6">
        <v>0.36</v>
      </c>
      <c r="Q6" s="6">
        <v>0.99</v>
      </c>
      <c r="R6" s="6">
        <v>0.74</v>
      </c>
      <c r="S6" s="6">
        <v>0.46</v>
      </c>
      <c r="T6" s="6">
        <v>0.46</v>
      </c>
      <c r="U6" s="6">
        <v>0.44</v>
      </c>
    </row>
    <row r="7" spans="1:21" x14ac:dyDescent="0.25">
      <c r="A7" s="4">
        <v>1998</v>
      </c>
      <c r="B7" s="6">
        <v>0.99</v>
      </c>
      <c r="C7" s="6">
        <v>0.74</v>
      </c>
      <c r="D7" s="6">
        <v>0.46</v>
      </c>
      <c r="E7" s="6">
        <v>0.46</v>
      </c>
      <c r="F7" s="6">
        <v>0.44</v>
      </c>
      <c r="K7" s="12"/>
      <c r="L7" s="4">
        <v>1998</v>
      </c>
      <c r="M7" s="5">
        <v>0.61</v>
      </c>
      <c r="N7" s="6">
        <v>0.49</v>
      </c>
      <c r="O7" s="27">
        <v>0.4</v>
      </c>
      <c r="P7" s="6">
        <v>0.36</v>
      </c>
      <c r="Q7" s="6">
        <v>0.99</v>
      </c>
      <c r="R7" s="6">
        <v>0.74</v>
      </c>
      <c r="S7" s="6">
        <v>0.46</v>
      </c>
      <c r="T7" s="6">
        <v>0.46</v>
      </c>
      <c r="U7" s="6">
        <v>0.44</v>
      </c>
    </row>
    <row r="8" spans="1:21" x14ac:dyDescent="0.25">
      <c r="A8" s="4">
        <v>1999</v>
      </c>
      <c r="B8" s="6">
        <v>0.99</v>
      </c>
      <c r="C8" s="6">
        <v>0.74</v>
      </c>
      <c r="D8" s="6">
        <v>0.46</v>
      </c>
      <c r="E8" s="6">
        <v>0.46</v>
      </c>
      <c r="F8" s="6">
        <v>0.44</v>
      </c>
      <c r="K8" s="12"/>
      <c r="L8" s="4">
        <v>1999</v>
      </c>
      <c r="M8" s="5">
        <v>0.61</v>
      </c>
      <c r="N8" s="6">
        <v>0.49</v>
      </c>
      <c r="O8" s="27">
        <v>0.4</v>
      </c>
      <c r="P8" s="6">
        <v>0.36</v>
      </c>
      <c r="Q8" s="6">
        <v>0.99</v>
      </c>
      <c r="R8" s="6">
        <v>0.74</v>
      </c>
      <c r="S8" s="6">
        <v>0.46</v>
      </c>
      <c r="T8" s="6">
        <v>0.46</v>
      </c>
      <c r="U8" s="6">
        <v>0.44</v>
      </c>
    </row>
    <row r="9" spans="1:21" x14ac:dyDescent="0.25">
      <c r="A9" s="4">
        <v>2000</v>
      </c>
      <c r="B9" s="6">
        <v>0.99</v>
      </c>
      <c r="C9" s="6">
        <v>0.74</v>
      </c>
      <c r="D9" s="6">
        <v>0.46</v>
      </c>
      <c r="E9" s="6">
        <v>0.46</v>
      </c>
      <c r="F9" s="6">
        <v>0.44</v>
      </c>
      <c r="K9" s="12"/>
      <c r="L9" s="4">
        <v>2000</v>
      </c>
      <c r="M9" s="5">
        <v>0.61</v>
      </c>
      <c r="N9" s="6">
        <v>0.49</v>
      </c>
      <c r="O9" s="27">
        <v>0.4</v>
      </c>
      <c r="P9" s="6">
        <v>0.36</v>
      </c>
      <c r="Q9" s="6">
        <v>0.99</v>
      </c>
      <c r="R9" s="6">
        <v>0.74</v>
      </c>
      <c r="S9" s="6">
        <v>0.46</v>
      </c>
      <c r="T9" s="6">
        <v>0.46</v>
      </c>
      <c r="U9" s="6">
        <v>0.44</v>
      </c>
    </row>
    <row r="10" spans="1:21" x14ac:dyDescent="0.25">
      <c r="A10" s="4">
        <v>2001</v>
      </c>
      <c r="B10" s="6">
        <v>0.99</v>
      </c>
      <c r="C10" s="6">
        <v>0.74</v>
      </c>
      <c r="D10" s="6">
        <v>0.46</v>
      </c>
      <c r="E10" s="6">
        <v>0.46</v>
      </c>
      <c r="F10" s="6">
        <v>0.44</v>
      </c>
      <c r="K10" s="12"/>
      <c r="L10" s="4">
        <v>2001</v>
      </c>
      <c r="M10" s="5">
        <v>0.61</v>
      </c>
      <c r="N10" s="6">
        <v>0.49</v>
      </c>
      <c r="O10" s="27">
        <v>0.4</v>
      </c>
      <c r="P10" s="6">
        <v>0.36</v>
      </c>
      <c r="Q10" s="6">
        <v>0.99</v>
      </c>
      <c r="R10" s="6">
        <v>0.74</v>
      </c>
      <c r="S10" s="6">
        <v>0.46</v>
      </c>
      <c r="T10" s="6">
        <v>0.46</v>
      </c>
      <c r="U10" s="6">
        <v>0.44</v>
      </c>
    </row>
    <row r="11" spans="1:21" x14ac:dyDescent="0.25">
      <c r="A11" s="4">
        <v>2002</v>
      </c>
      <c r="B11" s="6">
        <v>0.99</v>
      </c>
      <c r="C11" s="6">
        <v>0.74</v>
      </c>
      <c r="D11" s="6">
        <v>0.46</v>
      </c>
      <c r="E11" s="6">
        <v>0.46</v>
      </c>
      <c r="F11" s="6">
        <v>0.44</v>
      </c>
      <c r="K11" s="12"/>
      <c r="L11" s="4">
        <v>2002</v>
      </c>
      <c r="M11" s="5">
        <v>0.61</v>
      </c>
      <c r="N11" s="6">
        <v>0.49</v>
      </c>
      <c r="O11" s="27">
        <v>0.4</v>
      </c>
      <c r="P11" s="6">
        <v>0.36</v>
      </c>
      <c r="Q11" s="6">
        <v>0.99</v>
      </c>
      <c r="R11" s="6">
        <v>0.74</v>
      </c>
      <c r="S11" s="6">
        <v>0.46</v>
      </c>
      <c r="T11" s="6">
        <v>0.46</v>
      </c>
      <c r="U11" s="6">
        <v>0.44</v>
      </c>
    </row>
    <row r="12" spans="1:21" x14ac:dyDescent="0.25">
      <c r="A12" s="4">
        <v>2003</v>
      </c>
      <c r="B12" s="6">
        <v>0.99</v>
      </c>
      <c r="C12" s="6">
        <v>0.74</v>
      </c>
      <c r="D12" s="6">
        <v>0.46</v>
      </c>
      <c r="E12" s="6">
        <v>0.46</v>
      </c>
      <c r="F12" s="6">
        <v>0.44</v>
      </c>
      <c r="K12" s="12"/>
      <c r="L12" s="4">
        <v>2003</v>
      </c>
      <c r="M12" s="5">
        <v>0.61</v>
      </c>
      <c r="N12" s="6">
        <v>0.49</v>
      </c>
      <c r="O12" s="27">
        <v>0.4</v>
      </c>
      <c r="P12" s="6">
        <v>0.36</v>
      </c>
      <c r="Q12" s="6">
        <v>0.99</v>
      </c>
      <c r="R12" s="6">
        <v>0.74</v>
      </c>
      <c r="S12" s="6">
        <v>0.46</v>
      </c>
      <c r="T12" s="6">
        <v>0.46</v>
      </c>
      <c r="U12" s="6">
        <v>0.44</v>
      </c>
    </row>
    <row r="13" spans="1:21" x14ac:dyDescent="0.25">
      <c r="A13" s="4">
        <v>2004</v>
      </c>
      <c r="B13" s="6">
        <v>0.99</v>
      </c>
      <c r="C13" s="6">
        <v>0.74</v>
      </c>
      <c r="D13" s="6">
        <v>0.46</v>
      </c>
      <c r="E13" s="6">
        <v>0.46</v>
      </c>
      <c r="F13" s="6">
        <v>0.44</v>
      </c>
      <c r="K13" s="12"/>
      <c r="L13" s="4">
        <v>2004</v>
      </c>
      <c r="M13" s="5">
        <v>0.61</v>
      </c>
      <c r="N13" s="6">
        <v>0.49</v>
      </c>
      <c r="O13" s="27">
        <v>0.4</v>
      </c>
      <c r="P13" s="6">
        <v>0.36</v>
      </c>
      <c r="Q13" s="6">
        <v>0.99</v>
      </c>
      <c r="R13" s="6">
        <v>0.74</v>
      </c>
      <c r="S13" s="6">
        <v>0.46</v>
      </c>
      <c r="T13" s="6">
        <v>0.46</v>
      </c>
      <c r="U13" s="6">
        <v>0.44</v>
      </c>
    </row>
    <row r="14" spans="1:21" x14ac:dyDescent="0.25">
      <c r="A14" s="4">
        <v>2005</v>
      </c>
      <c r="B14" s="6">
        <v>0.99</v>
      </c>
      <c r="C14" s="6">
        <v>0.74</v>
      </c>
      <c r="D14" s="6">
        <v>0.46</v>
      </c>
      <c r="E14" s="6">
        <v>0.46</v>
      </c>
      <c r="F14" s="6">
        <v>0.44</v>
      </c>
      <c r="K14" s="12"/>
      <c r="L14" s="4">
        <v>2005</v>
      </c>
      <c r="M14" s="5">
        <v>0.61</v>
      </c>
      <c r="N14" s="6">
        <v>0.49</v>
      </c>
      <c r="O14" s="27">
        <v>0.4</v>
      </c>
      <c r="P14" s="6">
        <v>0.36</v>
      </c>
      <c r="Q14" s="6">
        <v>0.99</v>
      </c>
      <c r="R14" s="6">
        <v>0.74</v>
      </c>
      <c r="S14" s="6">
        <v>0.46</v>
      </c>
      <c r="T14" s="6">
        <v>0.46</v>
      </c>
      <c r="U14" s="6">
        <v>0.44</v>
      </c>
    </row>
    <row r="15" spans="1:21" x14ac:dyDescent="0.25">
      <c r="A15" s="4">
        <v>2006</v>
      </c>
      <c r="B15" s="6">
        <v>0.99</v>
      </c>
      <c r="C15" s="6">
        <v>0.74</v>
      </c>
      <c r="D15" s="6">
        <v>0.46</v>
      </c>
      <c r="E15" s="6">
        <v>0.46</v>
      </c>
      <c r="F15" s="6">
        <v>0.44</v>
      </c>
      <c r="K15" s="12"/>
      <c r="L15" s="4">
        <v>2006</v>
      </c>
      <c r="M15" s="5">
        <v>0.61</v>
      </c>
      <c r="N15" s="6">
        <v>0.49</v>
      </c>
      <c r="O15" s="27">
        <v>0.4</v>
      </c>
      <c r="P15" s="6">
        <v>0.36</v>
      </c>
      <c r="Q15" s="6">
        <v>0.99</v>
      </c>
      <c r="R15" s="6">
        <v>0.74</v>
      </c>
      <c r="S15" s="6">
        <v>0.46</v>
      </c>
      <c r="T15" s="6">
        <v>0.46</v>
      </c>
      <c r="U15" s="6">
        <v>0.44</v>
      </c>
    </row>
    <row r="16" spans="1:21" x14ac:dyDescent="0.25">
      <c r="A16" s="4">
        <v>2007</v>
      </c>
      <c r="B16" s="6">
        <v>0.99</v>
      </c>
      <c r="C16" s="6">
        <v>0.74</v>
      </c>
      <c r="D16" s="6">
        <v>0.46</v>
      </c>
      <c r="E16" s="6">
        <v>0.46</v>
      </c>
      <c r="F16" s="6">
        <v>0.44</v>
      </c>
      <c r="K16" s="12"/>
      <c r="L16" s="4">
        <v>2007</v>
      </c>
      <c r="M16" s="5">
        <v>0.61</v>
      </c>
      <c r="N16" s="6">
        <v>0.49</v>
      </c>
      <c r="O16" s="27">
        <v>0.4</v>
      </c>
      <c r="P16" s="6">
        <v>0.36</v>
      </c>
      <c r="Q16" s="6">
        <v>0.99</v>
      </c>
      <c r="R16" s="6">
        <v>0.74</v>
      </c>
      <c r="S16" s="6">
        <v>0.46</v>
      </c>
      <c r="T16" s="6">
        <v>0.46</v>
      </c>
      <c r="U16" s="6">
        <v>0.44</v>
      </c>
    </row>
    <row r="17" spans="1:21" x14ac:dyDescent="0.25">
      <c r="A17" s="4">
        <v>2008</v>
      </c>
      <c r="B17" s="6">
        <v>0.99</v>
      </c>
      <c r="C17" s="6">
        <v>0.74</v>
      </c>
      <c r="D17" s="6">
        <v>0.46</v>
      </c>
      <c r="E17" s="6">
        <v>0.46</v>
      </c>
      <c r="F17" s="6">
        <v>0.44</v>
      </c>
      <c r="K17" s="12"/>
      <c r="L17" s="4">
        <v>2008</v>
      </c>
      <c r="M17" s="5">
        <v>0.61</v>
      </c>
      <c r="N17" s="6">
        <v>0.49</v>
      </c>
      <c r="O17" s="27">
        <v>0.4</v>
      </c>
      <c r="P17" s="6">
        <v>0.36</v>
      </c>
      <c r="Q17" s="6">
        <v>0.99</v>
      </c>
      <c r="R17" s="6">
        <v>0.74</v>
      </c>
      <c r="S17" s="6">
        <v>0.46</v>
      </c>
      <c r="T17" s="6">
        <v>0.46</v>
      </c>
      <c r="U17" s="6">
        <v>0.44</v>
      </c>
    </row>
    <row r="18" spans="1:21" x14ac:dyDescent="0.25">
      <c r="A18" s="4">
        <v>2009</v>
      </c>
      <c r="B18" s="6">
        <v>0.99</v>
      </c>
      <c r="C18" s="6">
        <v>0.74</v>
      </c>
      <c r="D18" s="6">
        <v>0.46</v>
      </c>
      <c r="E18" s="6">
        <v>0.46</v>
      </c>
      <c r="F18" s="6">
        <v>0.44</v>
      </c>
      <c r="K18" s="12"/>
      <c r="L18" s="4">
        <v>2009</v>
      </c>
      <c r="M18" s="5">
        <v>0.61</v>
      </c>
      <c r="N18" s="6">
        <v>0.49</v>
      </c>
      <c r="O18" s="27">
        <v>0.4</v>
      </c>
      <c r="P18" s="6">
        <v>0.36</v>
      </c>
      <c r="Q18" s="6">
        <v>0.99</v>
      </c>
      <c r="R18" s="6">
        <v>0.74</v>
      </c>
      <c r="S18" s="6">
        <v>0.46</v>
      </c>
      <c r="T18" s="6">
        <v>0.46</v>
      </c>
      <c r="U18" s="6">
        <v>0.44</v>
      </c>
    </row>
    <row r="19" spans="1:21" x14ac:dyDescent="0.25">
      <c r="A19" s="4">
        <v>2010</v>
      </c>
      <c r="B19" s="6">
        <v>0.99</v>
      </c>
      <c r="C19" s="6">
        <v>0.74</v>
      </c>
      <c r="D19" s="6">
        <v>0.46</v>
      </c>
      <c r="E19" s="6">
        <v>0.46</v>
      </c>
      <c r="F19" s="6">
        <v>0.44</v>
      </c>
      <c r="K19" s="12"/>
      <c r="L19" s="4">
        <v>2010</v>
      </c>
      <c r="M19" s="5">
        <v>0.61</v>
      </c>
      <c r="N19" s="6">
        <v>0.49</v>
      </c>
      <c r="O19" s="27">
        <v>0.4</v>
      </c>
      <c r="P19" s="6">
        <v>0.36</v>
      </c>
      <c r="Q19" s="6">
        <v>0.99</v>
      </c>
      <c r="R19" s="6">
        <v>0.74</v>
      </c>
      <c r="S19" s="6">
        <v>0.46</v>
      </c>
      <c r="T19" s="6">
        <v>0.46</v>
      </c>
      <c r="U19" s="6">
        <v>0.44</v>
      </c>
    </row>
    <row r="20" spans="1:21" x14ac:dyDescent="0.25">
      <c r="A20" s="4">
        <v>2011</v>
      </c>
      <c r="B20" s="6">
        <v>0.99</v>
      </c>
      <c r="C20" s="6">
        <v>0.74</v>
      </c>
      <c r="D20" s="6">
        <v>0.46</v>
      </c>
      <c r="E20" s="6">
        <v>0.46</v>
      </c>
      <c r="F20" s="6">
        <v>0.44</v>
      </c>
      <c r="K20" s="12"/>
      <c r="L20" s="4">
        <v>2011</v>
      </c>
      <c r="M20" s="5">
        <v>0.61</v>
      </c>
      <c r="N20" s="6">
        <v>0.49</v>
      </c>
      <c r="O20" s="27">
        <v>0.4</v>
      </c>
      <c r="P20" s="6">
        <v>0.36</v>
      </c>
      <c r="Q20" s="6">
        <v>0.99</v>
      </c>
      <c r="R20" s="6">
        <v>0.74</v>
      </c>
      <c r="S20" s="6">
        <v>0.46</v>
      </c>
      <c r="T20" s="6">
        <v>0.46</v>
      </c>
      <c r="U20" s="6">
        <v>0.44</v>
      </c>
    </row>
    <row r="21" spans="1:21" x14ac:dyDescent="0.25">
      <c r="A21" s="4">
        <v>2012</v>
      </c>
      <c r="B21" s="6">
        <v>0.99</v>
      </c>
      <c r="C21" s="6">
        <v>0.74</v>
      </c>
      <c r="D21" s="6">
        <v>0.46</v>
      </c>
      <c r="E21" s="6">
        <v>0.46</v>
      </c>
      <c r="F21" s="6">
        <v>0.44</v>
      </c>
      <c r="K21" s="12"/>
      <c r="L21" s="4">
        <v>2012</v>
      </c>
      <c r="M21" s="5">
        <v>0.61</v>
      </c>
      <c r="N21" s="6">
        <v>0.49</v>
      </c>
      <c r="O21" s="27">
        <v>0.4</v>
      </c>
      <c r="P21" s="6">
        <v>0.36</v>
      </c>
      <c r="Q21" s="6">
        <v>0.99</v>
      </c>
      <c r="R21" s="6">
        <v>0.74</v>
      </c>
      <c r="S21" s="6">
        <v>0.46</v>
      </c>
      <c r="T21" s="6">
        <v>0.46</v>
      </c>
      <c r="U21" s="6">
        <v>0.44</v>
      </c>
    </row>
    <row r="22" spans="1:21" x14ac:dyDescent="0.25">
      <c r="A22" s="4">
        <v>2013</v>
      </c>
      <c r="B22" s="6">
        <v>0.99</v>
      </c>
      <c r="C22" s="6">
        <v>0.74</v>
      </c>
      <c r="D22" s="6">
        <v>0.46</v>
      </c>
      <c r="E22" s="6">
        <v>0.46</v>
      </c>
      <c r="F22" s="6">
        <v>0.44</v>
      </c>
      <c r="K22" s="12"/>
      <c r="L22" s="4">
        <v>2013</v>
      </c>
      <c r="M22" s="5">
        <v>0.61</v>
      </c>
      <c r="N22" s="6">
        <v>0.49</v>
      </c>
      <c r="O22" s="27">
        <v>0.4</v>
      </c>
      <c r="P22" s="6">
        <v>0.36</v>
      </c>
      <c r="Q22" s="6">
        <v>0.99</v>
      </c>
      <c r="R22" s="6">
        <v>0.74</v>
      </c>
      <c r="S22" s="6">
        <v>0.46</v>
      </c>
      <c r="T22" s="6">
        <v>0.46</v>
      </c>
      <c r="U22" s="6">
        <v>0.44</v>
      </c>
    </row>
    <row r="23" spans="1:21" x14ac:dyDescent="0.25">
      <c r="A23" s="4">
        <v>2014</v>
      </c>
      <c r="B23" s="6">
        <v>0.99</v>
      </c>
      <c r="C23" s="6">
        <v>0.74</v>
      </c>
      <c r="D23" s="6">
        <v>0.46</v>
      </c>
      <c r="E23" s="6">
        <v>0.46</v>
      </c>
      <c r="F23" s="6">
        <v>0.44</v>
      </c>
      <c r="K23" s="12"/>
      <c r="L23" s="4">
        <v>2014</v>
      </c>
      <c r="M23" s="5">
        <v>0.61</v>
      </c>
      <c r="N23" s="6">
        <v>0.49</v>
      </c>
      <c r="O23" s="27">
        <v>0.4</v>
      </c>
      <c r="P23" s="6">
        <v>0.36</v>
      </c>
      <c r="Q23" s="6">
        <v>0.99</v>
      </c>
      <c r="R23" s="6">
        <v>0.74</v>
      </c>
      <c r="S23" s="6">
        <v>0.46</v>
      </c>
      <c r="T23" s="6">
        <v>0.46</v>
      </c>
      <c r="U23" s="6">
        <v>0.44</v>
      </c>
    </row>
    <row r="24" spans="1:21" x14ac:dyDescent="0.25">
      <c r="A24" s="4">
        <v>2015</v>
      </c>
      <c r="B24" s="6">
        <v>0.99</v>
      </c>
      <c r="C24" s="6">
        <v>0.74</v>
      </c>
      <c r="D24" s="6">
        <v>0.46</v>
      </c>
      <c r="E24" s="6">
        <v>0.46</v>
      </c>
      <c r="F24" s="6">
        <v>0.44</v>
      </c>
      <c r="K24" s="12"/>
      <c r="L24" s="4">
        <v>2015</v>
      </c>
      <c r="M24" s="5">
        <v>0.61</v>
      </c>
      <c r="N24" s="6">
        <v>0.49</v>
      </c>
      <c r="O24" s="27">
        <v>0.4</v>
      </c>
      <c r="P24" s="6">
        <v>0.36</v>
      </c>
      <c r="Q24" s="6">
        <v>0.99</v>
      </c>
      <c r="R24" s="6">
        <v>0.74</v>
      </c>
      <c r="S24" s="6">
        <v>0.46</v>
      </c>
      <c r="T24" s="6">
        <v>0.46</v>
      </c>
      <c r="U24" s="6">
        <v>0.44</v>
      </c>
    </row>
    <row r="25" spans="1:21" x14ac:dyDescent="0.25">
      <c r="A25" s="4">
        <v>2016</v>
      </c>
      <c r="B25" s="6">
        <v>0.99</v>
      </c>
      <c r="C25" s="6">
        <v>0.74</v>
      </c>
      <c r="D25" s="6">
        <v>0.46</v>
      </c>
      <c r="E25" s="6">
        <v>0.46</v>
      </c>
      <c r="F25" s="6">
        <v>0.44</v>
      </c>
      <c r="K25" s="12"/>
      <c r="L25" s="4">
        <v>2016</v>
      </c>
      <c r="M25" s="5">
        <v>0.61</v>
      </c>
      <c r="N25" s="6">
        <v>0.49</v>
      </c>
      <c r="O25" s="27">
        <v>0.4</v>
      </c>
      <c r="P25" s="6">
        <v>0.36</v>
      </c>
      <c r="Q25" s="6">
        <v>0.99</v>
      </c>
      <c r="R25" s="6">
        <v>0.74</v>
      </c>
      <c r="S25" s="6">
        <v>0.46</v>
      </c>
      <c r="T25" s="6">
        <v>0.46</v>
      </c>
      <c r="U25" s="6">
        <v>0.44</v>
      </c>
    </row>
    <row r="26" spans="1:21" x14ac:dyDescent="0.25">
      <c r="A26" s="4">
        <v>2017</v>
      </c>
      <c r="B26" s="6">
        <v>0.99</v>
      </c>
      <c r="C26" s="6">
        <v>0.74</v>
      </c>
      <c r="D26" s="6">
        <v>0.46</v>
      </c>
      <c r="E26" s="6">
        <v>0.46</v>
      </c>
      <c r="F26" s="6">
        <v>0.44</v>
      </c>
      <c r="K26" s="12"/>
      <c r="L26" s="4">
        <v>2017</v>
      </c>
      <c r="M26" s="5">
        <v>0.61</v>
      </c>
      <c r="N26" s="6">
        <v>0.49</v>
      </c>
      <c r="O26" s="27">
        <v>0.4</v>
      </c>
      <c r="P26" s="6">
        <v>0.36</v>
      </c>
      <c r="Q26" s="6">
        <v>0.99</v>
      </c>
      <c r="R26" s="6">
        <v>0.74</v>
      </c>
      <c r="S26" s="6">
        <v>0.46</v>
      </c>
      <c r="T26" s="6">
        <v>0.46</v>
      </c>
      <c r="U26" s="6">
        <v>0.44</v>
      </c>
    </row>
    <row r="27" spans="1:21" x14ac:dyDescent="0.25">
      <c r="A27" s="4">
        <v>2018</v>
      </c>
      <c r="B27" s="6">
        <v>0.99</v>
      </c>
      <c r="C27" s="6">
        <v>0.74</v>
      </c>
      <c r="D27" s="6">
        <v>0.46</v>
      </c>
      <c r="E27" s="6">
        <v>0.46</v>
      </c>
      <c r="F27" s="6">
        <v>0.44</v>
      </c>
      <c r="K27" s="12"/>
      <c r="L27" s="4">
        <v>2018</v>
      </c>
      <c r="M27" s="5">
        <v>0.61</v>
      </c>
      <c r="N27" s="6">
        <v>0.49</v>
      </c>
      <c r="O27" s="27">
        <v>0.4</v>
      </c>
      <c r="P27" s="6">
        <v>0.36</v>
      </c>
      <c r="Q27" s="6">
        <v>0.99</v>
      </c>
      <c r="R27" s="6">
        <v>0.74</v>
      </c>
      <c r="S27" s="6">
        <v>0.46</v>
      </c>
      <c r="T27" s="6">
        <v>0.46</v>
      </c>
      <c r="U27" s="6">
        <v>0.44</v>
      </c>
    </row>
    <row r="28" spans="1:21" x14ac:dyDescent="0.25">
      <c r="A28" s="4">
        <v>2019</v>
      </c>
      <c r="B28" s="6">
        <v>0.99</v>
      </c>
      <c r="C28" s="6">
        <v>0.74</v>
      </c>
      <c r="D28" s="6">
        <v>0.46</v>
      </c>
      <c r="E28" s="6">
        <v>0.46</v>
      </c>
      <c r="F28" s="6">
        <v>0.44</v>
      </c>
      <c r="K28" s="12"/>
      <c r="L28" s="4">
        <v>2019</v>
      </c>
      <c r="M28" s="5">
        <v>0.61</v>
      </c>
      <c r="N28" s="6">
        <v>0.49</v>
      </c>
      <c r="O28" s="27">
        <v>0.4</v>
      </c>
      <c r="P28" s="6">
        <v>0.36</v>
      </c>
      <c r="Q28" s="6">
        <v>0.99</v>
      </c>
      <c r="R28" s="6">
        <v>0.74</v>
      </c>
      <c r="S28" s="6">
        <v>0.46</v>
      </c>
      <c r="T28" s="6">
        <v>0.46</v>
      </c>
      <c r="U28" s="6">
        <v>0.44</v>
      </c>
    </row>
    <row r="29" spans="1:21" x14ac:dyDescent="0.25">
      <c r="A29" s="7">
        <v>2020</v>
      </c>
      <c r="B29" s="9">
        <v>0.99</v>
      </c>
      <c r="C29" s="9">
        <v>0.74</v>
      </c>
      <c r="D29" s="9">
        <v>0.46</v>
      </c>
      <c r="E29" s="9">
        <v>0.46</v>
      </c>
      <c r="F29" s="9">
        <v>0.44</v>
      </c>
      <c r="K29" s="12"/>
      <c r="L29" s="7">
        <v>2020</v>
      </c>
      <c r="M29" s="8">
        <v>0.61</v>
      </c>
      <c r="N29" s="9">
        <v>0.49</v>
      </c>
      <c r="O29" s="28">
        <v>0.4</v>
      </c>
      <c r="P29" s="9">
        <v>0.36</v>
      </c>
      <c r="Q29" s="9">
        <v>0.99</v>
      </c>
      <c r="R29" s="9">
        <v>0.74</v>
      </c>
      <c r="S29" s="9">
        <v>0.46</v>
      </c>
      <c r="T29" s="9">
        <v>0.46</v>
      </c>
      <c r="U29" s="9">
        <v>0.44</v>
      </c>
    </row>
    <row r="30" spans="1:21" x14ac:dyDescent="0.25">
      <c r="A30" s="1">
        <v>2021</v>
      </c>
      <c r="B30" s="3">
        <v>0.99</v>
      </c>
      <c r="C30" s="3">
        <v>0.74</v>
      </c>
      <c r="D30" s="3">
        <v>0.46</v>
      </c>
      <c r="E30" s="3">
        <v>0.46</v>
      </c>
      <c r="F30" s="3">
        <v>0.44</v>
      </c>
      <c r="K30" s="12"/>
      <c r="L30" s="1">
        <v>2021</v>
      </c>
      <c r="M30" s="2">
        <v>0.61</v>
      </c>
      <c r="N30" s="3">
        <v>0.49</v>
      </c>
      <c r="O30" s="26">
        <v>0.4</v>
      </c>
      <c r="P30" s="3">
        <v>0.36</v>
      </c>
      <c r="Q30" s="3">
        <v>0.99</v>
      </c>
      <c r="R30" s="3">
        <v>0.74</v>
      </c>
      <c r="S30" s="3">
        <v>0.46</v>
      </c>
      <c r="T30" s="3">
        <v>0.46</v>
      </c>
      <c r="U30" s="3">
        <v>0.44</v>
      </c>
    </row>
    <row r="31" spans="1:21" ht="15" customHeight="1" x14ac:dyDescent="0.25">
      <c r="A31" s="4">
        <v>2022</v>
      </c>
      <c r="B31" s="6">
        <v>0.99</v>
      </c>
      <c r="C31" s="6">
        <v>0.74</v>
      </c>
      <c r="D31" s="6">
        <v>0.46</v>
      </c>
      <c r="E31" s="6">
        <v>0.46</v>
      </c>
      <c r="F31" s="6">
        <v>0.44</v>
      </c>
      <c r="K31" s="12"/>
      <c r="L31" s="4">
        <v>2022</v>
      </c>
      <c r="M31" s="5">
        <v>0.61</v>
      </c>
      <c r="N31" s="6">
        <v>0.49</v>
      </c>
      <c r="O31" s="27">
        <v>0.4</v>
      </c>
      <c r="P31" s="6">
        <v>0.36</v>
      </c>
      <c r="Q31" s="6">
        <v>0.99</v>
      </c>
      <c r="R31" s="6">
        <v>0.74</v>
      </c>
      <c r="S31" s="6">
        <v>0.46</v>
      </c>
      <c r="T31" s="6">
        <v>0.46</v>
      </c>
      <c r="U31" s="6">
        <v>0.44</v>
      </c>
    </row>
    <row r="32" spans="1:21" x14ac:dyDescent="0.25">
      <c r="A32" s="4">
        <v>2023</v>
      </c>
      <c r="B32" s="6">
        <v>0.99</v>
      </c>
      <c r="C32" s="6">
        <v>0.74</v>
      </c>
      <c r="D32" s="6">
        <v>0.46</v>
      </c>
      <c r="E32" s="6">
        <v>0.46</v>
      </c>
      <c r="F32" s="6">
        <v>0.44</v>
      </c>
      <c r="K32" s="12"/>
      <c r="L32" s="4">
        <v>2023</v>
      </c>
      <c r="M32" s="5">
        <v>0.61</v>
      </c>
      <c r="N32" s="6">
        <v>0.49</v>
      </c>
      <c r="O32" s="27">
        <v>0.4</v>
      </c>
      <c r="P32" s="6">
        <v>0.36</v>
      </c>
      <c r="Q32" s="6">
        <v>0.99</v>
      </c>
      <c r="R32" s="6">
        <v>0.74</v>
      </c>
      <c r="S32" s="6">
        <v>0.46</v>
      </c>
      <c r="T32" s="6">
        <v>0.46</v>
      </c>
      <c r="U32" s="6">
        <v>0.44</v>
      </c>
    </row>
    <row r="33" spans="1:21" x14ac:dyDescent="0.25">
      <c r="A33" s="4">
        <v>2024</v>
      </c>
      <c r="B33" s="6">
        <v>0.99</v>
      </c>
      <c r="C33" s="6">
        <v>0.74</v>
      </c>
      <c r="D33" s="6">
        <v>0.46</v>
      </c>
      <c r="E33" s="6">
        <v>0.46</v>
      </c>
      <c r="F33" s="6">
        <v>0.44</v>
      </c>
      <c r="K33" s="12"/>
      <c r="L33" s="4">
        <v>2024</v>
      </c>
      <c r="M33" s="5">
        <v>0.61</v>
      </c>
      <c r="N33" s="6">
        <v>0.49</v>
      </c>
      <c r="O33" s="27">
        <v>0.4</v>
      </c>
      <c r="P33" s="6">
        <v>0.36</v>
      </c>
      <c r="Q33" s="6">
        <v>0.99</v>
      </c>
      <c r="R33" s="6">
        <v>0.74</v>
      </c>
      <c r="S33" s="6">
        <v>0.46</v>
      </c>
      <c r="T33" s="6">
        <v>0.46</v>
      </c>
      <c r="U33" s="6">
        <v>0.44</v>
      </c>
    </row>
    <row r="34" spans="1:21" x14ac:dyDescent="0.25">
      <c r="A34" s="7">
        <v>2025</v>
      </c>
      <c r="B34" s="9">
        <v>0.99</v>
      </c>
      <c r="C34" s="9">
        <v>0.74</v>
      </c>
      <c r="D34" s="9">
        <v>0.46</v>
      </c>
      <c r="E34" s="9">
        <v>0.46</v>
      </c>
      <c r="F34" s="9">
        <v>0.44</v>
      </c>
      <c r="K34" s="12"/>
      <c r="L34" s="7">
        <v>2025</v>
      </c>
      <c r="M34" s="8">
        <v>0.61</v>
      </c>
      <c r="N34" s="9">
        <v>0.49</v>
      </c>
      <c r="O34" s="28">
        <v>0.4</v>
      </c>
      <c r="P34" s="9">
        <v>0.36</v>
      </c>
      <c r="Q34" s="9">
        <v>0.99</v>
      </c>
      <c r="R34" s="9">
        <v>0.74</v>
      </c>
      <c r="S34" s="9">
        <v>0.46</v>
      </c>
      <c r="T34" s="9">
        <v>0.46</v>
      </c>
      <c r="U34" s="9">
        <v>0.44</v>
      </c>
    </row>
    <row r="35" spans="1:21" x14ac:dyDescent="0.25">
      <c r="A35" s="4"/>
      <c r="B35" s="6"/>
      <c r="C35" s="6"/>
      <c r="D35" s="6"/>
      <c r="E35" s="6"/>
      <c r="F35" s="6"/>
      <c r="K35" s="12"/>
      <c r="L35" s="4"/>
      <c r="M35" s="5"/>
      <c r="N35" s="6"/>
      <c r="O35" s="6"/>
      <c r="P35" s="6"/>
      <c r="Q35" s="6"/>
      <c r="R35" s="6"/>
      <c r="S35" s="6"/>
      <c r="T35" s="6"/>
      <c r="U35" s="6"/>
    </row>
    <row r="36" spans="1:21" x14ac:dyDescent="0.25">
      <c r="A36" s="4"/>
      <c r="B36" s="6"/>
      <c r="C36" s="6"/>
      <c r="D36" s="6"/>
      <c r="E36" s="6"/>
      <c r="F36" s="6"/>
      <c r="K36" s="12"/>
      <c r="L36" s="4"/>
      <c r="M36" s="5"/>
      <c r="N36" s="6"/>
      <c r="O36" s="6"/>
      <c r="P36" s="6"/>
      <c r="Q36" s="6"/>
      <c r="R36" s="6"/>
      <c r="S36" s="6"/>
      <c r="T36" s="6"/>
      <c r="U36" s="6"/>
    </row>
    <row r="37" spans="1:21" x14ac:dyDescent="0.25">
      <c r="A37" s="4"/>
      <c r="B37" s="6"/>
      <c r="C37" s="6"/>
      <c r="D37" s="6"/>
      <c r="E37" s="6"/>
      <c r="F37" s="6"/>
      <c r="K37" s="12"/>
      <c r="L37" s="4"/>
      <c r="M37" s="5"/>
      <c r="N37" s="6"/>
      <c r="O37" s="6"/>
      <c r="P37" s="6"/>
      <c r="Q37" s="6"/>
      <c r="R37" s="6"/>
      <c r="S37" s="6"/>
      <c r="T37" s="6"/>
      <c r="U37" s="6"/>
    </row>
    <row r="38" spans="1:21" x14ac:dyDescent="0.25">
      <c r="A38" s="4"/>
      <c r="B38" s="6"/>
      <c r="C38" s="6"/>
      <c r="D38" s="6"/>
      <c r="E38" s="6"/>
      <c r="F38" s="6"/>
      <c r="K38" s="12"/>
      <c r="L38" s="4"/>
      <c r="M38" s="5"/>
      <c r="N38" s="6"/>
      <c r="O38" s="6"/>
      <c r="P38" s="6"/>
      <c r="Q38" s="6"/>
      <c r="R38" s="6"/>
      <c r="S38" s="6"/>
      <c r="T38" s="6"/>
      <c r="U38" s="6"/>
    </row>
    <row r="39" spans="1:21" x14ac:dyDescent="0.25">
      <c r="A39" s="4"/>
      <c r="B39" s="6"/>
      <c r="C39" s="6"/>
      <c r="D39" s="6"/>
      <c r="E39" s="6"/>
      <c r="F39" s="6"/>
      <c r="K39" s="12"/>
      <c r="L39" s="4"/>
      <c r="M39" s="5"/>
      <c r="N39" s="6"/>
      <c r="O39" s="6"/>
      <c r="P39" s="6"/>
      <c r="Q39" s="6"/>
      <c r="R39" s="6"/>
      <c r="S39" s="6"/>
      <c r="T39" s="6"/>
      <c r="U39" s="6"/>
    </row>
    <row r="40" spans="1:21" x14ac:dyDescent="0.25">
      <c r="A40" s="7"/>
      <c r="B40" s="9"/>
      <c r="C40" s="9"/>
      <c r="D40" s="9"/>
      <c r="E40" s="9"/>
      <c r="F40" s="9"/>
      <c r="K40" s="12"/>
      <c r="L40" s="7"/>
      <c r="M40" s="8"/>
      <c r="N40" s="9"/>
      <c r="O40" s="9"/>
      <c r="P40" s="9"/>
      <c r="Q40" s="9"/>
      <c r="R40" s="9"/>
      <c r="S40" s="9"/>
      <c r="T40" s="9"/>
      <c r="U40" s="9"/>
    </row>
    <row r="41" spans="1:21" x14ac:dyDescent="0.25">
      <c r="A41" s="4"/>
      <c r="B41" s="29"/>
      <c r="C41" s="10"/>
      <c r="D41" s="10"/>
      <c r="E41" s="10"/>
      <c r="F41" s="10"/>
      <c r="K41" s="12"/>
      <c r="L41" s="12"/>
      <c r="M41" s="5"/>
      <c r="N41" s="6"/>
      <c r="O41" s="6"/>
      <c r="P41" s="6"/>
      <c r="Q41" s="27"/>
      <c r="R41" s="6"/>
      <c r="S41" s="6"/>
      <c r="T41" s="6"/>
      <c r="U41" s="6"/>
    </row>
    <row r="42" spans="1:21" x14ac:dyDescent="0.25">
      <c r="A42" s="4"/>
      <c r="B42" s="29"/>
      <c r="C42" s="10"/>
      <c r="D42" s="10"/>
      <c r="E42" s="10"/>
      <c r="F42" s="10"/>
      <c r="K42" s="12"/>
      <c r="L42" s="12"/>
      <c r="M42" s="5"/>
      <c r="N42" s="6"/>
      <c r="O42" s="6"/>
      <c r="P42" s="6"/>
      <c r="Q42" s="27"/>
      <c r="R42" s="6"/>
      <c r="S42" s="6"/>
      <c r="T42" s="6"/>
      <c r="U42" s="6"/>
    </row>
    <row r="43" spans="1:21" x14ac:dyDescent="0.25">
      <c r="A43" s="4"/>
      <c r="B43" s="29"/>
      <c r="C43" s="10"/>
      <c r="D43" s="10"/>
      <c r="E43" s="10"/>
      <c r="F43" s="10"/>
      <c r="K43" s="12"/>
      <c r="L43" s="12"/>
      <c r="M43" s="5"/>
      <c r="N43" s="6"/>
      <c r="O43" s="6"/>
      <c r="P43" s="6"/>
      <c r="Q43" s="27"/>
      <c r="R43" s="6"/>
      <c r="S43" s="6"/>
      <c r="T43" s="6"/>
      <c r="U43" s="6"/>
    </row>
    <row r="44" spans="1:21" x14ac:dyDescent="0.25">
      <c r="A44" s="7"/>
      <c r="B44" s="29"/>
      <c r="C44" s="10"/>
      <c r="D44" s="10"/>
      <c r="E44" s="10"/>
      <c r="F44" s="10"/>
      <c r="K44" s="12"/>
      <c r="L44" s="12"/>
      <c r="M44" s="8"/>
      <c r="N44" s="9"/>
      <c r="O44" s="9"/>
      <c r="P44" s="9"/>
      <c r="Q44" s="28"/>
      <c r="R44" s="9"/>
      <c r="S44" s="9"/>
      <c r="T44" s="9"/>
      <c r="U44" s="9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A462-94AC-460B-83D2-96745617A94B}">
  <dimension ref="A1:F39"/>
  <sheetViews>
    <sheetView tabSelected="1" workbookViewId="0">
      <selection activeCell="B2" sqref="B2:F33"/>
    </sheetView>
  </sheetViews>
  <sheetFormatPr defaultRowHeight="15" x14ac:dyDescent="0.25"/>
  <sheetData>
    <row r="1" spans="1:6" x14ac:dyDescent="0.25"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s="13">
        <v>1993</v>
      </c>
      <c r="B2" s="36">
        <v>0</v>
      </c>
      <c r="C2" s="19">
        <v>0.21556639999999999</v>
      </c>
      <c r="D2" s="20">
        <v>0.39908539999999998</v>
      </c>
      <c r="E2" s="20">
        <v>0.43133250000000001</v>
      </c>
      <c r="F2" s="20">
        <v>0.43133250000000001</v>
      </c>
    </row>
    <row r="3" spans="1:6" x14ac:dyDescent="0.25">
      <c r="A3" s="14">
        <v>1994</v>
      </c>
      <c r="B3" s="37">
        <v>0</v>
      </c>
      <c r="C3" s="21">
        <v>0.2457722</v>
      </c>
      <c r="D3" s="22">
        <v>0.45500629999999997</v>
      </c>
      <c r="E3" s="22">
        <v>0.49177199999999999</v>
      </c>
      <c r="F3" s="22">
        <v>0.49177199999999999</v>
      </c>
    </row>
    <row r="4" spans="1:6" x14ac:dyDescent="0.25">
      <c r="A4" s="14">
        <v>1995</v>
      </c>
      <c r="B4" s="37">
        <v>0</v>
      </c>
      <c r="C4" s="21">
        <v>6.8209099999999995E-2</v>
      </c>
      <c r="D4" s="22">
        <v>0.12627769999999999</v>
      </c>
      <c r="E4" s="22">
        <v>0.1364813</v>
      </c>
      <c r="F4" s="22">
        <v>0.1364813</v>
      </c>
    </row>
    <row r="5" spans="1:6" x14ac:dyDescent="0.25">
      <c r="A5" s="14">
        <v>1996</v>
      </c>
      <c r="B5" s="37">
        <v>0</v>
      </c>
      <c r="C5" s="21">
        <v>0.1918108</v>
      </c>
      <c r="D5" s="22">
        <v>0.35510580000000003</v>
      </c>
      <c r="E5" s="22">
        <v>0.38379930000000001</v>
      </c>
      <c r="F5" s="22">
        <v>0.38379930000000001</v>
      </c>
    </row>
    <row r="6" spans="1:6" x14ac:dyDescent="0.25">
      <c r="A6" s="14">
        <v>1997</v>
      </c>
      <c r="B6" s="37">
        <v>0</v>
      </c>
      <c r="C6" s="21">
        <v>9.9661399999999997E-2</v>
      </c>
      <c r="D6" s="22">
        <v>0.18450649999999999</v>
      </c>
      <c r="E6" s="22">
        <v>0.19941510000000001</v>
      </c>
      <c r="F6" s="22">
        <v>0.19941510000000001</v>
      </c>
    </row>
    <row r="7" spans="1:6" x14ac:dyDescent="0.25">
      <c r="A7" s="14">
        <v>1998</v>
      </c>
      <c r="B7" s="37">
        <v>0</v>
      </c>
      <c r="C7" s="21">
        <v>0.10493909999999999</v>
      </c>
      <c r="D7" s="22">
        <v>0.19427729999999999</v>
      </c>
      <c r="E7" s="22">
        <v>0.20997550000000001</v>
      </c>
      <c r="F7" s="22">
        <v>0.20997550000000001</v>
      </c>
    </row>
    <row r="8" spans="1:6" x14ac:dyDescent="0.25">
      <c r="A8" s="14">
        <v>1999</v>
      </c>
      <c r="B8" s="37">
        <v>0</v>
      </c>
      <c r="C8" s="21">
        <v>0.1324814</v>
      </c>
      <c r="D8" s="22">
        <v>0.24526729999999999</v>
      </c>
      <c r="E8" s="22">
        <v>0.26508559999999998</v>
      </c>
      <c r="F8" s="22">
        <v>0.26508559999999998</v>
      </c>
    </row>
    <row r="9" spans="1:6" x14ac:dyDescent="0.25">
      <c r="A9" s="14">
        <v>2000</v>
      </c>
      <c r="B9" s="37">
        <v>0</v>
      </c>
      <c r="C9" s="21">
        <v>6.8321900000000005E-2</v>
      </c>
      <c r="D9" s="22">
        <v>0.12648670000000001</v>
      </c>
      <c r="E9" s="22">
        <v>0.1367071</v>
      </c>
      <c r="F9" s="22">
        <v>0.1367071</v>
      </c>
    </row>
    <row r="10" spans="1:6" x14ac:dyDescent="0.25">
      <c r="A10" s="14">
        <v>2001</v>
      </c>
      <c r="B10" s="37">
        <v>0</v>
      </c>
      <c r="C10" s="21">
        <v>0.1074857</v>
      </c>
      <c r="D10" s="22">
        <v>0.1989919</v>
      </c>
      <c r="E10" s="22">
        <v>0.21507100000000001</v>
      </c>
      <c r="F10" s="22">
        <v>0.21507100000000001</v>
      </c>
    </row>
    <row r="11" spans="1:6" x14ac:dyDescent="0.25">
      <c r="A11" s="14">
        <v>2002</v>
      </c>
      <c r="B11" s="37">
        <v>0</v>
      </c>
      <c r="C11" s="21">
        <v>2.3518299999999999E-2</v>
      </c>
      <c r="D11" s="22">
        <v>4.3540099999999998E-2</v>
      </c>
      <c r="E11" s="22">
        <v>4.7058299999999997E-2</v>
      </c>
      <c r="F11" s="22">
        <v>4.7058299999999997E-2</v>
      </c>
    </row>
    <row r="12" spans="1:6" x14ac:dyDescent="0.25">
      <c r="A12" s="14">
        <v>2003</v>
      </c>
      <c r="B12" s="37">
        <v>0</v>
      </c>
      <c r="C12" s="21">
        <v>0.1766771</v>
      </c>
      <c r="D12" s="22">
        <v>0.3270883</v>
      </c>
      <c r="E12" s="22">
        <v>0.3535179</v>
      </c>
      <c r="F12" s="22">
        <v>0.3535179</v>
      </c>
    </row>
    <row r="13" spans="1:6" x14ac:dyDescent="0.25">
      <c r="A13" s="14">
        <v>2004</v>
      </c>
      <c r="B13" s="37">
        <v>0</v>
      </c>
      <c r="C13" s="21">
        <v>3.35827E-2</v>
      </c>
      <c r="D13" s="22">
        <v>6.21728E-2</v>
      </c>
      <c r="E13" s="22">
        <v>6.7196500000000006E-2</v>
      </c>
      <c r="F13" s="22">
        <v>6.7196500000000006E-2</v>
      </c>
    </row>
    <row r="14" spans="1:6" x14ac:dyDescent="0.25">
      <c r="A14" s="14">
        <v>2005</v>
      </c>
      <c r="B14" s="37">
        <v>0</v>
      </c>
      <c r="C14" s="21">
        <v>1.5918100000000001E-2</v>
      </c>
      <c r="D14" s="22">
        <v>2.9469700000000001E-2</v>
      </c>
      <c r="E14" s="22">
        <v>3.1850999999999997E-2</v>
      </c>
      <c r="F14" s="22">
        <v>3.1850999999999997E-2</v>
      </c>
    </row>
    <row r="15" spans="1:6" x14ac:dyDescent="0.25">
      <c r="A15" s="14">
        <v>2006</v>
      </c>
      <c r="B15" s="37">
        <v>0</v>
      </c>
      <c r="C15" s="21">
        <v>2.7980000000000002E-4</v>
      </c>
      <c r="D15" s="22">
        <v>5.1789999999999996E-4</v>
      </c>
      <c r="E15" s="22">
        <v>5.5979999999999995E-4</v>
      </c>
      <c r="F15" s="22">
        <v>5.5979999999999995E-4</v>
      </c>
    </row>
    <row r="16" spans="1:6" x14ac:dyDescent="0.25">
      <c r="A16" s="14">
        <v>2007</v>
      </c>
      <c r="B16" s="37">
        <v>0</v>
      </c>
      <c r="C16" s="21">
        <v>1.9760000000000001E-4</v>
      </c>
      <c r="D16" s="22">
        <v>3.659E-4</v>
      </c>
      <c r="E16" s="22">
        <v>3.9540000000000002E-4</v>
      </c>
      <c r="F16" s="22">
        <v>3.9540000000000002E-4</v>
      </c>
    </row>
    <row r="17" spans="1:6" x14ac:dyDescent="0.25">
      <c r="A17" s="14">
        <v>2008</v>
      </c>
      <c r="B17" s="37">
        <v>0</v>
      </c>
      <c r="C17" s="21">
        <v>1.5287E-3</v>
      </c>
      <c r="D17" s="22">
        <v>2.8300999999999999E-3</v>
      </c>
      <c r="E17" s="22">
        <v>3.0588E-3</v>
      </c>
      <c r="F17" s="22">
        <v>3.0588E-3</v>
      </c>
    </row>
    <row r="18" spans="1:6" x14ac:dyDescent="0.25">
      <c r="A18" s="14">
        <v>2009</v>
      </c>
      <c r="B18" s="37">
        <v>0</v>
      </c>
      <c r="C18" s="21">
        <v>0</v>
      </c>
      <c r="D18" s="22">
        <v>0</v>
      </c>
      <c r="E18" s="22">
        <v>0</v>
      </c>
      <c r="F18" s="22">
        <v>0</v>
      </c>
    </row>
    <row r="19" spans="1:6" x14ac:dyDescent="0.25">
      <c r="A19" s="14">
        <v>2010</v>
      </c>
      <c r="B19" s="37">
        <v>0</v>
      </c>
      <c r="C19" s="21">
        <v>6.334E-4</v>
      </c>
      <c r="D19" s="22">
        <v>1.1726E-3</v>
      </c>
      <c r="E19" s="22">
        <v>1.2673000000000001E-3</v>
      </c>
      <c r="F19" s="22">
        <v>1.2673000000000001E-3</v>
      </c>
    </row>
    <row r="20" spans="1:6" x14ac:dyDescent="0.25">
      <c r="A20" s="14">
        <v>2011</v>
      </c>
      <c r="B20" s="37">
        <v>0</v>
      </c>
      <c r="C20" s="21">
        <v>1.5533999999999999E-3</v>
      </c>
      <c r="D20" s="22">
        <v>2.8758999999999998E-3</v>
      </c>
      <c r="E20" s="22">
        <v>3.1082000000000002E-3</v>
      </c>
      <c r="F20" s="22">
        <v>3.1082000000000002E-3</v>
      </c>
    </row>
    <row r="21" spans="1:6" x14ac:dyDescent="0.25">
      <c r="A21" s="14">
        <v>2012</v>
      </c>
      <c r="B21" s="37">
        <v>0</v>
      </c>
      <c r="C21" s="21">
        <v>1.21263E-2</v>
      </c>
      <c r="D21" s="22">
        <v>2.2449899999999998E-2</v>
      </c>
      <c r="E21" s="22">
        <v>2.4263900000000001E-2</v>
      </c>
      <c r="F21" s="22">
        <v>2.4263900000000001E-2</v>
      </c>
    </row>
    <row r="22" spans="1:6" x14ac:dyDescent="0.25">
      <c r="A22" s="14">
        <v>2013</v>
      </c>
      <c r="B22" s="37">
        <v>0</v>
      </c>
      <c r="C22" s="21">
        <v>6.9144000000000002E-3</v>
      </c>
      <c r="D22" s="22">
        <v>1.28009E-2</v>
      </c>
      <c r="E22" s="22">
        <v>1.3835200000000001E-2</v>
      </c>
      <c r="F22" s="22">
        <v>1.3835200000000001E-2</v>
      </c>
    </row>
    <row r="23" spans="1:6" x14ac:dyDescent="0.25">
      <c r="A23" s="14">
        <v>2014</v>
      </c>
      <c r="B23" s="37">
        <v>0</v>
      </c>
      <c r="C23" s="21">
        <v>8.1122E-3</v>
      </c>
      <c r="D23" s="22">
        <v>1.5018500000000001E-2</v>
      </c>
      <c r="E23" s="22">
        <v>1.6232E-2</v>
      </c>
      <c r="F23" s="22">
        <v>1.6232E-2</v>
      </c>
    </row>
    <row r="24" spans="1:6" x14ac:dyDescent="0.25">
      <c r="A24" s="14">
        <v>2015</v>
      </c>
      <c r="B24" s="37">
        <v>0</v>
      </c>
      <c r="C24" s="21">
        <v>6.2351000000000004E-3</v>
      </c>
      <c r="D24" s="22">
        <v>1.15432E-2</v>
      </c>
      <c r="E24" s="22">
        <v>1.24759E-2</v>
      </c>
      <c r="F24" s="22">
        <v>1.24759E-2</v>
      </c>
    </row>
    <row r="25" spans="1:6" x14ac:dyDescent="0.25">
      <c r="A25" s="14">
        <v>2016</v>
      </c>
      <c r="B25" s="37">
        <v>0</v>
      </c>
      <c r="C25" s="21">
        <v>1.8481899999999999E-2</v>
      </c>
      <c r="D25" s="22">
        <v>3.4216099999999999E-2</v>
      </c>
      <c r="E25" s="22">
        <v>3.6980899999999997E-2</v>
      </c>
      <c r="F25" s="22">
        <v>3.6980899999999997E-2</v>
      </c>
    </row>
    <row r="26" spans="1:6" x14ac:dyDescent="0.25">
      <c r="A26" s="14">
        <v>2017</v>
      </c>
      <c r="B26" s="37">
        <v>0</v>
      </c>
      <c r="C26" s="21">
        <v>3.8876800000000003E-2</v>
      </c>
      <c r="D26" s="22">
        <v>7.1973899999999993E-2</v>
      </c>
      <c r="E26" s="22">
        <v>7.77896E-2</v>
      </c>
      <c r="F26" s="22">
        <v>7.77896E-2</v>
      </c>
    </row>
    <row r="27" spans="1:6" x14ac:dyDescent="0.25">
      <c r="A27" s="14">
        <v>2018</v>
      </c>
      <c r="B27" s="37">
        <v>0</v>
      </c>
      <c r="C27" s="21">
        <v>9.5282699999999998E-2</v>
      </c>
      <c r="D27" s="22">
        <v>0.1764001</v>
      </c>
      <c r="E27" s="22">
        <v>0.19065370000000001</v>
      </c>
      <c r="F27" s="22">
        <v>0.19065370000000001</v>
      </c>
    </row>
    <row r="28" spans="1:6" x14ac:dyDescent="0.25">
      <c r="A28" s="14">
        <v>2019</v>
      </c>
      <c r="B28" s="37">
        <v>0</v>
      </c>
      <c r="C28" s="21">
        <v>2.6352799999999999E-2</v>
      </c>
      <c r="D28" s="22">
        <v>4.8787900000000002E-2</v>
      </c>
      <c r="E28" s="22">
        <v>5.2730100000000002E-2</v>
      </c>
      <c r="F28" s="22">
        <v>5.2730100000000002E-2</v>
      </c>
    </row>
    <row r="29" spans="1:6" x14ac:dyDescent="0.25">
      <c r="A29" s="14">
        <v>2020</v>
      </c>
      <c r="B29" s="37">
        <v>0</v>
      </c>
      <c r="C29" s="21">
        <v>3.5331300000000003E-2</v>
      </c>
      <c r="D29" s="22">
        <v>6.5410099999999999E-2</v>
      </c>
      <c r="E29" s="22">
        <v>7.0695400000000005E-2</v>
      </c>
      <c r="F29" s="22">
        <v>7.0695400000000005E-2</v>
      </c>
    </row>
    <row r="30" spans="1:6" x14ac:dyDescent="0.25">
      <c r="A30" s="15">
        <v>2021</v>
      </c>
      <c r="B30" s="38">
        <v>0</v>
      </c>
      <c r="C30" s="23">
        <v>0.19809940000000001</v>
      </c>
      <c r="D30" s="24">
        <v>0.36674810000000002</v>
      </c>
      <c r="E30" s="24">
        <v>0.39638230000000002</v>
      </c>
      <c r="F30" s="24">
        <v>0.39638230000000002</v>
      </c>
    </row>
    <row r="31" spans="1:6" x14ac:dyDescent="0.25">
      <c r="A31" s="13">
        <v>2022</v>
      </c>
      <c r="B31" s="36">
        <v>0</v>
      </c>
      <c r="C31" s="19">
        <v>1.7721500000000001E-2</v>
      </c>
      <c r="D31" s="20">
        <v>3.2808400000000001E-2</v>
      </c>
      <c r="E31" s="20">
        <v>3.5459400000000002E-2</v>
      </c>
      <c r="F31" s="20">
        <v>3.5459400000000002E-2</v>
      </c>
    </row>
    <row r="32" spans="1:6" x14ac:dyDescent="0.25">
      <c r="A32" s="14">
        <v>2023</v>
      </c>
      <c r="B32" s="37">
        <v>0</v>
      </c>
      <c r="C32" s="21">
        <v>5.5521099999999997E-2</v>
      </c>
      <c r="D32" s="22">
        <v>0.10278809999999999</v>
      </c>
      <c r="E32" s="22">
        <v>0.1110937</v>
      </c>
      <c r="F32" s="22">
        <v>0.1110937</v>
      </c>
    </row>
    <row r="33" spans="1:6" x14ac:dyDescent="0.25">
      <c r="A33" s="15">
        <v>2024</v>
      </c>
      <c r="B33" s="38">
        <v>0</v>
      </c>
      <c r="C33" s="23">
        <v>0</v>
      </c>
      <c r="D33" s="24">
        <v>0</v>
      </c>
      <c r="E33" s="24">
        <v>0</v>
      </c>
      <c r="F33" s="24">
        <v>0</v>
      </c>
    </row>
    <row r="34" spans="1:6" x14ac:dyDescent="0.25">
      <c r="A34" s="14"/>
      <c r="B34" s="37"/>
      <c r="C34" s="21"/>
      <c r="D34" s="22"/>
      <c r="E34" s="22"/>
      <c r="F34" s="22"/>
    </row>
    <row r="35" spans="1:6" x14ac:dyDescent="0.25">
      <c r="A35" s="14"/>
      <c r="B35" s="37"/>
      <c r="C35" s="21"/>
      <c r="D35" s="22"/>
      <c r="E35" s="22"/>
      <c r="F35" s="22"/>
    </row>
    <row r="36" spans="1:6" x14ac:dyDescent="0.25">
      <c r="A36" s="14"/>
      <c r="B36" s="37"/>
      <c r="C36" s="21"/>
      <c r="D36" s="22"/>
      <c r="E36" s="22"/>
      <c r="F36" s="22"/>
    </row>
    <row r="37" spans="1:6" x14ac:dyDescent="0.25">
      <c r="A37" s="14"/>
      <c r="B37" s="37"/>
      <c r="C37" s="21"/>
      <c r="D37" s="22"/>
      <c r="E37" s="22"/>
      <c r="F37" s="22"/>
    </row>
    <row r="38" spans="1:6" x14ac:dyDescent="0.25">
      <c r="A38" s="14"/>
      <c r="B38" s="37"/>
      <c r="C38" s="21"/>
      <c r="D38" s="22"/>
      <c r="E38" s="22"/>
      <c r="F38" s="22"/>
    </row>
    <row r="39" spans="1:6" x14ac:dyDescent="0.25">
      <c r="A39" s="15"/>
      <c r="B39" s="38"/>
      <c r="C39" s="23"/>
      <c r="D39" s="24"/>
      <c r="E39" s="24"/>
      <c r="F39" s="2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1695-3376-49BE-8411-ECF7C4E07B8B}">
  <dimension ref="A1:H43"/>
  <sheetViews>
    <sheetView workbookViewId="0">
      <selection activeCell="B2" sqref="B2:F33"/>
    </sheetView>
  </sheetViews>
  <sheetFormatPr defaultRowHeight="15" x14ac:dyDescent="0.25"/>
  <sheetData>
    <row r="1" spans="1:8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H1" t="s">
        <v>21</v>
      </c>
    </row>
    <row r="2" spans="1:8" x14ac:dyDescent="0.25">
      <c r="A2" s="13">
        <v>1993</v>
      </c>
      <c r="B2" s="30">
        <v>101403847</v>
      </c>
      <c r="C2" s="1">
        <v>26218254</v>
      </c>
      <c r="D2" s="26">
        <v>26164266.800000001</v>
      </c>
      <c r="E2" s="31">
        <v>9222683.5999999996</v>
      </c>
      <c r="F2" s="31">
        <v>2060268.4</v>
      </c>
    </row>
    <row r="3" spans="1:8" x14ac:dyDescent="0.25">
      <c r="A3" s="14">
        <v>1994</v>
      </c>
      <c r="B3" s="32">
        <v>237960542</v>
      </c>
      <c r="C3" s="4">
        <v>37783341</v>
      </c>
      <c r="D3" s="27">
        <v>5489356.9000000004</v>
      </c>
      <c r="E3" s="33">
        <v>6739170.0999999996</v>
      </c>
      <c r="F3" s="33">
        <v>3133078.7</v>
      </c>
    </row>
    <row r="4" spans="1:8" x14ac:dyDescent="0.25">
      <c r="A4" s="14">
        <v>1995</v>
      </c>
      <c r="B4" s="32">
        <v>65787504</v>
      </c>
      <c r="C4" s="4">
        <v>88664725</v>
      </c>
      <c r="D4" s="27">
        <v>7675379.7999999998</v>
      </c>
      <c r="E4" s="33">
        <v>1337005.5</v>
      </c>
      <c r="F4" s="33">
        <v>2603431.7999999998</v>
      </c>
    </row>
    <row r="5" spans="1:8" x14ac:dyDescent="0.25">
      <c r="A5" s="14">
        <v>1996</v>
      </c>
      <c r="B5" s="32">
        <v>333509489</v>
      </c>
      <c r="C5" s="4">
        <v>24512597</v>
      </c>
      <c r="D5" s="27">
        <v>21511221.300000001</v>
      </c>
      <c r="E5" s="33">
        <v>2597027.6</v>
      </c>
      <c r="F5" s="33">
        <v>1515595</v>
      </c>
    </row>
    <row r="6" spans="1:8" x14ac:dyDescent="0.25">
      <c r="A6" s="14">
        <v>1997</v>
      </c>
      <c r="B6" s="32">
        <v>95646649</v>
      </c>
      <c r="C6" s="4">
        <v>124266515</v>
      </c>
      <c r="D6" s="27">
        <v>5255620.0999999996</v>
      </c>
      <c r="E6" s="33">
        <v>5789792.4000000004</v>
      </c>
      <c r="F6" s="33">
        <v>1212233.1000000001</v>
      </c>
    </row>
    <row r="7" spans="1:8" x14ac:dyDescent="0.25">
      <c r="A7" s="14">
        <v>1998</v>
      </c>
      <c r="B7" s="32">
        <v>44867581</v>
      </c>
      <c r="C7" s="4">
        <v>35638194</v>
      </c>
      <c r="D7" s="27">
        <v>29215191.399999999</v>
      </c>
      <c r="E7" s="33">
        <v>1677692</v>
      </c>
      <c r="F7" s="33">
        <v>2450316.4</v>
      </c>
    </row>
    <row r="8" spans="1:8" x14ac:dyDescent="0.25">
      <c r="A8" s="14">
        <v>1999</v>
      </c>
      <c r="B8" s="32">
        <v>231424843</v>
      </c>
      <c r="C8" s="4">
        <v>16717779</v>
      </c>
      <c r="D8" s="27">
        <v>8334474.4000000004</v>
      </c>
      <c r="E8" s="33">
        <v>9235354.9000000004</v>
      </c>
      <c r="F8" s="33">
        <v>1468925.5</v>
      </c>
    </row>
    <row r="9" spans="1:8" x14ac:dyDescent="0.25">
      <c r="A9" s="14">
        <v>2000</v>
      </c>
      <c r="B9" s="32">
        <v>190356798</v>
      </c>
      <c r="C9" s="4">
        <v>86229507</v>
      </c>
      <c r="D9" s="27">
        <v>3803466.8</v>
      </c>
      <c r="E9" s="33">
        <v>2503677.5</v>
      </c>
      <c r="F9" s="33">
        <v>3499524.3</v>
      </c>
    </row>
    <row r="10" spans="1:8" x14ac:dyDescent="0.25">
      <c r="A10" s="14">
        <v>2001</v>
      </c>
      <c r="B10" s="32">
        <v>24898458</v>
      </c>
      <c r="C10" s="4">
        <v>70927445</v>
      </c>
      <c r="D10" s="27">
        <v>20918044.899999999</v>
      </c>
      <c r="E10" s="33">
        <v>1286665.3</v>
      </c>
      <c r="F10" s="33">
        <v>2297028.2999999998</v>
      </c>
    </row>
    <row r="11" spans="1:8" x14ac:dyDescent="0.25">
      <c r="A11" s="14">
        <v>2002</v>
      </c>
      <c r="B11" s="32">
        <v>86097176</v>
      </c>
      <c r="C11" s="4">
        <v>9277231</v>
      </c>
      <c r="D11" s="27">
        <v>16545156.199999999</v>
      </c>
      <c r="E11" s="33">
        <v>6581401.9000000004</v>
      </c>
      <c r="F11" s="33">
        <v>1272600.7</v>
      </c>
    </row>
    <row r="12" spans="1:8" x14ac:dyDescent="0.25">
      <c r="A12" s="14">
        <v>2003</v>
      </c>
      <c r="B12" s="32">
        <v>154371268</v>
      </c>
      <c r="C12" s="4">
        <v>32080035</v>
      </c>
      <c r="D12" s="27">
        <v>2353648.2000000002</v>
      </c>
      <c r="E12" s="33">
        <v>6081070.7999999998</v>
      </c>
      <c r="F12" s="33">
        <v>3198455.1</v>
      </c>
    </row>
    <row r="13" spans="1:8" x14ac:dyDescent="0.25">
      <c r="A13" s="14">
        <v>2004</v>
      </c>
      <c r="B13" s="32">
        <v>12309551</v>
      </c>
      <c r="C13" s="4">
        <v>57519141</v>
      </c>
      <c r="D13" s="27">
        <v>6982998.5</v>
      </c>
      <c r="E13" s="33">
        <v>651489.4</v>
      </c>
      <c r="F13" s="33">
        <v>2814953</v>
      </c>
    </row>
    <row r="14" spans="1:8" x14ac:dyDescent="0.25">
      <c r="A14" s="14">
        <v>2005</v>
      </c>
      <c r="B14" s="32">
        <v>7577245</v>
      </c>
      <c r="C14" s="4">
        <v>4586571</v>
      </c>
      <c r="D14" s="27">
        <v>14446566.300000001</v>
      </c>
      <c r="E14" s="33">
        <v>2519179.2999999998</v>
      </c>
      <c r="F14" s="33">
        <v>1442719.5</v>
      </c>
    </row>
    <row r="15" spans="1:8" x14ac:dyDescent="0.25">
      <c r="A15" s="14">
        <v>2006</v>
      </c>
      <c r="B15" s="32">
        <v>5060739</v>
      </c>
      <c r="C15" s="4">
        <v>2823301</v>
      </c>
      <c r="D15" s="27">
        <v>1172497.7</v>
      </c>
      <c r="E15" s="33">
        <v>5384985.2000000002</v>
      </c>
      <c r="F15" s="33">
        <v>1659955.7</v>
      </c>
    </row>
    <row r="16" spans="1:8" x14ac:dyDescent="0.25">
      <c r="A16" s="14">
        <v>2007</v>
      </c>
      <c r="B16" s="32">
        <v>10346212</v>
      </c>
      <c r="C16" s="4">
        <v>1885645</v>
      </c>
      <c r="D16" s="27">
        <v>733116.1</v>
      </c>
      <c r="E16" s="33">
        <v>449889.1</v>
      </c>
      <c r="F16" s="33">
        <v>3020085</v>
      </c>
    </row>
    <row r="17" spans="1:6" x14ac:dyDescent="0.25">
      <c r="A17" s="14">
        <v>2008</v>
      </c>
      <c r="B17" s="32">
        <v>12917509</v>
      </c>
      <c r="C17" s="4">
        <v>3855026</v>
      </c>
      <c r="D17" s="27">
        <v>489678.5</v>
      </c>
      <c r="E17" s="33">
        <v>281340.5</v>
      </c>
      <c r="F17" s="33">
        <v>1549638.6</v>
      </c>
    </row>
    <row r="18" spans="1:6" x14ac:dyDescent="0.25">
      <c r="A18" s="14">
        <v>2009</v>
      </c>
      <c r="B18" s="32">
        <v>402694102</v>
      </c>
      <c r="C18" s="4">
        <v>4813098</v>
      </c>
      <c r="D18" s="27">
        <v>999770.7</v>
      </c>
      <c r="E18" s="33">
        <v>187456.4</v>
      </c>
      <c r="F18" s="33">
        <v>814281.9</v>
      </c>
    </row>
    <row r="19" spans="1:6" x14ac:dyDescent="0.25">
      <c r="A19" s="14">
        <v>2010</v>
      </c>
      <c r="B19" s="32">
        <v>31498281</v>
      </c>
      <c r="C19" s="4">
        <v>150044884</v>
      </c>
      <c r="D19" s="27">
        <v>1250148.8</v>
      </c>
      <c r="E19" s="33">
        <v>383812.2</v>
      </c>
      <c r="F19" s="33">
        <v>445920.6</v>
      </c>
    </row>
    <row r="20" spans="1:6" x14ac:dyDescent="0.25">
      <c r="A20" s="14">
        <v>2011</v>
      </c>
      <c r="B20" s="32">
        <v>24245963</v>
      </c>
      <c r="C20" s="4">
        <v>11736343</v>
      </c>
      <c r="D20" s="27">
        <v>38947819.399999999</v>
      </c>
      <c r="E20" s="33">
        <v>479370</v>
      </c>
      <c r="F20" s="33">
        <v>362472.1</v>
      </c>
    </row>
    <row r="21" spans="1:6" x14ac:dyDescent="0.25">
      <c r="A21" s="14">
        <v>2012</v>
      </c>
      <c r="B21" s="32">
        <v>35705925</v>
      </c>
      <c r="C21" s="4">
        <v>9034110</v>
      </c>
      <c r="D21" s="27">
        <v>3043653.2</v>
      </c>
      <c r="E21" s="33">
        <v>14909140.1</v>
      </c>
      <c r="F21" s="33">
        <v>364566.1</v>
      </c>
    </row>
    <row r="22" spans="1:6" x14ac:dyDescent="0.25">
      <c r="A22" s="14">
        <v>2013</v>
      </c>
      <c r="B22" s="32">
        <v>32117787</v>
      </c>
      <c r="C22" s="4">
        <v>13304122</v>
      </c>
      <c r="D22" s="27">
        <v>2318227.2000000002</v>
      </c>
      <c r="E22" s="33">
        <v>1142519.8</v>
      </c>
      <c r="F22" s="33">
        <v>6305588.5999999996</v>
      </c>
    </row>
    <row r="23" spans="1:6" x14ac:dyDescent="0.25">
      <c r="A23" s="14">
        <v>2014</v>
      </c>
      <c r="B23" s="32">
        <v>196358117</v>
      </c>
      <c r="C23" s="4">
        <v>11967172</v>
      </c>
      <c r="D23" s="27">
        <v>3431787.2</v>
      </c>
      <c r="E23" s="33">
        <v>878648.3</v>
      </c>
      <c r="F23" s="33">
        <v>3276908.7</v>
      </c>
    </row>
    <row r="24" spans="1:6" x14ac:dyDescent="0.25">
      <c r="A24" s="14">
        <v>2015</v>
      </c>
      <c r="B24" s="32">
        <v>66444649</v>
      </c>
      <c r="C24" s="4">
        <v>73163552</v>
      </c>
      <c r="D24" s="27">
        <v>3083226.7</v>
      </c>
      <c r="E24" s="33">
        <v>1297825.6000000001</v>
      </c>
      <c r="F24" s="33">
        <v>1817256.2</v>
      </c>
    </row>
    <row r="25" spans="1:6" x14ac:dyDescent="0.25">
      <c r="A25" s="14">
        <v>2016</v>
      </c>
      <c r="B25" s="32">
        <v>157222448</v>
      </c>
      <c r="C25" s="4">
        <v>24757451</v>
      </c>
      <c r="D25" s="27">
        <v>18885302.5</v>
      </c>
      <c r="E25" s="33">
        <v>1170067</v>
      </c>
      <c r="F25" s="33">
        <v>1349639.4</v>
      </c>
    </row>
    <row r="26" spans="1:6" x14ac:dyDescent="0.25">
      <c r="A26" s="14">
        <v>2017</v>
      </c>
      <c r="B26" s="32">
        <v>37974765</v>
      </c>
      <c r="C26" s="4">
        <v>58581499</v>
      </c>
      <c r="D26" s="27">
        <v>6312717.7999999998</v>
      </c>
      <c r="E26" s="33">
        <v>7006199.5</v>
      </c>
      <c r="F26" s="33">
        <v>1062003.6000000001</v>
      </c>
    </row>
    <row r="27" spans="1:6" x14ac:dyDescent="0.25">
      <c r="A27" s="14">
        <v>2018</v>
      </c>
      <c r="B27" s="32">
        <v>35213052</v>
      </c>
      <c r="C27" s="4">
        <v>14149498</v>
      </c>
      <c r="D27" s="27">
        <v>14635701</v>
      </c>
      <c r="E27" s="33">
        <v>2255157.7999999998</v>
      </c>
      <c r="F27" s="33">
        <v>3179872</v>
      </c>
    </row>
    <row r="28" spans="1:6" x14ac:dyDescent="0.25">
      <c r="A28" s="14">
        <v>2019</v>
      </c>
      <c r="B28" s="32">
        <v>99576929</v>
      </c>
      <c r="C28" s="4">
        <v>13120476</v>
      </c>
      <c r="D28" s="27">
        <v>3341160</v>
      </c>
      <c r="E28" s="33">
        <v>4710015.5999999996</v>
      </c>
      <c r="F28" s="33">
        <v>1970678.4</v>
      </c>
    </row>
    <row r="29" spans="1:6" x14ac:dyDescent="0.25">
      <c r="A29" s="14">
        <v>2020</v>
      </c>
      <c r="B29" s="32">
        <v>45825584</v>
      </c>
      <c r="C29" s="4">
        <v>37102626</v>
      </c>
      <c r="D29" s="27">
        <v>3319263.4</v>
      </c>
      <c r="E29" s="33">
        <v>1221595.3999999999</v>
      </c>
      <c r="F29" s="33">
        <v>2728923.8</v>
      </c>
    </row>
    <row r="30" spans="1:6" x14ac:dyDescent="0.25">
      <c r="A30" s="15">
        <v>2021</v>
      </c>
      <c r="B30" s="34">
        <v>35065401</v>
      </c>
      <c r="C30" s="7">
        <v>17074733</v>
      </c>
      <c r="D30" s="28">
        <v>9302452.5999999996</v>
      </c>
      <c r="E30" s="35">
        <v>1193583.7</v>
      </c>
      <c r="F30" s="35">
        <v>1625904.8</v>
      </c>
    </row>
    <row r="31" spans="1:6" x14ac:dyDescent="0.25">
      <c r="A31" s="13">
        <v>2022</v>
      </c>
      <c r="B31" s="30">
        <v>126089693</v>
      </c>
      <c r="C31" s="1">
        <v>13065461</v>
      </c>
      <c r="D31" s="26">
        <v>3637956.3</v>
      </c>
      <c r="E31" s="26">
        <v>2474795</v>
      </c>
      <c r="F31" s="31">
        <v>831770.7</v>
      </c>
    </row>
    <row r="32" spans="1:6" x14ac:dyDescent="0.25">
      <c r="A32" s="14">
        <v>2023</v>
      </c>
      <c r="B32" s="32">
        <v>3599415</v>
      </c>
      <c r="C32" s="4">
        <v>46981352</v>
      </c>
      <c r="D32" s="27">
        <v>3333998.6</v>
      </c>
      <c r="E32" s="27">
        <v>1351535.3</v>
      </c>
      <c r="F32" s="33">
        <v>1370298.3</v>
      </c>
    </row>
    <row r="33" spans="1:6" x14ac:dyDescent="0.25">
      <c r="A33" s="15">
        <v>2024</v>
      </c>
      <c r="B33" s="34">
        <v>8726161</v>
      </c>
      <c r="C33" s="7">
        <v>1341151</v>
      </c>
      <c r="D33" s="28">
        <v>11543832.300000001</v>
      </c>
      <c r="E33" s="28">
        <v>1154897.7</v>
      </c>
      <c r="F33" s="35">
        <v>1063045.7</v>
      </c>
    </row>
    <row r="34" spans="1:6" x14ac:dyDescent="0.25">
      <c r="A34" s="14"/>
    </row>
    <row r="35" spans="1:6" x14ac:dyDescent="0.25">
      <c r="A35" s="14"/>
    </row>
    <row r="36" spans="1:6" x14ac:dyDescent="0.25">
      <c r="A36" s="14"/>
    </row>
    <row r="37" spans="1:6" x14ac:dyDescent="0.25">
      <c r="A37" s="14"/>
    </row>
    <row r="38" spans="1:6" x14ac:dyDescent="0.25">
      <c r="A38" s="14"/>
    </row>
    <row r="39" spans="1:6" x14ac:dyDescent="0.25">
      <c r="A39" s="15"/>
    </row>
    <row r="40" spans="1:6" x14ac:dyDescent="0.25">
      <c r="A40" s="14"/>
    </row>
    <row r="41" spans="1:6" x14ac:dyDescent="0.25">
      <c r="A41" s="14"/>
    </row>
    <row r="42" spans="1:6" x14ac:dyDescent="0.25">
      <c r="A42" s="14"/>
    </row>
    <row r="43" spans="1:6" x14ac:dyDescent="0.25">
      <c r="A43" s="1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3BA7-865C-4731-A85E-E268E32D75E1}">
  <dimension ref="A1:Q44"/>
  <sheetViews>
    <sheetView workbookViewId="0">
      <selection activeCell="B2" sqref="B2:F34"/>
    </sheetView>
  </sheetViews>
  <sheetFormatPr defaultRowHeight="15" x14ac:dyDescent="0.25"/>
  <sheetData>
    <row r="1" spans="1:17" x14ac:dyDescent="0.25">
      <c r="B1">
        <v>0</v>
      </c>
      <c r="C1">
        <v>1</v>
      </c>
      <c r="D1">
        <v>2</v>
      </c>
      <c r="E1">
        <v>3</v>
      </c>
      <c r="F1">
        <v>4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s="1">
        <v>1993</v>
      </c>
      <c r="B2" s="25">
        <f>M2/1000</f>
        <v>3.64E-3</v>
      </c>
      <c r="C2" s="25">
        <f t="shared" ref="C2:F2" si="0">N2/1000</f>
        <v>8.2300000000000012E-3</v>
      </c>
      <c r="D2" s="25">
        <f t="shared" si="0"/>
        <v>1.448E-2</v>
      </c>
      <c r="E2" s="25">
        <f t="shared" si="0"/>
        <v>1.7639999999999999E-2</v>
      </c>
      <c r="F2" s="25">
        <f t="shared" si="0"/>
        <v>2.564E-2</v>
      </c>
      <c r="H2" s="1">
        <v>1993</v>
      </c>
      <c r="I2" s="3">
        <v>6.7</v>
      </c>
      <c r="J2" s="3">
        <v>11.96</v>
      </c>
      <c r="K2" s="3">
        <v>15.82</v>
      </c>
      <c r="L2" s="3">
        <v>23.54</v>
      </c>
      <c r="M2" s="3">
        <v>3.64</v>
      </c>
      <c r="N2" s="3">
        <v>8.23</v>
      </c>
      <c r="O2" s="3">
        <v>14.48</v>
      </c>
      <c r="P2" s="3">
        <v>17.64</v>
      </c>
      <c r="Q2" s="3">
        <v>25.64</v>
      </c>
    </row>
    <row r="3" spans="1:17" x14ac:dyDescent="0.25">
      <c r="A3" s="4">
        <v>1994</v>
      </c>
      <c r="B3" s="25">
        <f t="shared" ref="B3:B34" si="1">M3/1000</f>
        <v>3.64E-3</v>
      </c>
      <c r="C3" s="25">
        <f t="shared" ref="C3:C34" si="2">N3/1000</f>
        <v>8.2300000000000012E-3</v>
      </c>
      <c r="D3" s="25">
        <f t="shared" ref="D3:D34" si="3">O3/1000</f>
        <v>1.448E-2</v>
      </c>
      <c r="E3" s="25">
        <f t="shared" ref="E3:E34" si="4">P3/1000</f>
        <v>1.7639999999999999E-2</v>
      </c>
      <c r="F3" s="25">
        <f t="shared" ref="F3:F34" si="5">Q3/1000</f>
        <v>2.564E-2</v>
      </c>
      <c r="H3" s="4">
        <v>1994</v>
      </c>
      <c r="I3" s="6">
        <v>10.1</v>
      </c>
      <c r="J3" s="6">
        <v>8.57</v>
      </c>
      <c r="K3" s="6">
        <v>12.97</v>
      </c>
      <c r="L3" s="6">
        <v>18.71</v>
      </c>
      <c r="M3" s="6">
        <v>3.64</v>
      </c>
      <c r="N3" s="6">
        <v>8.23</v>
      </c>
      <c r="O3" s="6">
        <v>14.48</v>
      </c>
      <c r="P3" s="6">
        <v>17.64</v>
      </c>
      <c r="Q3" s="6">
        <v>25.64</v>
      </c>
    </row>
    <row r="4" spans="1:17" x14ac:dyDescent="0.25">
      <c r="A4" s="4">
        <v>1995</v>
      </c>
      <c r="B4" s="25">
        <f t="shared" si="1"/>
        <v>3.64E-3</v>
      </c>
      <c r="C4" s="25">
        <f t="shared" si="2"/>
        <v>8.2300000000000012E-3</v>
      </c>
      <c r="D4" s="25">
        <f t="shared" si="3"/>
        <v>1.448E-2</v>
      </c>
      <c r="E4" s="25">
        <f t="shared" si="4"/>
        <v>1.7639999999999999E-2</v>
      </c>
      <c r="F4" s="25">
        <f t="shared" si="5"/>
        <v>2.564E-2</v>
      </c>
      <c r="H4" s="4">
        <v>1995</v>
      </c>
      <c r="I4" s="6">
        <v>5.8</v>
      </c>
      <c r="J4" s="6">
        <v>15.14</v>
      </c>
      <c r="K4" s="6">
        <v>19.2</v>
      </c>
      <c r="L4" s="6">
        <v>21.85</v>
      </c>
      <c r="M4" s="6">
        <v>3.64</v>
      </c>
      <c r="N4" s="6">
        <v>8.23</v>
      </c>
      <c r="O4" s="6">
        <v>14.48</v>
      </c>
      <c r="P4" s="6">
        <v>17.64</v>
      </c>
      <c r="Q4" s="6">
        <v>25.64</v>
      </c>
    </row>
    <row r="5" spans="1:17" x14ac:dyDescent="0.25">
      <c r="A5" s="4">
        <v>1996</v>
      </c>
      <c r="B5" s="25">
        <f t="shared" si="1"/>
        <v>3.0999999999999999E-3</v>
      </c>
      <c r="C5" s="25">
        <f t="shared" si="2"/>
        <v>4.7199999999999994E-3</v>
      </c>
      <c r="D5" s="25">
        <f t="shared" si="3"/>
        <v>1.61E-2</v>
      </c>
      <c r="E5" s="25">
        <f t="shared" si="4"/>
        <v>2.5329999999999998E-2</v>
      </c>
      <c r="F5" s="25">
        <f t="shared" si="5"/>
        <v>3.4340000000000002E-2</v>
      </c>
      <c r="H5" s="4">
        <v>1996</v>
      </c>
      <c r="I5" s="6">
        <v>5.84</v>
      </c>
      <c r="J5" s="6">
        <v>14.74</v>
      </c>
      <c r="K5" s="6">
        <v>20.67</v>
      </c>
      <c r="L5" s="6">
        <v>31.93</v>
      </c>
      <c r="M5" s="6">
        <v>3.1</v>
      </c>
      <c r="N5" s="6">
        <v>4.72</v>
      </c>
      <c r="O5" s="6">
        <v>16.100000000000001</v>
      </c>
      <c r="P5" s="6">
        <v>25.33</v>
      </c>
      <c r="Q5" s="6">
        <v>34.340000000000003</v>
      </c>
    </row>
    <row r="6" spans="1:17" x14ac:dyDescent="0.25">
      <c r="A6" s="4">
        <v>1997</v>
      </c>
      <c r="B6" s="25">
        <f t="shared" si="1"/>
        <v>3.64E-3</v>
      </c>
      <c r="C6" s="25">
        <f t="shared" si="2"/>
        <v>8.2300000000000012E-3</v>
      </c>
      <c r="D6" s="25">
        <f t="shared" si="3"/>
        <v>1.448E-2</v>
      </c>
      <c r="E6" s="25">
        <f t="shared" si="4"/>
        <v>1.7639999999999999E-2</v>
      </c>
      <c r="F6" s="25">
        <f t="shared" si="5"/>
        <v>2.564E-2</v>
      </c>
      <c r="H6" s="4">
        <v>1997</v>
      </c>
      <c r="I6" s="6">
        <v>6.39</v>
      </c>
      <c r="J6" s="6">
        <v>7.12</v>
      </c>
      <c r="K6" s="6">
        <v>10.51</v>
      </c>
      <c r="L6" s="6">
        <v>17.41</v>
      </c>
      <c r="M6" s="6">
        <v>3.64</v>
      </c>
      <c r="N6" s="6">
        <v>8.23</v>
      </c>
      <c r="O6" s="6">
        <v>14.48</v>
      </c>
      <c r="P6" s="6">
        <v>17.64</v>
      </c>
      <c r="Q6" s="6">
        <v>25.64</v>
      </c>
    </row>
    <row r="7" spans="1:17" x14ac:dyDescent="0.25">
      <c r="A7" s="4">
        <v>1998</v>
      </c>
      <c r="B7" s="25">
        <f t="shared" si="1"/>
        <v>3.64E-3</v>
      </c>
      <c r="C7" s="25">
        <f t="shared" si="2"/>
        <v>8.2300000000000012E-3</v>
      </c>
      <c r="D7" s="25">
        <f t="shared" si="3"/>
        <v>1.448E-2</v>
      </c>
      <c r="E7" s="25">
        <f t="shared" si="4"/>
        <v>1.7639999999999999E-2</v>
      </c>
      <c r="F7" s="25">
        <f t="shared" si="5"/>
        <v>2.564E-2</v>
      </c>
      <c r="H7" s="4">
        <v>1998</v>
      </c>
      <c r="I7" s="6">
        <v>4.93</v>
      </c>
      <c r="J7" s="6">
        <v>9.51</v>
      </c>
      <c r="K7" s="6">
        <v>13.21</v>
      </c>
      <c r="L7" s="6">
        <v>13.4</v>
      </c>
      <c r="M7" s="6">
        <v>3.64</v>
      </c>
      <c r="N7" s="6">
        <v>8.23</v>
      </c>
      <c r="O7" s="6">
        <v>14.48</v>
      </c>
      <c r="P7" s="6">
        <v>17.64</v>
      </c>
      <c r="Q7" s="6">
        <v>25.64</v>
      </c>
    </row>
    <row r="8" spans="1:17" x14ac:dyDescent="0.25">
      <c r="A8" s="4">
        <v>1999</v>
      </c>
      <c r="B8" s="25">
        <f t="shared" si="1"/>
        <v>3.64E-3</v>
      </c>
      <c r="C8" s="25">
        <f t="shared" si="2"/>
        <v>8.2300000000000012E-3</v>
      </c>
      <c r="D8" s="25">
        <f t="shared" si="3"/>
        <v>1.448E-2</v>
      </c>
      <c r="E8" s="25">
        <f t="shared" si="4"/>
        <v>1.7639999999999999E-2</v>
      </c>
      <c r="F8" s="25">
        <f t="shared" si="5"/>
        <v>2.564E-2</v>
      </c>
      <c r="H8" s="4">
        <v>1999</v>
      </c>
      <c r="I8" s="6">
        <v>5.35</v>
      </c>
      <c r="J8" s="6">
        <v>11.13</v>
      </c>
      <c r="K8" s="6">
        <v>18.11</v>
      </c>
      <c r="L8" s="6">
        <v>22.57</v>
      </c>
      <c r="M8" s="6">
        <v>3.64</v>
      </c>
      <c r="N8" s="6">
        <v>8.23</v>
      </c>
      <c r="O8" s="6">
        <v>14.48</v>
      </c>
      <c r="P8" s="6">
        <v>17.64</v>
      </c>
      <c r="Q8" s="6">
        <v>25.64</v>
      </c>
    </row>
    <row r="9" spans="1:17" x14ac:dyDescent="0.25">
      <c r="A9" s="4">
        <v>2000</v>
      </c>
      <c r="B9" s="25">
        <f t="shared" si="1"/>
        <v>3.64E-3</v>
      </c>
      <c r="C9" s="25">
        <f t="shared" si="2"/>
        <v>8.2300000000000012E-3</v>
      </c>
      <c r="D9" s="25">
        <f t="shared" si="3"/>
        <v>1.448E-2</v>
      </c>
      <c r="E9" s="25">
        <f t="shared" si="4"/>
        <v>1.7639999999999999E-2</v>
      </c>
      <c r="F9" s="25">
        <f t="shared" si="5"/>
        <v>2.564E-2</v>
      </c>
      <c r="H9" s="4">
        <v>2000</v>
      </c>
      <c r="I9" s="6">
        <v>4.0999999999999996</v>
      </c>
      <c r="J9" s="6">
        <v>8.89</v>
      </c>
      <c r="K9" s="6">
        <v>14.31</v>
      </c>
      <c r="L9" s="6">
        <v>18.54</v>
      </c>
      <c r="M9" s="6">
        <v>3.64</v>
      </c>
      <c r="N9" s="6">
        <v>8.23</v>
      </c>
      <c r="O9" s="6">
        <v>14.48</v>
      </c>
      <c r="P9" s="6">
        <v>17.64</v>
      </c>
      <c r="Q9" s="6">
        <v>25.64</v>
      </c>
    </row>
    <row r="10" spans="1:17" x14ac:dyDescent="0.25">
      <c r="A10" s="4">
        <v>2001</v>
      </c>
      <c r="B10" s="25">
        <f t="shared" si="1"/>
        <v>3.64E-3</v>
      </c>
      <c r="C10" s="25">
        <f t="shared" si="2"/>
        <v>8.2300000000000012E-3</v>
      </c>
      <c r="D10" s="25">
        <f t="shared" si="3"/>
        <v>1.448E-2</v>
      </c>
      <c r="E10" s="25">
        <f t="shared" si="4"/>
        <v>1.7639999999999999E-2</v>
      </c>
      <c r="F10" s="25">
        <f t="shared" si="5"/>
        <v>2.564E-2</v>
      </c>
      <c r="H10" s="4">
        <v>2001</v>
      </c>
      <c r="I10" s="6">
        <v>3.59</v>
      </c>
      <c r="J10" s="6">
        <v>5.68</v>
      </c>
      <c r="K10" s="6">
        <v>8.6999999999999993</v>
      </c>
      <c r="L10" s="6">
        <v>14.17</v>
      </c>
      <c r="M10" s="6">
        <v>3.64</v>
      </c>
      <c r="N10" s="6">
        <v>8.23</v>
      </c>
      <c r="O10" s="6">
        <v>14.48</v>
      </c>
      <c r="P10" s="6">
        <v>17.64</v>
      </c>
      <c r="Q10" s="6">
        <v>25.64</v>
      </c>
    </row>
    <row r="11" spans="1:17" x14ac:dyDescent="0.25">
      <c r="A11" s="4">
        <v>2002</v>
      </c>
      <c r="B11" s="25">
        <f t="shared" si="1"/>
        <v>3.64E-3</v>
      </c>
      <c r="C11" s="25">
        <f t="shared" si="2"/>
        <v>8.2300000000000012E-3</v>
      </c>
      <c r="D11" s="25">
        <f t="shared" si="3"/>
        <v>1.448E-2</v>
      </c>
      <c r="E11" s="25">
        <f t="shared" si="4"/>
        <v>1.7639999999999999E-2</v>
      </c>
      <c r="F11" s="25">
        <f t="shared" si="5"/>
        <v>2.564E-2</v>
      </c>
      <c r="H11" s="4">
        <v>2002</v>
      </c>
      <c r="I11" s="6">
        <v>3.68</v>
      </c>
      <c r="J11" s="6">
        <v>6.1</v>
      </c>
      <c r="K11" s="6">
        <v>10.43</v>
      </c>
      <c r="L11" s="6">
        <v>19.93</v>
      </c>
      <c r="M11" s="6">
        <v>3.64</v>
      </c>
      <c r="N11" s="6">
        <v>8.23</v>
      </c>
      <c r="O11" s="6">
        <v>14.48</v>
      </c>
      <c r="P11" s="6">
        <v>17.64</v>
      </c>
      <c r="Q11" s="6">
        <v>25.64</v>
      </c>
    </row>
    <row r="12" spans="1:17" x14ac:dyDescent="0.25">
      <c r="A12" s="4">
        <v>2003</v>
      </c>
      <c r="B12" s="25">
        <f t="shared" si="1"/>
        <v>2.4399999999999999E-3</v>
      </c>
      <c r="C12" s="25">
        <f t="shared" si="2"/>
        <v>4.9299999999999995E-3</v>
      </c>
      <c r="D12" s="25">
        <f t="shared" si="3"/>
        <v>1.303E-2</v>
      </c>
      <c r="E12" s="25">
        <f t="shared" si="4"/>
        <v>1.5880000000000002E-2</v>
      </c>
      <c r="F12" s="25">
        <f t="shared" si="5"/>
        <v>2.307E-2</v>
      </c>
      <c r="H12" s="4">
        <v>2003</v>
      </c>
      <c r="I12" s="6">
        <v>3.77</v>
      </c>
      <c r="J12" s="6">
        <v>7.54</v>
      </c>
      <c r="K12" s="6">
        <v>9.57</v>
      </c>
      <c r="L12" s="6">
        <v>12.93</v>
      </c>
      <c r="M12" s="6">
        <v>2.44</v>
      </c>
      <c r="N12" s="6">
        <v>4.93</v>
      </c>
      <c r="O12" s="6">
        <v>13.03</v>
      </c>
      <c r="P12" s="6">
        <v>15.88</v>
      </c>
      <c r="Q12" s="6">
        <v>23.07</v>
      </c>
    </row>
    <row r="13" spans="1:17" x14ac:dyDescent="0.25">
      <c r="A13" s="4">
        <v>2004</v>
      </c>
      <c r="B13" s="25">
        <f t="shared" si="1"/>
        <v>3.64E-3</v>
      </c>
      <c r="C13" s="25">
        <f t="shared" si="2"/>
        <v>8.2300000000000012E-3</v>
      </c>
      <c r="D13" s="25">
        <f t="shared" si="3"/>
        <v>1.448E-2</v>
      </c>
      <c r="E13" s="25">
        <f t="shared" si="4"/>
        <v>1.7639999999999999E-2</v>
      </c>
      <c r="F13" s="25">
        <f t="shared" si="5"/>
        <v>2.564E-2</v>
      </c>
      <c r="H13" s="4">
        <v>2004</v>
      </c>
      <c r="I13" s="6">
        <v>3.99</v>
      </c>
      <c r="J13" s="6">
        <v>7.53</v>
      </c>
      <c r="K13" s="6">
        <v>9.69</v>
      </c>
      <c r="L13" s="6">
        <v>15.61</v>
      </c>
      <c r="M13" s="6">
        <v>3.64</v>
      </c>
      <c r="N13" s="6">
        <v>8.23</v>
      </c>
      <c r="O13" s="6">
        <v>14.48</v>
      </c>
      <c r="P13" s="6">
        <v>17.64</v>
      </c>
      <c r="Q13" s="6">
        <v>25.64</v>
      </c>
    </row>
    <row r="14" spans="1:17" x14ac:dyDescent="0.25">
      <c r="A14" s="4">
        <v>2005</v>
      </c>
      <c r="B14" s="25">
        <f t="shared" si="1"/>
        <v>3.64E-3</v>
      </c>
      <c r="C14" s="25">
        <f t="shared" si="2"/>
        <v>8.2300000000000012E-3</v>
      </c>
      <c r="D14" s="25">
        <f t="shared" si="3"/>
        <v>1.448E-2</v>
      </c>
      <c r="E14" s="25">
        <f t="shared" si="4"/>
        <v>1.7639999999999999E-2</v>
      </c>
      <c r="F14" s="25">
        <f t="shared" si="5"/>
        <v>2.564E-2</v>
      </c>
      <c r="H14" s="4">
        <v>2005</v>
      </c>
      <c r="I14" s="6">
        <v>3.79</v>
      </c>
      <c r="J14" s="6">
        <v>4.7699999999999996</v>
      </c>
      <c r="K14" s="6">
        <v>6.86</v>
      </c>
      <c r="L14" s="6">
        <v>18.239999999999998</v>
      </c>
      <c r="M14" s="6">
        <v>3.64</v>
      </c>
      <c r="N14" s="6">
        <v>8.23</v>
      </c>
      <c r="O14" s="6">
        <v>14.48</v>
      </c>
      <c r="P14" s="6">
        <v>17.64</v>
      </c>
      <c r="Q14" s="6">
        <v>25.64</v>
      </c>
    </row>
    <row r="15" spans="1:17" x14ac:dyDescent="0.25">
      <c r="A15" s="4">
        <v>2006</v>
      </c>
      <c r="B15" s="25">
        <f t="shared" si="1"/>
        <v>3.64E-3</v>
      </c>
      <c r="C15" s="25">
        <f t="shared" si="2"/>
        <v>8.2300000000000012E-3</v>
      </c>
      <c r="D15" s="25">
        <f t="shared" si="3"/>
        <v>1.448E-2</v>
      </c>
      <c r="E15" s="25">
        <f t="shared" si="4"/>
        <v>1.7639999999999999E-2</v>
      </c>
      <c r="F15" s="25">
        <f t="shared" si="5"/>
        <v>2.564E-2</v>
      </c>
      <c r="H15" s="4">
        <v>2006</v>
      </c>
      <c r="I15" s="6">
        <v>5.48</v>
      </c>
      <c r="J15" s="6">
        <v>10.5</v>
      </c>
      <c r="K15" s="6">
        <v>15.6</v>
      </c>
      <c r="L15" s="6">
        <v>20.76</v>
      </c>
      <c r="M15" s="6">
        <v>3.64</v>
      </c>
      <c r="N15" s="6">
        <v>8.23</v>
      </c>
      <c r="O15" s="6">
        <v>14.48</v>
      </c>
      <c r="P15" s="6">
        <v>17.64</v>
      </c>
      <c r="Q15" s="6">
        <v>25.64</v>
      </c>
    </row>
    <row r="16" spans="1:17" x14ac:dyDescent="0.25">
      <c r="A16" s="4">
        <v>2007</v>
      </c>
      <c r="B16" s="25">
        <f t="shared" si="1"/>
        <v>3.64E-3</v>
      </c>
      <c r="C16" s="25">
        <f t="shared" si="2"/>
        <v>8.2300000000000012E-3</v>
      </c>
      <c r="D16" s="25">
        <f t="shared" si="3"/>
        <v>1.448E-2</v>
      </c>
      <c r="E16" s="25">
        <f t="shared" si="4"/>
        <v>1.7639999999999999E-2</v>
      </c>
      <c r="F16" s="25">
        <f t="shared" si="5"/>
        <v>2.564E-2</v>
      </c>
      <c r="H16" s="4">
        <v>2007</v>
      </c>
      <c r="I16" s="6">
        <v>5.48</v>
      </c>
      <c r="J16" s="6">
        <v>10.5</v>
      </c>
      <c r="K16" s="6">
        <v>15.6</v>
      </c>
      <c r="L16" s="6">
        <v>20.76</v>
      </c>
      <c r="M16" s="6">
        <v>3.64</v>
      </c>
      <c r="N16" s="6">
        <v>8.23</v>
      </c>
      <c r="O16" s="6">
        <v>14.48</v>
      </c>
      <c r="P16" s="6">
        <v>17.64</v>
      </c>
      <c r="Q16" s="6">
        <v>25.64</v>
      </c>
    </row>
    <row r="17" spans="1:17" x14ac:dyDescent="0.25">
      <c r="A17" s="4">
        <v>2008</v>
      </c>
      <c r="B17" s="25">
        <f t="shared" si="1"/>
        <v>3.64E-3</v>
      </c>
      <c r="C17" s="25">
        <f t="shared" si="2"/>
        <v>8.2300000000000012E-3</v>
      </c>
      <c r="D17" s="25">
        <f t="shared" si="3"/>
        <v>1.448E-2</v>
      </c>
      <c r="E17" s="25">
        <f t="shared" si="4"/>
        <v>1.7639999999999999E-2</v>
      </c>
      <c r="F17" s="25">
        <f t="shared" si="5"/>
        <v>2.564E-2</v>
      </c>
      <c r="H17" s="4">
        <v>2008</v>
      </c>
      <c r="I17" s="6">
        <v>5.48</v>
      </c>
      <c r="J17" s="6">
        <v>10.5</v>
      </c>
      <c r="K17" s="6">
        <v>15.6</v>
      </c>
      <c r="L17" s="6">
        <v>20.76</v>
      </c>
      <c r="M17" s="6">
        <v>3.64</v>
      </c>
      <c r="N17" s="6">
        <v>8.23</v>
      </c>
      <c r="O17" s="6">
        <v>14.48</v>
      </c>
      <c r="P17" s="6">
        <v>17.64</v>
      </c>
      <c r="Q17" s="6">
        <v>25.64</v>
      </c>
    </row>
    <row r="18" spans="1:17" x14ac:dyDescent="0.25">
      <c r="A18" s="4">
        <v>2009</v>
      </c>
      <c r="B18" s="25">
        <f t="shared" si="1"/>
        <v>3.64E-3</v>
      </c>
      <c r="C18" s="25">
        <f t="shared" si="2"/>
        <v>8.2300000000000012E-3</v>
      </c>
      <c r="D18" s="25">
        <f t="shared" si="3"/>
        <v>1.448E-2</v>
      </c>
      <c r="E18" s="25">
        <f t="shared" si="4"/>
        <v>1.7639999999999999E-2</v>
      </c>
      <c r="F18" s="25">
        <f t="shared" si="5"/>
        <v>2.564E-2</v>
      </c>
      <c r="H18" s="4">
        <v>2009</v>
      </c>
      <c r="I18" s="6">
        <v>5.48</v>
      </c>
      <c r="J18" s="6">
        <v>10.5</v>
      </c>
      <c r="K18" s="6">
        <v>15.6</v>
      </c>
      <c r="L18" s="6">
        <v>20.76</v>
      </c>
      <c r="M18" s="6">
        <v>3.64</v>
      </c>
      <c r="N18" s="6">
        <v>8.23</v>
      </c>
      <c r="O18" s="6">
        <v>14.48</v>
      </c>
      <c r="P18" s="6">
        <v>17.64</v>
      </c>
      <c r="Q18" s="6">
        <v>25.64</v>
      </c>
    </row>
    <row r="19" spans="1:17" x14ac:dyDescent="0.25">
      <c r="A19" s="4">
        <v>2010</v>
      </c>
      <c r="B19" s="25">
        <f t="shared" si="1"/>
        <v>3.64E-3</v>
      </c>
      <c r="C19" s="25">
        <f t="shared" si="2"/>
        <v>8.2300000000000012E-3</v>
      </c>
      <c r="D19" s="25">
        <f t="shared" si="3"/>
        <v>1.448E-2</v>
      </c>
      <c r="E19" s="25">
        <f t="shared" si="4"/>
        <v>1.7639999999999999E-2</v>
      </c>
      <c r="F19" s="25">
        <f t="shared" si="5"/>
        <v>2.564E-2</v>
      </c>
      <c r="H19" s="4">
        <v>2010</v>
      </c>
      <c r="I19" s="6">
        <v>5.48</v>
      </c>
      <c r="J19" s="6">
        <v>10.5</v>
      </c>
      <c r="K19" s="6">
        <v>15.6</v>
      </c>
      <c r="L19" s="6">
        <v>20.76</v>
      </c>
      <c r="M19" s="6">
        <v>3.64</v>
      </c>
      <c r="N19" s="6">
        <v>8.23</v>
      </c>
      <c r="O19" s="6">
        <v>14.48</v>
      </c>
      <c r="P19" s="6">
        <v>17.64</v>
      </c>
      <c r="Q19" s="6">
        <v>25.64</v>
      </c>
    </row>
    <row r="20" spans="1:17" x14ac:dyDescent="0.25">
      <c r="A20" s="4">
        <v>2011</v>
      </c>
      <c r="B20" s="25">
        <f t="shared" si="1"/>
        <v>3.64E-3</v>
      </c>
      <c r="C20" s="25">
        <f t="shared" si="2"/>
        <v>8.2300000000000012E-3</v>
      </c>
      <c r="D20" s="25">
        <f t="shared" si="3"/>
        <v>1.448E-2</v>
      </c>
      <c r="E20" s="25">
        <f t="shared" si="4"/>
        <v>1.7639999999999999E-2</v>
      </c>
      <c r="F20" s="25">
        <f t="shared" si="5"/>
        <v>2.564E-2</v>
      </c>
      <c r="H20" s="4">
        <v>2011</v>
      </c>
      <c r="I20" s="6">
        <v>5.48</v>
      </c>
      <c r="J20" s="6">
        <v>10.5</v>
      </c>
      <c r="K20" s="6">
        <v>15.6</v>
      </c>
      <c r="L20" s="6">
        <v>20.76</v>
      </c>
      <c r="M20" s="6">
        <v>3.64</v>
      </c>
      <c r="N20" s="6">
        <v>8.23</v>
      </c>
      <c r="O20" s="6">
        <v>14.48</v>
      </c>
      <c r="P20" s="6">
        <v>17.64</v>
      </c>
      <c r="Q20" s="6">
        <v>25.64</v>
      </c>
    </row>
    <row r="21" spans="1:17" x14ac:dyDescent="0.25">
      <c r="A21" s="4">
        <v>2012</v>
      </c>
      <c r="B21" s="25">
        <f t="shared" si="1"/>
        <v>3.64E-3</v>
      </c>
      <c r="C21" s="25">
        <f t="shared" si="2"/>
        <v>8.2300000000000012E-3</v>
      </c>
      <c r="D21" s="25">
        <f t="shared" si="3"/>
        <v>1.448E-2</v>
      </c>
      <c r="E21" s="25">
        <f t="shared" si="4"/>
        <v>1.7639999999999999E-2</v>
      </c>
      <c r="F21" s="25">
        <f t="shared" si="5"/>
        <v>2.564E-2</v>
      </c>
      <c r="H21" s="4">
        <v>2012</v>
      </c>
      <c r="I21" s="6">
        <v>3.46</v>
      </c>
      <c r="J21" s="6">
        <v>7.4</v>
      </c>
      <c r="K21" s="6">
        <v>8.8800000000000008</v>
      </c>
      <c r="L21" s="6">
        <v>12.25</v>
      </c>
      <c r="M21" s="6">
        <v>3.64</v>
      </c>
      <c r="N21" s="6">
        <v>8.23</v>
      </c>
      <c r="O21" s="6">
        <v>14.48</v>
      </c>
      <c r="P21" s="6">
        <v>17.64</v>
      </c>
      <c r="Q21" s="6">
        <v>25.64</v>
      </c>
    </row>
    <row r="22" spans="1:17" x14ac:dyDescent="0.25">
      <c r="A22" s="4">
        <v>2013</v>
      </c>
      <c r="B22" s="25">
        <f t="shared" si="1"/>
        <v>3.64E-3</v>
      </c>
      <c r="C22" s="25">
        <f t="shared" si="2"/>
        <v>8.2300000000000012E-3</v>
      </c>
      <c r="D22" s="25">
        <f t="shared" si="3"/>
        <v>1.448E-2</v>
      </c>
      <c r="E22" s="25">
        <f t="shared" si="4"/>
        <v>1.7639999999999999E-2</v>
      </c>
      <c r="F22" s="25">
        <f t="shared" si="5"/>
        <v>2.564E-2</v>
      </c>
      <c r="H22" s="4">
        <v>2013</v>
      </c>
      <c r="I22" s="6">
        <v>4.18</v>
      </c>
      <c r="J22" s="6">
        <v>7.73</v>
      </c>
      <c r="K22" s="6">
        <v>13.02</v>
      </c>
      <c r="L22" s="6">
        <v>15.04</v>
      </c>
      <c r="M22" s="6">
        <v>3.64</v>
      </c>
      <c r="N22" s="6">
        <v>8.23</v>
      </c>
      <c r="O22" s="6">
        <v>14.48</v>
      </c>
      <c r="P22" s="6">
        <v>17.64</v>
      </c>
      <c r="Q22" s="6">
        <v>25.64</v>
      </c>
    </row>
    <row r="23" spans="1:17" x14ac:dyDescent="0.25">
      <c r="A23" s="4">
        <v>2014</v>
      </c>
      <c r="B23" s="25">
        <f t="shared" si="1"/>
        <v>3.64E-3</v>
      </c>
      <c r="C23" s="25">
        <f t="shared" si="2"/>
        <v>8.2300000000000012E-3</v>
      </c>
      <c r="D23" s="25">
        <f t="shared" si="3"/>
        <v>1.448E-2</v>
      </c>
      <c r="E23" s="25">
        <f t="shared" si="4"/>
        <v>1.7639999999999999E-2</v>
      </c>
      <c r="F23" s="25">
        <f t="shared" si="5"/>
        <v>2.564E-2</v>
      </c>
      <c r="H23" s="4">
        <v>2014</v>
      </c>
      <c r="I23" s="6">
        <v>5.48</v>
      </c>
      <c r="J23" s="6">
        <v>10.5</v>
      </c>
      <c r="K23" s="6">
        <v>15.6</v>
      </c>
      <c r="L23" s="6">
        <v>20.76</v>
      </c>
      <c r="M23" s="6">
        <v>3.64</v>
      </c>
      <c r="N23" s="6">
        <v>8.23</v>
      </c>
      <c r="O23" s="6">
        <v>14.48</v>
      </c>
      <c r="P23" s="6">
        <v>17.64</v>
      </c>
      <c r="Q23" s="6">
        <v>25.64</v>
      </c>
    </row>
    <row r="24" spans="1:17" x14ac:dyDescent="0.25">
      <c r="A24" s="4">
        <v>2015</v>
      </c>
      <c r="B24" s="25">
        <f t="shared" si="1"/>
        <v>3.64E-3</v>
      </c>
      <c r="C24" s="25">
        <f t="shared" si="2"/>
        <v>8.2300000000000012E-3</v>
      </c>
      <c r="D24" s="25">
        <f t="shared" si="3"/>
        <v>1.448E-2</v>
      </c>
      <c r="E24" s="25">
        <f t="shared" si="4"/>
        <v>1.7639999999999999E-2</v>
      </c>
      <c r="F24" s="25">
        <f t="shared" si="5"/>
        <v>2.564E-2</v>
      </c>
      <c r="H24" s="4">
        <v>2015</v>
      </c>
      <c r="I24" s="6">
        <v>4.4000000000000004</v>
      </c>
      <c r="J24" s="6">
        <v>9.42</v>
      </c>
      <c r="K24" s="6">
        <v>11.22</v>
      </c>
      <c r="L24" s="6">
        <v>16.62</v>
      </c>
      <c r="M24" s="6">
        <v>3.64</v>
      </c>
      <c r="N24" s="6">
        <v>8.23</v>
      </c>
      <c r="O24" s="6">
        <v>14.48</v>
      </c>
      <c r="P24" s="6">
        <v>17.64</v>
      </c>
      <c r="Q24" s="6">
        <v>25.64</v>
      </c>
    </row>
    <row r="25" spans="1:17" x14ac:dyDescent="0.25">
      <c r="A25" s="4">
        <v>2016</v>
      </c>
      <c r="B25" s="25">
        <f t="shared" si="1"/>
        <v>3.64E-3</v>
      </c>
      <c r="C25" s="25">
        <f t="shared" si="2"/>
        <v>8.2300000000000012E-3</v>
      </c>
      <c r="D25" s="25">
        <f t="shared" si="3"/>
        <v>1.448E-2</v>
      </c>
      <c r="E25" s="25">
        <f t="shared" si="4"/>
        <v>1.7639999999999999E-2</v>
      </c>
      <c r="F25" s="25">
        <f t="shared" si="5"/>
        <v>2.564E-2</v>
      </c>
      <c r="H25" s="4">
        <v>2016</v>
      </c>
      <c r="I25" s="6">
        <v>4.47</v>
      </c>
      <c r="J25" s="6">
        <v>10.8</v>
      </c>
      <c r="K25" s="6">
        <v>20.96</v>
      </c>
      <c r="L25" s="6">
        <v>28.74</v>
      </c>
      <c r="M25" s="6">
        <v>3.64</v>
      </c>
      <c r="N25" s="6">
        <v>8.23</v>
      </c>
      <c r="O25" s="6">
        <v>14.48</v>
      </c>
      <c r="P25" s="6">
        <v>17.64</v>
      </c>
      <c r="Q25" s="6">
        <v>25.64</v>
      </c>
    </row>
    <row r="26" spans="1:17" x14ac:dyDescent="0.25">
      <c r="A26" s="4">
        <v>2017</v>
      </c>
      <c r="B26" s="25">
        <f t="shared" si="1"/>
        <v>3.64E-3</v>
      </c>
      <c r="C26" s="25">
        <f t="shared" si="2"/>
        <v>8.2300000000000012E-3</v>
      </c>
      <c r="D26" s="25">
        <f t="shared" si="3"/>
        <v>1.448E-2</v>
      </c>
      <c r="E26" s="25">
        <f t="shared" si="4"/>
        <v>1.7639999999999999E-2</v>
      </c>
      <c r="F26" s="25">
        <f t="shared" si="5"/>
        <v>2.564E-2</v>
      </c>
      <c r="H26" s="4">
        <v>2017</v>
      </c>
      <c r="I26" s="6">
        <v>6.93</v>
      </c>
      <c r="J26" s="6">
        <v>10.99</v>
      </c>
      <c r="K26" s="6">
        <v>15.64</v>
      </c>
      <c r="L26" s="6">
        <v>22.17</v>
      </c>
      <c r="M26" s="6">
        <v>3.64</v>
      </c>
      <c r="N26" s="6">
        <v>8.23</v>
      </c>
      <c r="O26" s="6">
        <v>14.48</v>
      </c>
      <c r="P26" s="6">
        <v>17.64</v>
      </c>
      <c r="Q26" s="6">
        <v>25.64</v>
      </c>
    </row>
    <row r="27" spans="1:17" x14ac:dyDescent="0.25">
      <c r="A27" s="4">
        <v>2018</v>
      </c>
      <c r="B27" s="25">
        <f t="shared" si="1"/>
        <v>3.64E-3</v>
      </c>
      <c r="C27" s="25">
        <f t="shared" si="2"/>
        <v>8.2300000000000012E-3</v>
      </c>
      <c r="D27" s="25">
        <f t="shared" si="3"/>
        <v>1.448E-2</v>
      </c>
      <c r="E27" s="25">
        <f t="shared" si="4"/>
        <v>1.7639999999999999E-2</v>
      </c>
      <c r="F27" s="25">
        <f t="shared" si="5"/>
        <v>2.564E-2</v>
      </c>
      <c r="H27" s="4">
        <v>2018</v>
      </c>
      <c r="I27" s="6">
        <v>4.49</v>
      </c>
      <c r="J27" s="6">
        <v>9.3000000000000007</v>
      </c>
      <c r="K27" s="6">
        <v>13.77</v>
      </c>
      <c r="L27" s="6">
        <v>20.12</v>
      </c>
      <c r="M27" s="6">
        <v>3.64</v>
      </c>
      <c r="N27" s="6">
        <v>8.23</v>
      </c>
      <c r="O27" s="6">
        <v>14.48</v>
      </c>
      <c r="P27" s="6">
        <v>17.64</v>
      </c>
      <c r="Q27" s="6">
        <v>25.64</v>
      </c>
    </row>
    <row r="28" spans="1:17" x14ac:dyDescent="0.25">
      <c r="A28" s="4">
        <v>2019</v>
      </c>
      <c r="B28" s="25">
        <f t="shared" si="1"/>
        <v>3.64E-3</v>
      </c>
      <c r="C28" s="25">
        <f t="shared" si="2"/>
        <v>8.2300000000000012E-3</v>
      </c>
      <c r="D28" s="25">
        <f t="shared" si="3"/>
        <v>1.448E-2</v>
      </c>
      <c r="E28" s="25">
        <f t="shared" si="4"/>
        <v>1.7639999999999999E-2</v>
      </c>
      <c r="F28" s="25">
        <f t="shared" si="5"/>
        <v>2.564E-2</v>
      </c>
      <c r="H28" s="4">
        <v>2019</v>
      </c>
      <c r="I28" s="6">
        <v>5.77</v>
      </c>
      <c r="J28" s="6">
        <v>9.9499999999999993</v>
      </c>
      <c r="K28" s="6">
        <v>13.71</v>
      </c>
      <c r="L28" s="6">
        <v>20.34</v>
      </c>
      <c r="M28" s="6">
        <v>3.64</v>
      </c>
      <c r="N28" s="6">
        <v>8.23</v>
      </c>
      <c r="O28" s="6">
        <v>14.48</v>
      </c>
      <c r="P28" s="6">
        <v>17.64</v>
      </c>
      <c r="Q28" s="6">
        <v>25.64</v>
      </c>
    </row>
    <row r="29" spans="1:17" x14ac:dyDescent="0.25">
      <c r="A29" s="7">
        <v>2020</v>
      </c>
      <c r="B29" s="25">
        <f t="shared" si="1"/>
        <v>3.64E-3</v>
      </c>
      <c r="C29" s="25">
        <f t="shared" si="2"/>
        <v>8.2300000000000012E-3</v>
      </c>
      <c r="D29" s="25">
        <f t="shared" si="3"/>
        <v>1.448E-2</v>
      </c>
      <c r="E29" s="25">
        <f t="shared" si="4"/>
        <v>1.7639999999999999E-2</v>
      </c>
      <c r="F29" s="25">
        <f t="shared" si="5"/>
        <v>2.564E-2</v>
      </c>
      <c r="H29" s="7">
        <v>2020</v>
      </c>
      <c r="I29" s="9">
        <v>6.19</v>
      </c>
      <c r="J29" s="9">
        <v>9.25</v>
      </c>
      <c r="K29" s="9">
        <v>15.61</v>
      </c>
      <c r="L29" s="9">
        <v>14.18</v>
      </c>
      <c r="M29" s="9">
        <v>3.64</v>
      </c>
      <c r="N29" s="9">
        <v>8.23</v>
      </c>
      <c r="O29" s="9">
        <v>14.48</v>
      </c>
      <c r="P29" s="9">
        <v>17.64</v>
      </c>
      <c r="Q29" s="9">
        <v>25.64</v>
      </c>
    </row>
    <row r="30" spans="1:17" x14ac:dyDescent="0.25">
      <c r="A30" s="1">
        <v>2021</v>
      </c>
      <c r="B30" s="25">
        <f t="shared" si="1"/>
        <v>3.63E-3</v>
      </c>
      <c r="C30" s="25">
        <f t="shared" si="2"/>
        <v>9.7699999999999992E-3</v>
      </c>
      <c r="D30" s="25">
        <f t="shared" si="3"/>
        <v>1.3310000000000001E-2</v>
      </c>
      <c r="E30" s="25">
        <f t="shared" si="4"/>
        <v>1.9620000000000002E-2</v>
      </c>
      <c r="F30" s="25">
        <f t="shared" si="5"/>
        <v>2.104E-2</v>
      </c>
      <c r="H30" s="1">
        <v>2021</v>
      </c>
      <c r="I30" s="2">
        <v>5.52</v>
      </c>
      <c r="J30" s="3">
        <v>9.7799999999999994</v>
      </c>
      <c r="K30" s="3">
        <v>12.98</v>
      </c>
      <c r="L30" s="3">
        <v>18.579999999999998</v>
      </c>
      <c r="M30" s="3">
        <v>3.63</v>
      </c>
      <c r="N30" s="3">
        <v>9.77</v>
      </c>
      <c r="O30" s="3">
        <v>13.31</v>
      </c>
      <c r="P30" s="3">
        <v>19.62</v>
      </c>
      <c r="Q30" s="3">
        <v>21.04</v>
      </c>
    </row>
    <row r="31" spans="1:17" x14ac:dyDescent="0.25">
      <c r="A31" s="4">
        <v>2022</v>
      </c>
      <c r="B31" s="25">
        <f t="shared" si="1"/>
        <v>3.64E-3</v>
      </c>
      <c r="C31" s="25">
        <f t="shared" si="2"/>
        <v>8.539999999999999E-3</v>
      </c>
      <c r="D31" s="25">
        <f t="shared" si="3"/>
        <v>1.4250000000000001E-2</v>
      </c>
      <c r="E31" s="25">
        <f t="shared" si="4"/>
        <v>1.804E-2</v>
      </c>
      <c r="F31" s="25">
        <f t="shared" si="5"/>
        <v>2.4719999999999999E-2</v>
      </c>
      <c r="H31" s="4">
        <v>2022</v>
      </c>
      <c r="I31" s="5">
        <v>5.78</v>
      </c>
      <c r="J31" s="6">
        <v>9.85</v>
      </c>
      <c r="K31" s="6">
        <v>14.34</v>
      </c>
      <c r="L31" s="6">
        <v>19.079999999999998</v>
      </c>
      <c r="M31" s="6">
        <v>3.64</v>
      </c>
      <c r="N31" s="6">
        <v>8.5399999999999991</v>
      </c>
      <c r="O31" s="6">
        <v>14.25</v>
      </c>
      <c r="P31" s="6">
        <v>18.04</v>
      </c>
      <c r="Q31" s="6">
        <v>24.72</v>
      </c>
    </row>
    <row r="32" spans="1:17" x14ac:dyDescent="0.25">
      <c r="A32" s="4">
        <v>2023</v>
      </c>
      <c r="B32" s="25">
        <f t="shared" si="1"/>
        <v>3.7799999999999999E-3</v>
      </c>
      <c r="C32" s="25">
        <f t="shared" si="2"/>
        <v>8.5599999999999999E-3</v>
      </c>
      <c r="D32" s="25">
        <f t="shared" si="3"/>
        <v>1.559E-2</v>
      </c>
      <c r="E32" s="25">
        <f t="shared" si="4"/>
        <v>1.865E-2</v>
      </c>
      <c r="F32" s="25">
        <f t="shared" si="5"/>
        <v>2.6239999999999999E-2</v>
      </c>
      <c r="H32" s="4">
        <v>2023</v>
      </c>
      <c r="I32" s="5">
        <v>4.9800000000000004</v>
      </c>
      <c r="J32" s="6">
        <v>10.91</v>
      </c>
      <c r="K32" s="6">
        <v>13.27</v>
      </c>
      <c r="L32" s="6">
        <v>20.23</v>
      </c>
      <c r="M32" s="6">
        <v>3.78</v>
      </c>
      <c r="N32" s="6">
        <v>8.56</v>
      </c>
      <c r="O32" s="6">
        <v>15.59</v>
      </c>
      <c r="P32" s="6">
        <v>18.649999999999999</v>
      </c>
      <c r="Q32" s="6">
        <v>26.24</v>
      </c>
    </row>
    <row r="33" spans="1:17" x14ac:dyDescent="0.25">
      <c r="A33" s="4">
        <v>2024</v>
      </c>
      <c r="B33" s="25">
        <f t="shared" si="1"/>
        <v>3.7799999999999999E-3</v>
      </c>
      <c r="C33" s="25">
        <f t="shared" si="2"/>
        <v>8.5599999999999999E-3</v>
      </c>
      <c r="D33" s="25">
        <f t="shared" si="3"/>
        <v>1.559E-2</v>
      </c>
      <c r="E33" s="25">
        <f t="shared" si="4"/>
        <v>1.865E-2</v>
      </c>
      <c r="F33" s="25">
        <f t="shared" si="5"/>
        <v>2.6239999999999999E-2</v>
      </c>
      <c r="H33" s="4">
        <v>2024</v>
      </c>
      <c r="I33" s="5">
        <v>5.54</v>
      </c>
      <c r="J33" s="6">
        <v>10.68</v>
      </c>
      <c r="K33" s="6">
        <v>15.54</v>
      </c>
      <c r="L33" s="6">
        <v>20.8</v>
      </c>
      <c r="M33" s="6">
        <v>3.78</v>
      </c>
      <c r="N33" s="6">
        <v>8.56</v>
      </c>
      <c r="O33" s="6">
        <v>15.59</v>
      </c>
      <c r="P33" s="6">
        <v>18.649999999999999</v>
      </c>
      <c r="Q33" s="6">
        <v>26.24</v>
      </c>
    </row>
    <row r="34" spans="1:17" x14ac:dyDescent="0.25">
      <c r="A34" s="7">
        <v>2025</v>
      </c>
      <c r="B34" s="25">
        <f t="shared" si="1"/>
        <v>3.6900000000000001E-3</v>
      </c>
      <c r="C34" s="25">
        <f t="shared" si="2"/>
        <v>8.7299999999999999E-3</v>
      </c>
      <c r="D34" s="25">
        <f t="shared" si="3"/>
        <v>1.464E-2</v>
      </c>
      <c r="E34" s="25">
        <f t="shared" si="4"/>
        <v>1.8519999999999998E-2</v>
      </c>
      <c r="F34" s="25">
        <f t="shared" si="5"/>
        <v>2.477E-2</v>
      </c>
      <c r="H34" s="7">
        <v>2025</v>
      </c>
      <c r="I34" s="8">
        <v>5.6</v>
      </c>
      <c r="J34" s="9">
        <v>10.1</v>
      </c>
      <c r="K34" s="9">
        <v>14.35</v>
      </c>
      <c r="L34" s="9">
        <v>18.57</v>
      </c>
      <c r="M34" s="9">
        <v>3.69</v>
      </c>
      <c r="N34" s="9">
        <v>8.73</v>
      </c>
      <c r="O34" s="9">
        <v>14.64</v>
      </c>
      <c r="P34" s="9">
        <v>18.52</v>
      </c>
      <c r="Q34" s="9">
        <v>24.77</v>
      </c>
    </row>
    <row r="35" spans="1:17" x14ac:dyDescent="0.25">
      <c r="A35" s="4"/>
      <c r="B35" s="25"/>
      <c r="C35" s="25"/>
      <c r="D35" s="25"/>
      <c r="E35" s="25"/>
      <c r="F35" s="25"/>
      <c r="H35" s="4"/>
      <c r="I35" s="5"/>
      <c r="J35" s="6"/>
      <c r="K35" s="6"/>
      <c r="L35" s="6"/>
      <c r="M35" s="6"/>
      <c r="N35" s="6"/>
      <c r="O35" s="6"/>
      <c r="P35" s="6"/>
      <c r="Q35" s="6"/>
    </row>
    <row r="36" spans="1:17" x14ac:dyDescent="0.25">
      <c r="A36" s="4"/>
      <c r="B36" s="25"/>
      <c r="C36" s="25"/>
      <c r="D36" s="25"/>
      <c r="E36" s="25"/>
      <c r="F36" s="25"/>
      <c r="H36" s="4"/>
      <c r="I36" s="5"/>
      <c r="J36" s="6"/>
      <c r="K36" s="6"/>
      <c r="L36" s="6"/>
      <c r="M36" s="6"/>
      <c r="N36" s="6"/>
      <c r="O36" s="6"/>
      <c r="P36" s="6"/>
      <c r="Q36" s="6"/>
    </row>
    <row r="37" spans="1:17" x14ac:dyDescent="0.25">
      <c r="A37" s="4"/>
      <c r="B37" s="25"/>
      <c r="C37" s="25"/>
      <c r="D37" s="25"/>
      <c r="E37" s="25"/>
      <c r="F37" s="25"/>
      <c r="H37" s="4"/>
      <c r="I37" s="5"/>
      <c r="J37" s="6"/>
      <c r="K37" s="6"/>
      <c r="L37" s="6"/>
      <c r="M37" s="6"/>
      <c r="N37" s="6"/>
      <c r="O37" s="6"/>
      <c r="P37" s="6"/>
      <c r="Q37" s="6"/>
    </row>
    <row r="38" spans="1:17" x14ac:dyDescent="0.25">
      <c r="A38" s="4"/>
      <c r="B38" s="25"/>
      <c r="C38" s="25"/>
      <c r="D38" s="25"/>
      <c r="E38" s="25"/>
      <c r="F38" s="25"/>
      <c r="H38" s="4"/>
      <c r="I38" s="5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A39" s="4"/>
      <c r="B39" s="25"/>
      <c r="C39" s="25"/>
      <c r="D39" s="25"/>
      <c r="E39" s="25"/>
      <c r="F39" s="25"/>
      <c r="H39" s="4"/>
      <c r="I39" s="5"/>
      <c r="J39" s="6"/>
      <c r="K39" s="6"/>
      <c r="L39" s="6"/>
      <c r="M39" s="6"/>
      <c r="N39" s="6"/>
      <c r="O39" s="6"/>
      <c r="P39" s="6"/>
      <c r="Q39" s="6"/>
    </row>
    <row r="40" spans="1:17" x14ac:dyDescent="0.25">
      <c r="A40" s="7"/>
      <c r="B40" s="25"/>
      <c r="C40" s="25"/>
      <c r="D40" s="25"/>
      <c r="E40" s="25"/>
      <c r="F40" s="25"/>
      <c r="H40" s="7"/>
      <c r="I40" s="8"/>
      <c r="J40" s="9"/>
      <c r="K40" s="9"/>
      <c r="L40" s="9"/>
      <c r="M40" s="9"/>
      <c r="N40" s="9"/>
      <c r="O40" s="9"/>
      <c r="P40" s="9"/>
      <c r="Q40" s="9"/>
    </row>
    <row r="41" spans="1:17" x14ac:dyDescent="0.25">
      <c r="A41" s="4"/>
      <c r="B41" s="25"/>
      <c r="C41" s="25"/>
      <c r="D41" s="25"/>
      <c r="E41" s="25"/>
      <c r="F41" s="25"/>
      <c r="H41" s="4"/>
      <c r="I41" s="5"/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 s="4"/>
      <c r="B42" s="25"/>
      <c r="C42" s="25"/>
      <c r="D42" s="25"/>
      <c r="E42" s="25"/>
      <c r="F42" s="25"/>
      <c r="H42" s="4"/>
      <c r="I42" s="5"/>
      <c r="J42" s="6"/>
      <c r="K42" s="6"/>
      <c r="L42" s="6"/>
      <c r="M42" s="6"/>
      <c r="N42" s="6"/>
      <c r="O42" s="6"/>
      <c r="P42" s="6"/>
      <c r="Q42" s="6"/>
    </row>
    <row r="43" spans="1:17" x14ac:dyDescent="0.25">
      <c r="A43" s="4"/>
      <c r="B43" s="25"/>
      <c r="C43" s="25"/>
      <c r="D43" s="25"/>
      <c r="E43" s="25"/>
      <c r="F43" s="25"/>
      <c r="H43" s="4"/>
      <c r="I43" s="5"/>
      <c r="J43" s="6"/>
      <c r="K43" s="6"/>
      <c r="L43" s="6"/>
      <c r="M43" s="6"/>
      <c r="N43" s="6"/>
      <c r="O43" s="6"/>
      <c r="P43" s="6"/>
      <c r="Q43" s="6"/>
    </row>
    <row r="44" spans="1:17" x14ac:dyDescent="0.25">
      <c r="A44" s="7"/>
      <c r="B44" s="25"/>
      <c r="C44" s="25"/>
      <c r="D44" s="25"/>
      <c r="E44" s="25"/>
      <c r="F44" s="25"/>
      <c r="H44" s="7"/>
      <c r="I44" s="8"/>
      <c r="J44" s="9"/>
      <c r="K44" s="9"/>
      <c r="L44" s="9"/>
      <c r="M44" s="9"/>
      <c r="N44" s="9"/>
      <c r="O44" s="9"/>
      <c r="P44" s="9"/>
      <c r="Q44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C838-D0D2-4077-8044-AF38DA5D7438}">
  <dimension ref="A1:R59"/>
  <sheetViews>
    <sheetView workbookViewId="0">
      <selection activeCell="B2" sqref="B2:F34"/>
    </sheetView>
  </sheetViews>
  <sheetFormatPr defaultRowHeight="15" x14ac:dyDescent="0.25"/>
  <sheetData>
    <row r="1" spans="1:18" x14ac:dyDescent="0.25">
      <c r="B1">
        <v>0</v>
      </c>
      <c r="C1">
        <v>1</v>
      </c>
      <c r="D1">
        <v>2</v>
      </c>
      <c r="E1">
        <v>3</v>
      </c>
      <c r="F1">
        <v>4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</row>
    <row r="2" spans="1:18" x14ac:dyDescent="0.25">
      <c r="A2" s="1">
        <v>1993</v>
      </c>
      <c r="B2" s="1">
        <v>0</v>
      </c>
      <c r="C2" s="3">
        <v>0.08</v>
      </c>
      <c r="D2" s="3">
        <v>0.53</v>
      </c>
      <c r="E2" s="3">
        <v>0.81</v>
      </c>
      <c r="F2" s="3">
        <v>0.98</v>
      </c>
      <c r="I2" s="1">
        <v>1993</v>
      </c>
      <c r="J2" s="2">
        <v>0.08</v>
      </c>
      <c r="K2" s="3">
        <v>0.53</v>
      </c>
      <c r="L2" s="3">
        <v>0.81</v>
      </c>
      <c r="M2" s="3">
        <v>0.98</v>
      </c>
      <c r="N2" s="1">
        <v>0</v>
      </c>
      <c r="O2" s="3">
        <v>0.08</v>
      </c>
      <c r="P2" s="3">
        <v>0.53</v>
      </c>
      <c r="Q2" s="3">
        <v>0.81</v>
      </c>
      <c r="R2" s="3">
        <v>0.98</v>
      </c>
    </row>
    <row r="3" spans="1:18" x14ac:dyDescent="0.25">
      <c r="A3" s="4">
        <v>1994</v>
      </c>
      <c r="B3" s="4">
        <v>0</v>
      </c>
      <c r="C3" s="6">
        <v>0.08</v>
      </c>
      <c r="D3" s="6">
        <v>0.53</v>
      </c>
      <c r="E3" s="6">
        <v>0.81</v>
      </c>
      <c r="F3" s="6">
        <v>0.98</v>
      </c>
      <c r="I3" s="4">
        <v>1994</v>
      </c>
      <c r="J3" s="5">
        <v>0.08</v>
      </c>
      <c r="K3" s="6">
        <v>0.53</v>
      </c>
      <c r="L3" s="6">
        <v>0.81</v>
      </c>
      <c r="M3" s="6">
        <v>0.98</v>
      </c>
      <c r="N3" s="4">
        <v>0</v>
      </c>
      <c r="O3" s="6">
        <v>0.08</v>
      </c>
      <c r="P3" s="6">
        <v>0.53</v>
      </c>
      <c r="Q3" s="6">
        <v>0.81</v>
      </c>
      <c r="R3" s="6">
        <v>0.98</v>
      </c>
    </row>
    <row r="4" spans="1:18" x14ac:dyDescent="0.25">
      <c r="A4" s="4">
        <v>1995</v>
      </c>
      <c r="B4" s="4">
        <v>0</v>
      </c>
      <c r="C4" s="6">
        <v>0.08</v>
      </c>
      <c r="D4" s="6">
        <v>0.53</v>
      </c>
      <c r="E4" s="6">
        <v>0.81</v>
      </c>
      <c r="F4" s="6">
        <v>0.98</v>
      </c>
      <c r="I4" s="4">
        <v>1995</v>
      </c>
      <c r="J4" s="5">
        <v>0.08</v>
      </c>
      <c r="K4" s="6">
        <v>0.53</v>
      </c>
      <c r="L4" s="6">
        <v>0.81</v>
      </c>
      <c r="M4" s="6">
        <v>0.98</v>
      </c>
      <c r="N4" s="4">
        <v>0</v>
      </c>
      <c r="O4" s="6">
        <v>0.08</v>
      </c>
      <c r="P4" s="6">
        <v>0.53</v>
      </c>
      <c r="Q4" s="6">
        <v>0.81</v>
      </c>
      <c r="R4" s="6">
        <v>0.98</v>
      </c>
    </row>
    <row r="5" spans="1:18" x14ac:dyDescent="0.25">
      <c r="A5" s="4">
        <v>1996</v>
      </c>
      <c r="B5" s="4">
        <v>0</v>
      </c>
      <c r="C5" s="6">
        <v>0.08</v>
      </c>
      <c r="D5" s="6">
        <v>0.53</v>
      </c>
      <c r="E5" s="6">
        <v>0.81</v>
      </c>
      <c r="F5" s="6">
        <v>0.98</v>
      </c>
      <c r="I5" s="4">
        <v>1996</v>
      </c>
      <c r="J5" s="5">
        <v>0.08</v>
      </c>
      <c r="K5" s="6">
        <v>0.53</v>
      </c>
      <c r="L5" s="6">
        <v>0.81</v>
      </c>
      <c r="M5" s="6">
        <v>0.98</v>
      </c>
      <c r="N5" s="4">
        <v>0</v>
      </c>
      <c r="O5" s="6">
        <v>0.08</v>
      </c>
      <c r="P5" s="6">
        <v>0.53</v>
      </c>
      <c r="Q5" s="6">
        <v>0.81</v>
      </c>
      <c r="R5" s="6">
        <v>0.98</v>
      </c>
    </row>
    <row r="6" spans="1:18" x14ac:dyDescent="0.25">
      <c r="A6" s="4">
        <v>1997</v>
      </c>
      <c r="B6" s="4">
        <v>0</v>
      </c>
      <c r="C6" s="6">
        <v>0.08</v>
      </c>
      <c r="D6" s="6">
        <v>0.53</v>
      </c>
      <c r="E6" s="6">
        <v>0.81</v>
      </c>
      <c r="F6" s="6">
        <v>0.98</v>
      </c>
      <c r="I6" s="4">
        <v>1997</v>
      </c>
      <c r="J6" s="5">
        <v>0.08</v>
      </c>
      <c r="K6" s="6">
        <v>0.53</v>
      </c>
      <c r="L6" s="6">
        <v>0.81</v>
      </c>
      <c r="M6" s="6">
        <v>0.98</v>
      </c>
      <c r="N6" s="4">
        <v>0</v>
      </c>
      <c r="O6" s="6">
        <v>0.08</v>
      </c>
      <c r="P6" s="6">
        <v>0.53</v>
      </c>
      <c r="Q6" s="6">
        <v>0.81</v>
      </c>
      <c r="R6" s="6">
        <v>0.98</v>
      </c>
    </row>
    <row r="7" spans="1:18" x14ac:dyDescent="0.25">
      <c r="A7" s="4">
        <v>1998</v>
      </c>
      <c r="B7" s="4">
        <v>0</v>
      </c>
      <c r="C7" s="6">
        <v>0.08</v>
      </c>
      <c r="D7" s="6">
        <v>0.53</v>
      </c>
      <c r="E7" s="6">
        <v>0.81</v>
      </c>
      <c r="F7" s="6">
        <v>0.98</v>
      </c>
      <c r="I7" s="4">
        <v>1998</v>
      </c>
      <c r="J7" s="5">
        <v>0.08</v>
      </c>
      <c r="K7" s="6">
        <v>0.53</v>
      </c>
      <c r="L7" s="6">
        <v>0.81</v>
      </c>
      <c r="M7" s="6">
        <v>0.98</v>
      </c>
      <c r="N7" s="4">
        <v>0</v>
      </c>
      <c r="O7" s="6">
        <v>0.08</v>
      </c>
      <c r="P7" s="6">
        <v>0.53</v>
      </c>
      <c r="Q7" s="6">
        <v>0.81</v>
      </c>
      <c r="R7" s="6">
        <v>0.98</v>
      </c>
    </row>
    <row r="8" spans="1:18" x14ac:dyDescent="0.25">
      <c r="A8" s="4">
        <v>1999</v>
      </c>
      <c r="B8" s="4">
        <v>0</v>
      </c>
      <c r="C8" s="6">
        <v>0.08</v>
      </c>
      <c r="D8" s="6">
        <v>0.53</v>
      </c>
      <c r="E8" s="6">
        <v>0.81</v>
      </c>
      <c r="F8" s="6">
        <v>0.98</v>
      </c>
      <c r="I8" s="4">
        <v>1999</v>
      </c>
      <c r="J8" s="5">
        <v>0.08</v>
      </c>
      <c r="K8" s="6">
        <v>0.53</v>
      </c>
      <c r="L8" s="6">
        <v>0.81</v>
      </c>
      <c r="M8" s="6">
        <v>0.98</v>
      </c>
      <c r="N8" s="4">
        <v>0</v>
      </c>
      <c r="O8" s="6">
        <v>0.08</v>
      </c>
      <c r="P8" s="6">
        <v>0.53</v>
      </c>
      <c r="Q8" s="6">
        <v>0.81</v>
      </c>
      <c r="R8" s="6">
        <v>0.98</v>
      </c>
    </row>
    <row r="9" spans="1:18" x14ac:dyDescent="0.25">
      <c r="A9" s="4">
        <v>2000</v>
      </c>
      <c r="B9" s="4">
        <v>0</v>
      </c>
      <c r="C9" s="6">
        <v>0.08</v>
      </c>
      <c r="D9" s="6">
        <v>0.53</v>
      </c>
      <c r="E9" s="6">
        <v>0.81</v>
      </c>
      <c r="F9" s="6">
        <v>0.98</v>
      </c>
      <c r="I9" s="4">
        <v>2000</v>
      </c>
      <c r="J9" s="5">
        <v>0.08</v>
      </c>
      <c r="K9" s="6">
        <v>0.53</v>
      </c>
      <c r="L9" s="6">
        <v>0.81</v>
      </c>
      <c r="M9" s="6">
        <v>0.98</v>
      </c>
      <c r="N9" s="4">
        <v>0</v>
      </c>
      <c r="O9" s="6">
        <v>0.08</v>
      </c>
      <c r="P9" s="6">
        <v>0.53</v>
      </c>
      <c r="Q9" s="6">
        <v>0.81</v>
      </c>
      <c r="R9" s="6">
        <v>0.98</v>
      </c>
    </row>
    <row r="10" spans="1:18" x14ac:dyDescent="0.25">
      <c r="A10" s="4">
        <v>2001</v>
      </c>
      <c r="B10" s="4">
        <v>0</v>
      </c>
      <c r="C10" s="6">
        <v>0.08</v>
      </c>
      <c r="D10" s="6">
        <v>0.53</v>
      </c>
      <c r="E10" s="6">
        <v>0.81</v>
      </c>
      <c r="F10" s="6">
        <v>0.98</v>
      </c>
      <c r="I10" s="4">
        <v>2001</v>
      </c>
      <c r="J10" s="5">
        <v>0.08</v>
      </c>
      <c r="K10" s="6">
        <v>0.53</v>
      </c>
      <c r="L10" s="6">
        <v>0.81</v>
      </c>
      <c r="M10" s="6">
        <v>0.98</v>
      </c>
      <c r="N10" s="4">
        <v>0</v>
      </c>
      <c r="O10" s="6">
        <v>0.08</v>
      </c>
      <c r="P10" s="6">
        <v>0.53</v>
      </c>
      <c r="Q10" s="6">
        <v>0.81</v>
      </c>
      <c r="R10" s="6">
        <v>0.98</v>
      </c>
    </row>
    <row r="11" spans="1:18" x14ac:dyDescent="0.25">
      <c r="A11" s="4">
        <v>2002</v>
      </c>
      <c r="B11" s="4">
        <v>0</v>
      </c>
      <c r="C11" s="6">
        <v>0.08</v>
      </c>
      <c r="D11" s="6">
        <v>0.53</v>
      </c>
      <c r="E11" s="6">
        <v>0.81</v>
      </c>
      <c r="F11" s="6">
        <v>0.98</v>
      </c>
      <c r="I11" s="4">
        <v>2002</v>
      </c>
      <c r="J11" s="5">
        <v>0.08</v>
      </c>
      <c r="K11" s="6">
        <v>0.53</v>
      </c>
      <c r="L11" s="6">
        <v>0.81</v>
      </c>
      <c r="M11" s="6">
        <v>0.98</v>
      </c>
      <c r="N11" s="4">
        <v>0</v>
      </c>
      <c r="O11" s="6">
        <v>0.08</v>
      </c>
      <c r="P11" s="6">
        <v>0.53</v>
      </c>
      <c r="Q11" s="6">
        <v>0.81</v>
      </c>
      <c r="R11" s="6">
        <v>0.98</v>
      </c>
    </row>
    <row r="12" spans="1:18" x14ac:dyDescent="0.25">
      <c r="A12" s="4">
        <v>2003</v>
      </c>
      <c r="B12" s="4">
        <v>0</v>
      </c>
      <c r="C12" s="6">
        <v>0.08</v>
      </c>
      <c r="D12" s="6">
        <v>0.53</v>
      </c>
      <c r="E12" s="6">
        <v>0.81</v>
      </c>
      <c r="F12" s="6">
        <v>0.98</v>
      </c>
      <c r="I12" s="4">
        <v>2003</v>
      </c>
      <c r="J12" s="5">
        <v>0.08</v>
      </c>
      <c r="K12" s="6">
        <v>0.53</v>
      </c>
      <c r="L12" s="6">
        <v>0.81</v>
      </c>
      <c r="M12" s="6">
        <v>0.98</v>
      </c>
      <c r="N12" s="4">
        <v>0</v>
      </c>
      <c r="O12" s="6">
        <v>0.08</v>
      </c>
      <c r="P12" s="6">
        <v>0.53</v>
      </c>
      <c r="Q12" s="6">
        <v>0.81</v>
      </c>
      <c r="R12" s="6">
        <v>0.98</v>
      </c>
    </row>
    <row r="13" spans="1:18" x14ac:dyDescent="0.25">
      <c r="A13" s="4">
        <v>2004</v>
      </c>
      <c r="B13" s="4">
        <v>0</v>
      </c>
      <c r="C13" s="6">
        <v>0.08</v>
      </c>
      <c r="D13" s="6">
        <v>0.53</v>
      </c>
      <c r="E13" s="6">
        <v>0.81</v>
      </c>
      <c r="F13" s="6">
        <v>0.98</v>
      </c>
      <c r="I13" s="4">
        <v>2004</v>
      </c>
      <c r="J13" s="5">
        <v>0.08</v>
      </c>
      <c r="K13" s="6">
        <v>0.53</v>
      </c>
      <c r="L13" s="6">
        <v>0.81</v>
      </c>
      <c r="M13" s="6">
        <v>0.98</v>
      </c>
      <c r="N13" s="4">
        <v>0</v>
      </c>
      <c r="O13" s="6">
        <v>0.08</v>
      </c>
      <c r="P13" s="6">
        <v>0.53</v>
      </c>
      <c r="Q13" s="6">
        <v>0.81</v>
      </c>
      <c r="R13" s="6">
        <v>0.98</v>
      </c>
    </row>
    <row r="14" spans="1:18" x14ac:dyDescent="0.25">
      <c r="A14" s="4">
        <v>2005</v>
      </c>
      <c r="B14" s="4">
        <v>0</v>
      </c>
      <c r="C14" s="6">
        <v>0.08</v>
      </c>
      <c r="D14" s="6">
        <v>0.53</v>
      </c>
      <c r="E14" s="6">
        <v>0.81</v>
      </c>
      <c r="F14" s="6">
        <v>0.98</v>
      </c>
      <c r="I14" s="4">
        <v>2005</v>
      </c>
      <c r="J14" s="5">
        <v>0.08</v>
      </c>
      <c r="K14" s="6">
        <v>0.53</v>
      </c>
      <c r="L14" s="6">
        <v>0.81</v>
      </c>
      <c r="M14" s="6">
        <v>0.98</v>
      </c>
      <c r="N14" s="4">
        <v>0</v>
      </c>
      <c r="O14" s="6">
        <v>0.08</v>
      </c>
      <c r="P14" s="6">
        <v>0.53</v>
      </c>
      <c r="Q14" s="6">
        <v>0.81</v>
      </c>
      <c r="R14" s="6">
        <v>0.98</v>
      </c>
    </row>
    <row r="15" spans="1:18" x14ac:dyDescent="0.25">
      <c r="A15" s="4">
        <v>2006</v>
      </c>
      <c r="B15" s="4">
        <v>0</v>
      </c>
      <c r="C15" s="6">
        <v>0.08</v>
      </c>
      <c r="D15" s="6">
        <v>0.53</v>
      </c>
      <c r="E15" s="6">
        <v>0.81</v>
      </c>
      <c r="F15" s="6">
        <v>0.98</v>
      </c>
      <c r="I15" s="4">
        <v>2006</v>
      </c>
      <c r="J15" s="5">
        <v>0.08</v>
      </c>
      <c r="K15" s="6">
        <v>0.53</v>
      </c>
      <c r="L15" s="6">
        <v>0.81</v>
      </c>
      <c r="M15" s="6">
        <v>0.98</v>
      </c>
      <c r="N15" s="4">
        <v>0</v>
      </c>
      <c r="O15" s="6">
        <v>0.08</v>
      </c>
      <c r="P15" s="6">
        <v>0.53</v>
      </c>
      <c r="Q15" s="6">
        <v>0.81</v>
      </c>
      <c r="R15" s="6">
        <v>0.98</v>
      </c>
    </row>
    <row r="16" spans="1:18" x14ac:dyDescent="0.25">
      <c r="A16" s="4">
        <v>2007</v>
      </c>
      <c r="B16" s="4">
        <v>0</v>
      </c>
      <c r="C16" s="6">
        <v>0.08</v>
      </c>
      <c r="D16" s="6">
        <v>0.53</v>
      </c>
      <c r="E16" s="6">
        <v>0.81</v>
      </c>
      <c r="F16" s="6">
        <v>0.98</v>
      </c>
      <c r="I16" s="4">
        <v>2007</v>
      </c>
      <c r="J16" s="5">
        <v>0.08</v>
      </c>
      <c r="K16" s="6">
        <v>0.53</v>
      </c>
      <c r="L16" s="6">
        <v>0.81</v>
      </c>
      <c r="M16" s="6">
        <v>0.98</v>
      </c>
      <c r="N16" s="4">
        <v>0</v>
      </c>
      <c r="O16" s="6">
        <v>0.08</v>
      </c>
      <c r="P16" s="6">
        <v>0.53</v>
      </c>
      <c r="Q16" s="6">
        <v>0.81</v>
      </c>
      <c r="R16" s="6">
        <v>0.98</v>
      </c>
    </row>
    <row r="17" spans="1:18" x14ac:dyDescent="0.25">
      <c r="A17" s="4">
        <v>2008</v>
      </c>
      <c r="B17" s="4">
        <v>0</v>
      </c>
      <c r="C17" s="6">
        <v>0.08</v>
      </c>
      <c r="D17" s="6">
        <v>0.53</v>
      </c>
      <c r="E17" s="6">
        <v>0.81</v>
      </c>
      <c r="F17" s="6">
        <v>0.98</v>
      </c>
      <c r="I17" s="4">
        <v>2008</v>
      </c>
      <c r="J17" s="5">
        <v>0.08</v>
      </c>
      <c r="K17" s="6">
        <v>0.53</v>
      </c>
      <c r="L17" s="6">
        <v>0.81</v>
      </c>
      <c r="M17" s="6">
        <v>0.98</v>
      </c>
      <c r="N17" s="4">
        <v>0</v>
      </c>
      <c r="O17" s="6">
        <v>0.08</v>
      </c>
      <c r="P17" s="6">
        <v>0.53</v>
      </c>
      <c r="Q17" s="6">
        <v>0.81</v>
      </c>
      <c r="R17" s="6">
        <v>0.98</v>
      </c>
    </row>
    <row r="18" spans="1:18" x14ac:dyDescent="0.25">
      <c r="A18" s="4">
        <v>2009</v>
      </c>
      <c r="B18" s="4">
        <v>0</v>
      </c>
      <c r="C18" s="6">
        <v>0.08</v>
      </c>
      <c r="D18" s="6">
        <v>0.53</v>
      </c>
      <c r="E18" s="6">
        <v>0.81</v>
      </c>
      <c r="F18" s="6">
        <v>0.98</v>
      </c>
      <c r="I18" s="4">
        <v>2009</v>
      </c>
      <c r="J18" s="5">
        <v>0.08</v>
      </c>
      <c r="K18" s="6">
        <v>0.53</v>
      </c>
      <c r="L18" s="6">
        <v>0.81</v>
      </c>
      <c r="M18" s="6">
        <v>0.98</v>
      </c>
      <c r="N18" s="4">
        <v>0</v>
      </c>
      <c r="O18" s="6">
        <v>0.08</v>
      </c>
      <c r="P18" s="6">
        <v>0.53</v>
      </c>
      <c r="Q18" s="6">
        <v>0.81</v>
      </c>
      <c r="R18" s="6">
        <v>0.98</v>
      </c>
    </row>
    <row r="19" spans="1:18" x14ac:dyDescent="0.25">
      <c r="A19" s="4">
        <v>2010</v>
      </c>
      <c r="B19" s="4">
        <v>0</v>
      </c>
      <c r="C19" s="6">
        <v>0.08</v>
      </c>
      <c r="D19" s="6">
        <v>0.53</v>
      </c>
      <c r="E19" s="6">
        <v>0.81</v>
      </c>
      <c r="F19" s="6">
        <v>0.98</v>
      </c>
      <c r="I19" s="4">
        <v>2010</v>
      </c>
      <c r="J19" s="5">
        <v>0.08</v>
      </c>
      <c r="K19" s="6">
        <v>0.53</v>
      </c>
      <c r="L19" s="6">
        <v>0.81</v>
      </c>
      <c r="M19" s="6">
        <v>0.98</v>
      </c>
      <c r="N19" s="4">
        <v>0</v>
      </c>
      <c r="O19" s="6">
        <v>0.08</v>
      </c>
      <c r="P19" s="6">
        <v>0.53</v>
      </c>
      <c r="Q19" s="6">
        <v>0.81</v>
      </c>
      <c r="R19" s="6">
        <v>0.98</v>
      </c>
    </row>
    <row r="20" spans="1:18" x14ac:dyDescent="0.25">
      <c r="A20" s="4">
        <v>2011</v>
      </c>
      <c r="B20" s="4">
        <v>0</v>
      </c>
      <c r="C20" s="6">
        <v>0.08</v>
      </c>
      <c r="D20" s="6">
        <v>0.53</v>
      </c>
      <c r="E20" s="6">
        <v>0.81</v>
      </c>
      <c r="F20" s="6">
        <v>0.98</v>
      </c>
      <c r="I20" s="4">
        <v>2011</v>
      </c>
      <c r="J20" s="5">
        <v>0.08</v>
      </c>
      <c r="K20" s="6">
        <v>0.53</v>
      </c>
      <c r="L20" s="6">
        <v>0.81</v>
      </c>
      <c r="M20" s="6">
        <v>0.98</v>
      </c>
      <c r="N20" s="4">
        <v>0</v>
      </c>
      <c r="O20" s="6">
        <v>0.08</v>
      </c>
      <c r="P20" s="6">
        <v>0.53</v>
      </c>
      <c r="Q20" s="6">
        <v>0.81</v>
      </c>
      <c r="R20" s="6">
        <v>0.98</v>
      </c>
    </row>
    <row r="21" spans="1:18" x14ac:dyDescent="0.25">
      <c r="A21" s="4">
        <v>2012</v>
      </c>
      <c r="B21" s="4">
        <v>0</v>
      </c>
      <c r="C21" s="6">
        <v>0.08</v>
      </c>
      <c r="D21" s="6">
        <v>0.53</v>
      </c>
      <c r="E21" s="6">
        <v>0.81</v>
      </c>
      <c r="F21" s="6">
        <v>0.98</v>
      </c>
      <c r="I21" s="4">
        <v>2012</v>
      </c>
      <c r="J21" s="5">
        <v>0.08</v>
      </c>
      <c r="K21" s="6">
        <v>0.53</v>
      </c>
      <c r="L21" s="6">
        <v>0.81</v>
      </c>
      <c r="M21" s="6">
        <v>0.98</v>
      </c>
      <c r="N21" s="4">
        <v>0</v>
      </c>
      <c r="O21" s="6">
        <v>0.08</v>
      </c>
      <c r="P21" s="6">
        <v>0.53</v>
      </c>
      <c r="Q21" s="6">
        <v>0.81</v>
      </c>
      <c r="R21" s="6">
        <v>0.98</v>
      </c>
    </row>
    <row r="22" spans="1:18" x14ac:dyDescent="0.25">
      <c r="A22" s="4">
        <v>2013</v>
      </c>
      <c r="B22" s="4">
        <v>0</v>
      </c>
      <c r="C22" s="6">
        <v>0.08</v>
      </c>
      <c r="D22" s="6">
        <v>0.53</v>
      </c>
      <c r="E22" s="6">
        <v>0.81</v>
      </c>
      <c r="F22" s="6">
        <v>0.98</v>
      </c>
      <c r="I22" s="4">
        <v>2013</v>
      </c>
      <c r="J22" s="5">
        <v>0.08</v>
      </c>
      <c r="K22" s="6">
        <v>0.53</v>
      </c>
      <c r="L22" s="6">
        <v>0.81</v>
      </c>
      <c r="M22" s="6">
        <v>0.98</v>
      </c>
      <c r="N22" s="4">
        <v>0</v>
      </c>
      <c r="O22" s="6">
        <v>0.08</v>
      </c>
      <c r="P22" s="6">
        <v>0.53</v>
      </c>
      <c r="Q22" s="6">
        <v>0.81</v>
      </c>
      <c r="R22" s="6">
        <v>0.98</v>
      </c>
    </row>
    <row r="23" spans="1:18" x14ac:dyDescent="0.25">
      <c r="A23" s="4">
        <v>2014</v>
      </c>
      <c r="B23" s="4">
        <v>0</v>
      </c>
      <c r="C23" s="6">
        <v>0.08</v>
      </c>
      <c r="D23" s="6">
        <v>0.53</v>
      </c>
      <c r="E23" s="6">
        <v>0.81</v>
      </c>
      <c r="F23" s="6">
        <v>0.98</v>
      </c>
      <c r="I23" s="4">
        <v>2014</v>
      </c>
      <c r="J23" s="5">
        <v>0.08</v>
      </c>
      <c r="K23" s="6">
        <v>0.53</v>
      </c>
      <c r="L23" s="6">
        <v>0.81</v>
      </c>
      <c r="M23" s="6">
        <v>0.98</v>
      </c>
      <c r="N23" s="4">
        <v>0</v>
      </c>
      <c r="O23" s="6">
        <v>0.08</v>
      </c>
      <c r="P23" s="6">
        <v>0.53</v>
      </c>
      <c r="Q23" s="6">
        <v>0.81</v>
      </c>
      <c r="R23" s="6">
        <v>0.98</v>
      </c>
    </row>
    <row r="24" spans="1:18" x14ac:dyDescent="0.25">
      <c r="A24" s="4">
        <v>2015</v>
      </c>
      <c r="B24" s="4">
        <v>0</v>
      </c>
      <c r="C24" s="6">
        <v>0.08</v>
      </c>
      <c r="D24" s="6">
        <v>0.53</v>
      </c>
      <c r="E24" s="6">
        <v>0.81</v>
      </c>
      <c r="F24" s="6">
        <v>0.98</v>
      </c>
      <c r="I24" s="4">
        <v>2015</v>
      </c>
      <c r="J24" s="5">
        <v>0.08</v>
      </c>
      <c r="K24" s="6">
        <v>0.53</v>
      </c>
      <c r="L24" s="6">
        <v>0.81</v>
      </c>
      <c r="M24" s="6">
        <v>0.98</v>
      </c>
      <c r="N24" s="4">
        <v>0</v>
      </c>
      <c r="O24" s="6">
        <v>0.08</v>
      </c>
      <c r="P24" s="6">
        <v>0.53</v>
      </c>
      <c r="Q24" s="6">
        <v>0.81</v>
      </c>
      <c r="R24" s="6">
        <v>0.98</v>
      </c>
    </row>
    <row r="25" spans="1:18" x14ac:dyDescent="0.25">
      <c r="A25" s="4">
        <v>2016</v>
      </c>
      <c r="B25" s="4">
        <v>0</v>
      </c>
      <c r="C25" s="6">
        <v>0.08</v>
      </c>
      <c r="D25" s="6">
        <v>0.53</v>
      </c>
      <c r="E25" s="6">
        <v>0.81</v>
      </c>
      <c r="F25" s="6">
        <v>0.98</v>
      </c>
      <c r="I25" s="4">
        <v>2016</v>
      </c>
      <c r="J25" s="5">
        <v>0.08</v>
      </c>
      <c r="K25" s="6">
        <v>0.53</v>
      </c>
      <c r="L25" s="6">
        <v>0.81</v>
      </c>
      <c r="M25" s="6">
        <v>0.98</v>
      </c>
      <c r="N25" s="4">
        <v>0</v>
      </c>
      <c r="O25" s="6">
        <v>0.08</v>
      </c>
      <c r="P25" s="6">
        <v>0.53</v>
      </c>
      <c r="Q25" s="6">
        <v>0.81</v>
      </c>
      <c r="R25" s="6">
        <v>0.98</v>
      </c>
    </row>
    <row r="26" spans="1:18" x14ac:dyDescent="0.25">
      <c r="A26" s="4">
        <v>2017</v>
      </c>
      <c r="B26" s="4">
        <v>0</v>
      </c>
      <c r="C26" s="6">
        <v>0.08</v>
      </c>
      <c r="D26" s="6">
        <v>0.53</v>
      </c>
      <c r="E26" s="6">
        <v>0.81</v>
      </c>
      <c r="F26" s="6">
        <v>0.98</v>
      </c>
      <c r="I26" s="4">
        <v>2017</v>
      </c>
      <c r="J26" s="5">
        <v>0.08</v>
      </c>
      <c r="K26" s="6">
        <v>0.53</v>
      </c>
      <c r="L26" s="6">
        <v>0.81</v>
      </c>
      <c r="M26" s="6">
        <v>0.98</v>
      </c>
      <c r="N26" s="4">
        <v>0</v>
      </c>
      <c r="O26" s="6">
        <v>0.08</v>
      </c>
      <c r="P26" s="6">
        <v>0.53</v>
      </c>
      <c r="Q26" s="6">
        <v>0.81</v>
      </c>
      <c r="R26" s="6">
        <v>0.98</v>
      </c>
    </row>
    <row r="27" spans="1:18" x14ac:dyDescent="0.25">
      <c r="A27" s="4">
        <v>2018</v>
      </c>
      <c r="B27" s="4">
        <v>0</v>
      </c>
      <c r="C27" s="6">
        <v>0.08</v>
      </c>
      <c r="D27" s="6">
        <v>0.53</v>
      </c>
      <c r="E27" s="6">
        <v>0.81</v>
      </c>
      <c r="F27" s="6">
        <v>0.98</v>
      </c>
      <c r="I27" s="4">
        <v>2018</v>
      </c>
      <c r="J27" s="5">
        <v>0.08</v>
      </c>
      <c r="K27" s="6">
        <v>0.53</v>
      </c>
      <c r="L27" s="6">
        <v>0.81</v>
      </c>
      <c r="M27" s="6">
        <v>0.98</v>
      </c>
      <c r="N27" s="4">
        <v>0</v>
      </c>
      <c r="O27" s="6">
        <v>0.08</v>
      </c>
      <c r="P27" s="6">
        <v>0.53</v>
      </c>
      <c r="Q27" s="6">
        <v>0.81</v>
      </c>
      <c r="R27" s="6">
        <v>0.98</v>
      </c>
    </row>
    <row r="28" spans="1:18" x14ac:dyDescent="0.25">
      <c r="A28" s="4">
        <v>2019</v>
      </c>
      <c r="B28" s="4">
        <v>0</v>
      </c>
      <c r="C28" s="6">
        <v>0.08</v>
      </c>
      <c r="D28" s="6">
        <v>0.53</v>
      </c>
      <c r="E28" s="6">
        <v>0.81</v>
      </c>
      <c r="F28" s="6">
        <v>0.98</v>
      </c>
      <c r="I28" s="4">
        <v>2019</v>
      </c>
      <c r="J28" s="5">
        <v>0.08</v>
      </c>
      <c r="K28" s="6">
        <v>0.53</v>
      </c>
      <c r="L28" s="6">
        <v>0.81</v>
      </c>
      <c r="M28" s="6">
        <v>0.98</v>
      </c>
      <c r="N28" s="4">
        <v>0</v>
      </c>
      <c r="O28" s="6">
        <v>0.08</v>
      </c>
      <c r="P28" s="6">
        <v>0.53</v>
      </c>
      <c r="Q28" s="6">
        <v>0.81</v>
      </c>
      <c r="R28" s="6">
        <v>0.98</v>
      </c>
    </row>
    <row r="29" spans="1:18" x14ac:dyDescent="0.25">
      <c r="A29" s="7">
        <v>2020</v>
      </c>
      <c r="B29" s="7">
        <v>0</v>
      </c>
      <c r="C29" s="9">
        <v>0.08</v>
      </c>
      <c r="D29" s="9">
        <v>0.53</v>
      </c>
      <c r="E29" s="9">
        <v>0.81</v>
      </c>
      <c r="F29" s="9">
        <v>0.98</v>
      </c>
      <c r="I29" s="7">
        <v>2020</v>
      </c>
      <c r="J29" s="8">
        <v>0.08</v>
      </c>
      <c r="K29" s="9">
        <v>0.53</v>
      </c>
      <c r="L29" s="9">
        <v>0.81</v>
      </c>
      <c r="M29" s="9">
        <v>0.98</v>
      </c>
      <c r="N29" s="7">
        <v>0</v>
      </c>
      <c r="O29" s="9">
        <v>0.08</v>
      </c>
      <c r="P29" s="9">
        <v>0.53</v>
      </c>
      <c r="Q29" s="9">
        <v>0.81</v>
      </c>
      <c r="R29" s="9">
        <v>0.98</v>
      </c>
    </row>
    <row r="30" spans="1:18" x14ac:dyDescent="0.25">
      <c r="A30" s="1">
        <v>2021</v>
      </c>
      <c r="B30" s="1">
        <v>0</v>
      </c>
      <c r="C30" s="3">
        <v>0.08</v>
      </c>
      <c r="D30" s="3">
        <v>0.53</v>
      </c>
      <c r="E30" s="3">
        <v>0.81</v>
      </c>
      <c r="F30" s="3">
        <v>0.98</v>
      </c>
      <c r="I30" s="1">
        <v>2021</v>
      </c>
      <c r="J30" s="2">
        <v>0.08</v>
      </c>
      <c r="K30" s="3">
        <v>0.53</v>
      </c>
      <c r="L30" s="3">
        <v>0.81</v>
      </c>
      <c r="M30" s="3">
        <v>0.98</v>
      </c>
      <c r="N30" s="1">
        <v>0</v>
      </c>
      <c r="O30" s="3">
        <v>0.08</v>
      </c>
      <c r="P30" s="3">
        <v>0.53</v>
      </c>
      <c r="Q30" s="3">
        <v>0.81</v>
      </c>
      <c r="R30" s="3">
        <v>0.98</v>
      </c>
    </row>
    <row r="31" spans="1:18" x14ac:dyDescent="0.25">
      <c r="A31" s="4">
        <v>2022</v>
      </c>
      <c r="B31" s="4">
        <v>0</v>
      </c>
      <c r="C31" s="6">
        <v>0.08</v>
      </c>
      <c r="D31" s="6">
        <v>0.53</v>
      </c>
      <c r="E31" s="6">
        <v>0.81</v>
      </c>
      <c r="F31" s="6">
        <v>0.98</v>
      </c>
      <c r="I31" s="4">
        <v>2022</v>
      </c>
      <c r="J31" s="5">
        <v>0.08</v>
      </c>
      <c r="K31" s="6">
        <v>0.53</v>
      </c>
      <c r="L31" s="6">
        <v>0.81</v>
      </c>
      <c r="M31" s="6">
        <v>0.98</v>
      </c>
      <c r="N31" s="4">
        <v>0</v>
      </c>
      <c r="O31" s="6">
        <v>0.08</v>
      </c>
      <c r="P31" s="6">
        <v>0.53</v>
      </c>
      <c r="Q31" s="6">
        <v>0.81</v>
      </c>
      <c r="R31" s="6">
        <v>0.98</v>
      </c>
    </row>
    <row r="32" spans="1:18" x14ac:dyDescent="0.25">
      <c r="A32" s="4">
        <v>2023</v>
      </c>
      <c r="B32" s="4">
        <v>0</v>
      </c>
      <c r="C32" s="6">
        <v>0.08</v>
      </c>
      <c r="D32" s="6">
        <v>0.53</v>
      </c>
      <c r="E32" s="6">
        <v>0.81</v>
      </c>
      <c r="F32" s="6">
        <v>0.98</v>
      </c>
      <c r="I32" s="4">
        <v>2023</v>
      </c>
      <c r="J32" s="5">
        <v>0.08</v>
      </c>
      <c r="K32" s="6">
        <v>0.53</v>
      </c>
      <c r="L32" s="6">
        <v>0.81</v>
      </c>
      <c r="M32" s="6">
        <v>0.98</v>
      </c>
      <c r="N32" s="4">
        <v>0</v>
      </c>
      <c r="O32" s="6">
        <v>0.08</v>
      </c>
      <c r="P32" s="6">
        <v>0.53</v>
      </c>
      <c r="Q32" s="6">
        <v>0.81</v>
      </c>
      <c r="R32" s="6">
        <v>0.98</v>
      </c>
    </row>
    <row r="33" spans="1:18" x14ac:dyDescent="0.25">
      <c r="A33" s="4">
        <v>2024</v>
      </c>
      <c r="B33" s="4">
        <v>0</v>
      </c>
      <c r="C33" s="6">
        <v>0.08</v>
      </c>
      <c r="D33" s="6">
        <v>0.53</v>
      </c>
      <c r="E33" s="6">
        <v>0.81</v>
      </c>
      <c r="F33" s="6">
        <v>0.98</v>
      </c>
      <c r="I33" s="4">
        <v>2024</v>
      </c>
      <c r="J33" s="5">
        <v>0.08</v>
      </c>
      <c r="K33" s="6">
        <v>0.53</v>
      </c>
      <c r="L33" s="6">
        <v>0.81</v>
      </c>
      <c r="M33" s="6">
        <v>0.98</v>
      </c>
      <c r="N33" s="4">
        <v>0</v>
      </c>
      <c r="O33" s="6">
        <v>0.08</v>
      </c>
      <c r="P33" s="6">
        <v>0.53</v>
      </c>
      <c r="Q33" s="6">
        <v>0.81</v>
      </c>
      <c r="R33" s="6">
        <v>0.98</v>
      </c>
    </row>
    <row r="34" spans="1:18" x14ac:dyDescent="0.25">
      <c r="A34" s="7">
        <v>2025</v>
      </c>
      <c r="B34" s="7">
        <v>0</v>
      </c>
      <c r="C34" s="9">
        <v>0.08</v>
      </c>
      <c r="D34" s="9">
        <v>0.53</v>
      </c>
      <c r="E34" s="9">
        <v>0.81</v>
      </c>
      <c r="F34" s="9">
        <v>0.98</v>
      </c>
      <c r="I34" s="7">
        <v>2025</v>
      </c>
      <c r="J34" s="8">
        <v>0.08</v>
      </c>
      <c r="K34" s="9">
        <v>0.53</v>
      </c>
      <c r="L34" s="9">
        <v>0.81</v>
      </c>
      <c r="M34" s="9">
        <v>0.98</v>
      </c>
      <c r="N34" s="7">
        <v>0</v>
      </c>
      <c r="O34" s="9">
        <v>0.08</v>
      </c>
      <c r="P34" s="9">
        <v>0.53</v>
      </c>
      <c r="Q34" s="9">
        <v>0.81</v>
      </c>
      <c r="R34" s="9">
        <v>0.98</v>
      </c>
    </row>
    <row r="35" spans="1:18" x14ac:dyDescent="0.25">
      <c r="A35" s="4"/>
      <c r="B35" s="4"/>
      <c r="C35" s="6"/>
      <c r="D35" s="6"/>
      <c r="E35" s="6"/>
      <c r="F35" s="4"/>
      <c r="I35" s="4"/>
      <c r="J35" s="5"/>
      <c r="K35" s="6"/>
      <c r="L35" s="6"/>
      <c r="M35" s="4"/>
      <c r="N35" s="4"/>
      <c r="O35" s="6"/>
      <c r="P35" s="6"/>
      <c r="Q35" s="6"/>
      <c r="R35" s="4"/>
    </row>
    <row r="36" spans="1:18" x14ac:dyDescent="0.25">
      <c r="A36" s="4"/>
      <c r="B36" s="4"/>
      <c r="C36" s="6"/>
      <c r="D36" s="6"/>
      <c r="E36" s="6"/>
      <c r="F36" s="4"/>
      <c r="I36" s="4"/>
      <c r="J36" s="5"/>
      <c r="K36" s="6"/>
      <c r="L36" s="6"/>
      <c r="M36" s="4"/>
      <c r="N36" s="4"/>
      <c r="O36" s="6"/>
      <c r="P36" s="6"/>
      <c r="Q36" s="6"/>
      <c r="R36" s="4"/>
    </row>
    <row r="37" spans="1:18" x14ac:dyDescent="0.25">
      <c r="A37" s="4"/>
      <c r="B37" s="4"/>
      <c r="C37" s="6"/>
      <c r="D37" s="6"/>
      <c r="E37" s="6"/>
      <c r="F37" s="4"/>
      <c r="I37" s="4"/>
      <c r="J37" s="5"/>
      <c r="K37" s="6"/>
      <c r="L37" s="6"/>
      <c r="M37" s="4"/>
      <c r="N37" s="4"/>
      <c r="O37" s="6"/>
      <c r="P37" s="6"/>
      <c r="Q37" s="6"/>
      <c r="R37" s="4"/>
    </row>
    <row r="38" spans="1:18" x14ac:dyDescent="0.25">
      <c r="A38" s="4"/>
      <c r="B38" s="4"/>
      <c r="C38" s="6"/>
      <c r="D38" s="6"/>
      <c r="E38" s="6"/>
      <c r="F38" s="4"/>
      <c r="I38" s="4"/>
      <c r="J38" s="5"/>
      <c r="K38" s="6"/>
      <c r="L38" s="6"/>
      <c r="M38" s="4"/>
      <c r="N38" s="4"/>
      <c r="O38" s="6"/>
      <c r="P38" s="6"/>
      <c r="Q38" s="6"/>
      <c r="R38" s="4"/>
    </row>
    <row r="39" spans="1:18" x14ac:dyDescent="0.25">
      <c r="A39" s="4"/>
      <c r="B39" s="4"/>
      <c r="C39" s="6"/>
      <c r="D39" s="6"/>
      <c r="E39" s="6"/>
      <c r="F39" s="4"/>
      <c r="I39" s="4"/>
      <c r="J39" s="5"/>
      <c r="K39" s="6"/>
      <c r="L39" s="6"/>
      <c r="M39" s="4"/>
      <c r="N39" s="4"/>
      <c r="O39" s="6"/>
      <c r="P39" s="6"/>
      <c r="Q39" s="6"/>
      <c r="R39" s="4"/>
    </row>
    <row r="40" spans="1:18" x14ac:dyDescent="0.25">
      <c r="A40" s="7"/>
      <c r="B40" s="7"/>
      <c r="C40" s="9"/>
      <c r="D40" s="9"/>
      <c r="E40" s="9"/>
      <c r="F40" s="7"/>
      <c r="I40" s="7"/>
      <c r="J40" s="8"/>
      <c r="K40" s="9"/>
      <c r="L40" s="9"/>
      <c r="M40" s="7"/>
      <c r="N40" s="7"/>
      <c r="O40" s="9"/>
      <c r="P40" s="9"/>
      <c r="Q40" s="9"/>
      <c r="R40" s="7"/>
    </row>
    <row r="41" spans="1:18" x14ac:dyDescent="0.25">
      <c r="A41" s="4"/>
      <c r="B41" s="4"/>
      <c r="C41" s="6"/>
      <c r="D41" s="6"/>
      <c r="E41" s="6"/>
      <c r="F41" s="6"/>
      <c r="I41" s="4"/>
      <c r="J41" s="5"/>
      <c r="K41" s="6"/>
      <c r="L41" s="6"/>
      <c r="M41" s="6"/>
      <c r="N41" s="4"/>
      <c r="O41" s="6"/>
      <c r="P41" s="6"/>
      <c r="Q41" s="6"/>
      <c r="R41" s="6"/>
    </row>
    <row r="42" spans="1:18" x14ac:dyDescent="0.25">
      <c r="A42" s="4"/>
      <c r="B42" s="4"/>
      <c r="C42" s="6"/>
      <c r="D42" s="6"/>
      <c r="E42" s="6"/>
      <c r="F42" s="6"/>
      <c r="I42" s="4"/>
      <c r="J42" s="5"/>
      <c r="K42" s="6"/>
      <c r="L42" s="6"/>
      <c r="M42" s="6"/>
      <c r="N42" s="4"/>
      <c r="O42" s="6"/>
      <c r="P42" s="6"/>
      <c r="Q42" s="6"/>
      <c r="R42" s="6"/>
    </row>
    <row r="43" spans="1:18" x14ac:dyDescent="0.25">
      <c r="A43" s="4"/>
      <c r="B43" s="4"/>
      <c r="C43" s="6"/>
      <c r="D43" s="6"/>
      <c r="E43" s="6"/>
      <c r="F43" s="6"/>
      <c r="I43" s="4"/>
      <c r="J43" s="5"/>
      <c r="K43" s="6"/>
      <c r="L43" s="6"/>
      <c r="M43" s="6"/>
      <c r="N43" s="4"/>
      <c r="O43" s="6"/>
      <c r="P43" s="6"/>
      <c r="Q43" s="6"/>
      <c r="R43" s="6"/>
    </row>
    <row r="44" spans="1:18" x14ac:dyDescent="0.25">
      <c r="A44" s="7"/>
      <c r="B44" s="7"/>
      <c r="C44" s="9"/>
      <c r="D44" s="9"/>
      <c r="E44" s="9"/>
      <c r="F44" s="9"/>
      <c r="I44" s="7"/>
      <c r="J44" s="8"/>
      <c r="K44" s="9"/>
      <c r="L44" s="9"/>
      <c r="M44" s="9"/>
      <c r="N44" s="7"/>
      <c r="O44" s="9"/>
      <c r="P44" s="9"/>
      <c r="Q44" s="9"/>
      <c r="R44" s="9"/>
    </row>
    <row r="45" spans="1:18" x14ac:dyDescent="0.25">
      <c r="A45" s="1"/>
      <c r="B45" s="2"/>
      <c r="C45" s="3"/>
      <c r="D45" s="3"/>
      <c r="E45" s="3"/>
      <c r="F45" s="1"/>
    </row>
    <row r="46" spans="1:18" x14ac:dyDescent="0.25">
      <c r="A46" s="4"/>
      <c r="B46" s="5"/>
      <c r="C46" s="6"/>
      <c r="D46" s="6"/>
      <c r="E46" s="6"/>
      <c r="F46" s="4"/>
    </row>
    <row r="47" spans="1:18" x14ac:dyDescent="0.25">
      <c r="A47" s="4"/>
      <c r="B47" s="5"/>
      <c r="C47" s="6"/>
      <c r="D47" s="6"/>
      <c r="E47" s="6"/>
      <c r="F47" s="4"/>
    </row>
    <row r="48" spans="1:18" x14ac:dyDescent="0.25">
      <c r="A48" s="4"/>
      <c r="B48" s="5"/>
      <c r="C48" s="6"/>
      <c r="D48" s="6"/>
      <c r="E48" s="6"/>
      <c r="F48" s="4"/>
    </row>
    <row r="49" spans="1:6" x14ac:dyDescent="0.25">
      <c r="A49" s="4"/>
      <c r="B49" s="5"/>
      <c r="C49" s="6"/>
      <c r="D49" s="6"/>
      <c r="E49" s="6"/>
      <c r="F49" s="4"/>
    </row>
    <row r="50" spans="1:6" x14ac:dyDescent="0.25">
      <c r="A50" s="4"/>
      <c r="B50" s="5"/>
      <c r="C50" s="6"/>
      <c r="D50" s="6"/>
      <c r="E50" s="6"/>
      <c r="F50" s="4"/>
    </row>
    <row r="51" spans="1:6" x14ac:dyDescent="0.25">
      <c r="A51" s="4"/>
      <c r="B51" s="5"/>
      <c r="C51" s="6"/>
      <c r="D51" s="6"/>
      <c r="E51" s="6"/>
      <c r="F51" s="4"/>
    </row>
    <row r="52" spans="1:6" x14ac:dyDescent="0.25">
      <c r="A52" s="4"/>
      <c r="B52" s="5"/>
      <c r="C52" s="6"/>
      <c r="D52" s="6"/>
      <c r="E52" s="6"/>
      <c r="F52" s="4"/>
    </row>
    <row r="53" spans="1:6" x14ac:dyDescent="0.25">
      <c r="A53" s="4"/>
      <c r="B53" s="5"/>
      <c r="C53" s="6"/>
      <c r="D53" s="6"/>
      <c r="E53" s="6"/>
      <c r="F53" s="4"/>
    </row>
    <row r="54" spans="1:6" x14ac:dyDescent="0.25">
      <c r="A54" s="4"/>
      <c r="B54" s="5"/>
      <c r="C54" s="6"/>
      <c r="D54" s="6"/>
      <c r="E54" s="6"/>
      <c r="F54" s="4"/>
    </row>
    <row r="55" spans="1:6" x14ac:dyDescent="0.25">
      <c r="A55" s="4"/>
      <c r="B55" s="5"/>
      <c r="C55" s="6"/>
      <c r="D55" s="6"/>
      <c r="E55" s="6"/>
      <c r="F55" s="4"/>
    </row>
    <row r="56" spans="1:6" x14ac:dyDescent="0.25">
      <c r="A56" s="4"/>
      <c r="B56" s="5"/>
      <c r="C56" s="6"/>
      <c r="D56" s="6"/>
      <c r="E56" s="6"/>
      <c r="F56" s="4"/>
    </row>
    <row r="57" spans="1:6" x14ac:dyDescent="0.25">
      <c r="A57" s="4"/>
      <c r="B57" s="5"/>
      <c r="C57" s="6"/>
      <c r="D57" s="6"/>
      <c r="E57" s="6"/>
      <c r="F57" s="4"/>
    </row>
    <row r="58" spans="1:6" x14ac:dyDescent="0.25">
      <c r="A58" s="4"/>
      <c r="B58" s="5"/>
      <c r="C58" s="6"/>
      <c r="D58" s="6"/>
      <c r="E58" s="6"/>
      <c r="F58" s="4"/>
    </row>
    <row r="59" spans="1:6" x14ac:dyDescent="0.25">
      <c r="A59" s="7"/>
      <c r="B59" s="8"/>
      <c r="C59" s="9"/>
      <c r="D59" s="9"/>
      <c r="E59" s="9"/>
      <c r="F5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1r Table 9.2.8 - NM</vt:lpstr>
      <vt:lpstr>1r Table 9.2.6- FM</vt:lpstr>
      <vt:lpstr>1r Table 9.2.9 Num</vt:lpstr>
      <vt:lpstr>1r Table 9.2.2 - WA</vt:lpstr>
      <vt:lpstr>1r Table 9.2.3 - AM</vt:lpstr>
      <vt:lpstr>2r Table 9.3.8 - NM</vt:lpstr>
      <vt:lpstr>2r Table 9.3.6- FM</vt:lpstr>
      <vt:lpstr>2r Table 9.3.9 Num</vt:lpstr>
      <vt:lpstr>2r Table 9.3.2 - WA</vt:lpstr>
      <vt:lpstr>2r Table 9.3.3 - AM</vt:lpstr>
      <vt:lpstr>3r Table 9.4.8 - NM</vt:lpstr>
      <vt:lpstr>3r Table 9.4.6- FM</vt:lpstr>
      <vt:lpstr>3r Table 9.4.9 Num </vt:lpstr>
      <vt:lpstr>3r Table 9.4.2 - WA</vt:lpstr>
      <vt:lpstr>3r Table 9.4.3 - AM</vt:lpstr>
      <vt:lpstr>4 Table 9.5.8 - NM</vt:lpstr>
      <vt:lpstr>4 Table 9.5.6- FM</vt:lpstr>
      <vt:lpstr>4 Table 9.5.9 Num</vt:lpstr>
      <vt:lpstr>4 Table 9.5.2 - WA</vt:lpstr>
      <vt:lpstr>4 Table 9.5.3 -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Keith, David (DFO/MPO)</dc:creator>
  <cp:lastModifiedBy>Keith, David (DFO/MPO)</cp:lastModifiedBy>
  <dcterms:created xsi:type="dcterms:W3CDTF">2026-03-11T22:28:58Z</dcterms:created>
  <dcterms:modified xsi:type="dcterms:W3CDTF">2026-03-12T11:00:47Z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2026-03-11T22:32:17Z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15ff08da-2bab-442f-8771-a4cb53c85b8e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